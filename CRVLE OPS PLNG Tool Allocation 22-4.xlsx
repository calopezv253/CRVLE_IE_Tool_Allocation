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carlos_lopez_vargas_intel_com/Documents/Intel personal/18- Git Hub Projects/Tool Allocation Rev1/"/>
    </mc:Choice>
  </mc:AlternateContent>
  <xr:revisionPtr revIDLastSave="4" documentId="8_{9F6A94BC-2E2E-45CA-9328-2065E5598805}" xr6:coauthVersionLast="47" xr6:coauthVersionMax="47" xr10:uidLastSave="{CB2137F0-FB45-48A0-8495-797E781D692C}"/>
  <workbookProtection lockStructure="1"/>
  <bookViews>
    <workbookView xWindow="-28920" yWindow="-1470" windowWidth="29040" windowHeight="15720" activeTab="1" xr2:uid="{45F368BB-1AB6-4A27-9D89-BDCE77C9E3C6}"/>
  </bookViews>
  <sheets>
    <sheet name="HDMX" sheetId="1" r:id="rId1"/>
    <sheet name="HDBI" sheetId="2" r:id="rId2"/>
    <sheet name="PTC" sheetId="4" r:id="rId3"/>
    <sheet name="SEC" sheetId="6" r:id="rId4"/>
    <sheet name="SST" sheetId="7" r:id="rId5"/>
    <sheet name="HST" sheetId="3" r:id="rId6"/>
    <sheet name="Racks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6" l="1"/>
  <c r="AP727" i="1" l="1"/>
  <c r="AP6" i="1"/>
  <c r="F676" i="1"/>
  <c r="F580" i="1"/>
  <c r="F388" i="1"/>
  <c r="F292" i="1"/>
  <c r="F484" i="1"/>
  <c r="T30" i="4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32" i="7"/>
  <c r="AP439" i="1"/>
  <c r="AP438" i="1"/>
  <c r="AP437" i="1"/>
  <c r="AP436" i="1"/>
  <c r="AP435" i="1"/>
  <c r="AP434" i="1"/>
  <c r="AP433" i="1"/>
  <c r="AP432" i="1"/>
  <c r="AP431" i="1"/>
  <c r="AP430" i="1"/>
  <c r="AP429" i="1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3" i="4"/>
  <c r="Z23" i="6"/>
  <c r="Z25" i="6"/>
  <c r="Z26" i="6"/>
  <c r="Z27" i="6"/>
  <c r="Z28" i="6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T2" i="4"/>
  <c r="Z22" i="6"/>
  <c r="Z21" i="6"/>
  <c r="Z19" i="6"/>
  <c r="Z18" i="6"/>
  <c r="Z17" i="6"/>
  <c r="Z16" i="6"/>
  <c r="Z14" i="6"/>
  <c r="Z13" i="6"/>
  <c r="Z12" i="6"/>
  <c r="Z11" i="6"/>
  <c r="Z10" i="6"/>
  <c r="Z9" i="6"/>
  <c r="Z8" i="6"/>
  <c r="Z7" i="6"/>
  <c r="Z6" i="6"/>
  <c r="Z5" i="6"/>
  <c r="Z4" i="6"/>
  <c r="Z3" i="6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T4" i="7"/>
  <c r="T3" i="7"/>
  <c r="T2" i="7"/>
  <c r="AP247" i="1"/>
  <c r="AP246" i="1"/>
  <c r="AP245" i="1"/>
  <c r="AP244" i="1"/>
  <c r="AP243" i="1"/>
  <c r="AP242" i="1"/>
  <c r="AP241" i="1"/>
  <c r="AP240" i="1"/>
  <c r="AP239" i="1"/>
  <c r="AP238" i="1"/>
  <c r="AP237" i="1"/>
  <c r="AP151" i="1"/>
  <c r="AP150" i="1"/>
  <c r="AP149" i="1"/>
  <c r="AP148" i="1"/>
  <c r="AP147" i="1"/>
  <c r="AP146" i="1"/>
  <c r="AP145" i="1"/>
  <c r="AP144" i="1"/>
  <c r="AP143" i="1"/>
  <c r="AP142" i="1"/>
  <c r="AP141" i="1"/>
  <c r="AP55" i="1"/>
  <c r="AP54" i="1"/>
  <c r="AP53" i="1"/>
  <c r="AP52" i="1"/>
  <c r="AP51" i="1"/>
  <c r="AP50" i="1"/>
  <c r="AP49" i="1"/>
  <c r="AP48" i="1"/>
  <c r="AP47" i="1"/>
  <c r="AP46" i="1"/>
  <c r="AP45" i="1"/>
  <c r="AP717" i="1" l="1"/>
  <c r="AP718" i="1"/>
  <c r="AP719" i="1"/>
  <c r="AP720" i="1"/>
  <c r="AP721" i="1"/>
  <c r="AP722" i="1"/>
  <c r="AP723" i="1"/>
  <c r="AP724" i="1"/>
  <c r="AP725" i="1"/>
  <c r="AP726" i="1"/>
  <c r="AP621" i="1"/>
  <c r="AP622" i="1"/>
  <c r="AP623" i="1"/>
  <c r="AP624" i="1"/>
  <c r="AP625" i="1"/>
  <c r="AP626" i="1"/>
  <c r="AP627" i="1"/>
  <c r="AP628" i="1"/>
  <c r="AP629" i="1"/>
  <c r="AP630" i="1"/>
  <c r="AP525" i="1"/>
  <c r="AP526" i="1"/>
  <c r="AP527" i="1"/>
  <c r="AP528" i="1"/>
  <c r="AP529" i="1"/>
  <c r="AP530" i="1"/>
  <c r="AP531" i="1"/>
  <c r="AP532" i="1"/>
  <c r="AP533" i="1"/>
  <c r="AP534" i="1"/>
  <c r="AP342" i="1"/>
  <c r="AP341" i="1"/>
  <c r="AQ705" i="1" l="1"/>
  <c r="AP705" i="1"/>
  <c r="AQ704" i="1"/>
  <c r="AP704" i="1"/>
  <c r="AQ703" i="1"/>
  <c r="AP703" i="1"/>
  <c r="AQ702" i="1"/>
  <c r="AP702" i="1"/>
  <c r="AQ701" i="1"/>
  <c r="AP701" i="1"/>
  <c r="AQ700" i="1"/>
  <c r="AP700" i="1"/>
  <c r="AQ699" i="1"/>
  <c r="AP699" i="1"/>
  <c r="AQ698" i="1"/>
  <c r="AP698" i="1"/>
  <c r="AQ697" i="1"/>
  <c r="AP697" i="1"/>
  <c r="AQ696" i="1"/>
  <c r="AP696" i="1"/>
  <c r="AQ695" i="1"/>
  <c r="AP695" i="1"/>
  <c r="AQ694" i="1"/>
  <c r="AP694" i="1"/>
  <c r="AQ693" i="1"/>
  <c r="AP693" i="1"/>
  <c r="AQ692" i="1"/>
  <c r="AP692" i="1"/>
  <c r="AQ691" i="1"/>
  <c r="AP691" i="1"/>
  <c r="AQ690" i="1"/>
  <c r="AP690" i="1"/>
  <c r="AQ689" i="1"/>
  <c r="AP689" i="1"/>
  <c r="AQ688" i="1"/>
  <c r="AP688" i="1"/>
  <c r="AQ687" i="1"/>
  <c r="AP687" i="1"/>
  <c r="AQ686" i="1"/>
  <c r="AP686" i="1"/>
  <c r="AQ685" i="1"/>
  <c r="AP685" i="1"/>
  <c r="AQ684" i="1"/>
  <c r="AP684" i="1"/>
  <c r="AQ683" i="1"/>
  <c r="AP683" i="1"/>
  <c r="AQ682" i="1"/>
  <c r="AP682" i="1"/>
  <c r="AQ681" i="1"/>
  <c r="AP681" i="1"/>
  <c r="AQ680" i="1"/>
  <c r="AP680" i="1"/>
  <c r="AQ679" i="1"/>
  <c r="AP679" i="1"/>
  <c r="AQ678" i="1"/>
  <c r="AP678" i="1"/>
  <c r="AQ609" i="1"/>
  <c r="AP609" i="1"/>
  <c r="AQ608" i="1"/>
  <c r="AP608" i="1"/>
  <c r="AQ607" i="1"/>
  <c r="AP607" i="1"/>
  <c r="AQ606" i="1"/>
  <c r="AP606" i="1"/>
  <c r="AQ605" i="1"/>
  <c r="AP605" i="1"/>
  <c r="AQ604" i="1"/>
  <c r="AP604" i="1"/>
  <c r="AQ603" i="1"/>
  <c r="AP603" i="1"/>
  <c r="AQ602" i="1"/>
  <c r="AP602" i="1"/>
  <c r="AQ601" i="1"/>
  <c r="AP601" i="1"/>
  <c r="AQ600" i="1"/>
  <c r="AP600" i="1"/>
  <c r="AQ599" i="1"/>
  <c r="AP599" i="1"/>
  <c r="AQ598" i="1"/>
  <c r="AP598" i="1"/>
  <c r="AQ597" i="1"/>
  <c r="AP597" i="1"/>
  <c r="AQ596" i="1"/>
  <c r="AP596" i="1"/>
  <c r="AQ595" i="1"/>
  <c r="AP595" i="1"/>
  <c r="AQ594" i="1"/>
  <c r="AP594" i="1"/>
  <c r="AQ593" i="1"/>
  <c r="AP593" i="1"/>
  <c r="AQ592" i="1"/>
  <c r="AP592" i="1"/>
  <c r="AQ591" i="1"/>
  <c r="AP591" i="1"/>
  <c r="AQ590" i="1"/>
  <c r="AP590" i="1"/>
  <c r="AQ589" i="1"/>
  <c r="AP589" i="1"/>
  <c r="AQ588" i="1"/>
  <c r="AP588" i="1"/>
  <c r="AQ587" i="1"/>
  <c r="AP587" i="1"/>
  <c r="AQ586" i="1"/>
  <c r="AP586" i="1"/>
  <c r="AQ585" i="1"/>
  <c r="AP585" i="1"/>
  <c r="AQ584" i="1"/>
  <c r="AP584" i="1"/>
  <c r="AQ583" i="1"/>
  <c r="AP583" i="1"/>
  <c r="AQ582" i="1"/>
  <c r="AP582" i="1"/>
  <c r="AQ513" i="1"/>
  <c r="AP513" i="1"/>
  <c r="AQ512" i="1"/>
  <c r="AP512" i="1"/>
  <c r="AQ511" i="1"/>
  <c r="AP511" i="1"/>
  <c r="AQ510" i="1"/>
  <c r="AP510" i="1"/>
  <c r="AQ509" i="1"/>
  <c r="AP509" i="1"/>
  <c r="AQ508" i="1"/>
  <c r="AP508" i="1"/>
  <c r="AQ507" i="1"/>
  <c r="AP507" i="1"/>
  <c r="AQ506" i="1"/>
  <c r="AP506" i="1"/>
  <c r="AQ505" i="1"/>
  <c r="AP505" i="1"/>
  <c r="AQ504" i="1"/>
  <c r="AP504" i="1"/>
  <c r="AQ503" i="1"/>
  <c r="AP503" i="1"/>
  <c r="AQ502" i="1"/>
  <c r="AP502" i="1"/>
  <c r="AQ501" i="1"/>
  <c r="AP501" i="1"/>
  <c r="AQ500" i="1"/>
  <c r="AP500" i="1"/>
  <c r="AQ499" i="1"/>
  <c r="AP499" i="1"/>
  <c r="AQ498" i="1"/>
  <c r="AP498" i="1"/>
  <c r="AQ497" i="1"/>
  <c r="AP497" i="1"/>
  <c r="AQ496" i="1"/>
  <c r="AP496" i="1"/>
  <c r="AQ495" i="1"/>
  <c r="AP495" i="1"/>
  <c r="AQ494" i="1"/>
  <c r="AP494" i="1"/>
  <c r="AQ493" i="1"/>
  <c r="AP493" i="1"/>
  <c r="AQ492" i="1"/>
  <c r="AP492" i="1"/>
  <c r="AQ491" i="1"/>
  <c r="AP491" i="1"/>
  <c r="AQ490" i="1"/>
  <c r="AP490" i="1"/>
  <c r="AQ489" i="1"/>
  <c r="AP489" i="1"/>
  <c r="AQ488" i="1"/>
  <c r="AP488" i="1"/>
  <c r="AQ487" i="1"/>
  <c r="AP487" i="1"/>
  <c r="AQ486" i="1"/>
  <c r="AP486" i="1"/>
  <c r="AQ417" i="1"/>
  <c r="AP417" i="1"/>
  <c r="AQ416" i="1"/>
  <c r="AP416" i="1"/>
  <c r="AQ415" i="1"/>
  <c r="AP415" i="1"/>
  <c r="AQ414" i="1"/>
  <c r="AP414" i="1"/>
  <c r="AQ413" i="1"/>
  <c r="AP413" i="1"/>
  <c r="AQ412" i="1"/>
  <c r="AP412" i="1"/>
  <c r="AQ411" i="1"/>
  <c r="AP411" i="1"/>
  <c r="AQ410" i="1"/>
  <c r="AP410" i="1"/>
  <c r="AQ409" i="1"/>
  <c r="AP409" i="1"/>
  <c r="AQ408" i="1"/>
  <c r="AP408" i="1"/>
  <c r="AQ407" i="1"/>
  <c r="AP407" i="1"/>
  <c r="AQ406" i="1"/>
  <c r="AP406" i="1"/>
  <c r="AQ405" i="1"/>
  <c r="AP405" i="1"/>
  <c r="AQ404" i="1"/>
  <c r="AP404" i="1"/>
  <c r="AQ403" i="1"/>
  <c r="AP403" i="1"/>
  <c r="AQ402" i="1"/>
  <c r="AP402" i="1"/>
  <c r="AQ401" i="1"/>
  <c r="AP401" i="1"/>
  <c r="AQ400" i="1"/>
  <c r="AP400" i="1"/>
  <c r="AQ399" i="1"/>
  <c r="AP399" i="1"/>
  <c r="AQ398" i="1"/>
  <c r="AP398" i="1"/>
  <c r="AQ397" i="1"/>
  <c r="AP397" i="1"/>
  <c r="AQ396" i="1"/>
  <c r="AP396" i="1"/>
  <c r="AQ395" i="1"/>
  <c r="AP395" i="1"/>
  <c r="AQ394" i="1"/>
  <c r="AP394" i="1"/>
  <c r="AQ393" i="1"/>
  <c r="AP393" i="1"/>
  <c r="AQ392" i="1"/>
  <c r="AP392" i="1"/>
  <c r="AQ391" i="1"/>
  <c r="AP391" i="1"/>
  <c r="AQ390" i="1"/>
  <c r="AP390" i="1"/>
  <c r="AP340" i="1"/>
  <c r="AP339" i="1"/>
  <c r="AP338" i="1"/>
  <c r="AP337" i="1"/>
  <c r="AP336" i="1"/>
  <c r="AP335" i="1"/>
  <c r="AP334" i="1"/>
  <c r="AP333" i="1"/>
  <c r="AQ321" i="1"/>
  <c r="AQ320" i="1"/>
  <c r="AQ319" i="1"/>
  <c r="AQ318" i="1"/>
  <c r="AQ317" i="1"/>
  <c r="AQ316" i="1"/>
  <c r="AQ315" i="1"/>
  <c r="AQ314" i="1"/>
  <c r="AQ313" i="1"/>
  <c r="AQ312" i="1"/>
  <c r="AQ311" i="1"/>
  <c r="AQ310" i="1"/>
  <c r="AQ309" i="1"/>
  <c r="AQ308" i="1"/>
  <c r="AQ307" i="1"/>
  <c r="AQ306" i="1"/>
  <c r="AQ305" i="1"/>
  <c r="AQ304" i="1"/>
  <c r="AQ303" i="1"/>
  <c r="AQ302" i="1"/>
  <c r="AQ301" i="1"/>
  <c r="AQ300" i="1"/>
  <c r="AQ299" i="1"/>
  <c r="AQ298" i="1"/>
  <c r="AQ297" i="1"/>
  <c r="AQ296" i="1"/>
  <c r="AQ295" i="1"/>
  <c r="AQ294" i="1"/>
  <c r="AP299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8" i="1"/>
  <c r="AP297" i="1"/>
  <c r="AP296" i="1"/>
  <c r="AP295" i="1"/>
  <c r="AP294" i="1"/>
  <c r="AP224" i="1"/>
  <c r="AQ225" i="1"/>
  <c r="AQ224" i="1"/>
  <c r="AQ223" i="1"/>
  <c r="AQ222" i="1"/>
  <c r="AQ221" i="1"/>
  <c r="AQ220" i="1"/>
  <c r="AQ219" i="1"/>
  <c r="AQ218" i="1"/>
  <c r="AQ217" i="1"/>
  <c r="AQ216" i="1"/>
  <c r="AQ215" i="1"/>
  <c r="AQ214" i="1"/>
  <c r="AQ213" i="1"/>
  <c r="AQ212" i="1"/>
  <c r="AQ211" i="1"/>
  <c r="AQ210" i="1"/>
  <c r="AQ209" i="1"/>
  <c r="AQ208" i="1"/>
  <c r="AQ207" i="1"/>
  <c r="AQ206" i="1"/>
  <c r="AQ205" i="1"/>
  <c r="AQ204" i="1"/>
  <c r="AQ203" i="1"/>
  <c r="AQ202" i="1"/>
  <c r="AQ201" i="1"/>
  <c r="AQ200" i="1"/>
  <c r="AQ199" i="1"/>
  <c r="AP225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Q198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706" i="1" l="1"/>
  <c r="AQ706" i="1"/>
  <c r="AQ610" i="1"/>
  <c r="AP610" i="1"/>
  <c r="AP514" i="1"/>
  <c r="AQ514" i="1"/>
  <c r="AQ418" i="1"/>
  <c r="AP418" i="1"/>
  <c r="AP322" i="1"/>
  <c r="AQ322" i="1"/>
  <c r="AP226" i="1"/>
  <c r="AQ226" i="1"/>
  <c r="AP130" i="1"/>
  <c r="AQ130" i="1"/>
  <c r="AQ32" i="1" l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33" i="1"/>
  <c r="AP29" i="1"/>
  <c r="AQ34" i="1" l="1"/>
  <c r="AP21" i="1" l="1"/>
  <c r="AP33" i="1"/>
  <c r="AP32" i="1"/>
  <c r="AP31" i="1"/>
  <c r="AP30" i="1"/>
  <c r="AP27" i="1"/>
  <c r="AP28" i="1"/>
  <c r="AP26" i="1"/>
  <c r="AP25" i="1"/>
  <c r="AP24" i="1"/>
  <c r="AP23" i="1"/>
  <c r="AP22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F196" i="1"/>
  <c r="F100" i="1"/>
  <c r="F4" i="1"/>
  <c r="AP3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tc={EB23B1A4-B2F6-4834-92C0-AB5A4B71C433}</author>
  </authors>
  <commentList>
    <comment ref="C33" authorId="0" shapeId="0" xr:uid="{EB23B1A4-B2F6-4834-92C0-AB5A4B71C433}">
      <text>
        <t>[Threaded comment]
Your version of Excel allows you to read this threaded comment; however, any edits to it will get removed if the file is opened in a newer version of Excel. Learn more: https://go.microsoft.com/fwlink/?linkid=870924
Comment:
    Entire Tool Conversion to GNR W</t>
      </text>
    </comment>
  </commentList>
</comments>
</file>

<file path=xl/sharedStrings.xml><?xml version="1.0" encoding="utf-8"?>
<sst xmlns="http://schemas.openxmlformats.org/spreadsheetml/2006/main" count="6865" uniqueCount="280">
  <si>
    <t>Initial ww</t>
  </si>
  <si>
    <t>ICDCs</t>
  </si>
  <si>
    <t>2169 GT</t>
  </si>
  <si>
    <t xml:space="preserve">RC 3.8.HDMx.0 Build108 </t>
  </si>
  <si>
    <t>Prime time</t>
  </si>
  <si>
    <t>Off Shift</t>
  </si>
  <si>
    <t>Prod</t>
  </si>
  <si>
    <t>TOS</t>
  </si>
  <si>
    <t>Product</t>
  </si>
  <si>
    <t>Vertical-Product</t>
  </si>
  <si>
    <t>PT Qty</t>
  </si>
  <si>
    <t>OS Qty</t>
  </si>
  <si>
    <t>L05</t>
  </si>
  <si>
    <t xml:space="preserve">ICDC2745 </t>
  </si>
  <si>
    <t>Sk 3.6</t>
  </si>
  <si>
    <t>3.9.x.x</t>
  </si>
  <si>
    <t>MPE-DMR UCC</t>
  </si>
  <si>
    <t>4.0.x.x</t>
  </si>
  <si>
    <t>EMR XCC</t>
  </si>
  <si>
    <t>MPE-EMR XCC</t>
  </si>
  <si>
    <t>L04</t>
  </si>
  <si>
    <t xml:space="preserve">ICDC4004 </t>
  </si>
  <si>
    <t>EMR MCC</t>
  </si>
  <si>
    <t>MPE-EMR MCC</t>
  </si>
  <si>
    <t>L03</t>
  </si>
  <si>
    <t>ICDC2902</t>
  </si>
  <si>
    <t>GNR SP</t>
  </si>
  <si>
    <t>MPE-GNR SP</t>
  </si>
  <si>
    <t>L02</t>
  </si>
  <si>
    <t>ICDC3678</t>
  </si>
  <si>
    <t>GNR AP</t>
  </si>
  <si>
    <t>MPE-GNR AP</t>
  </si>
  <si>
    <t>L01</t>
  </si>
  <si>
    <t>SRF AP</t>
  </si>
  <si>
    <t>MPE-SRF AP</t>
  </si>
  <si>
    <t>SPR XCC</t>
  </si>
  <si>
    <t>MPE-SPR XCC</t>
  </si>
  <si>
    <t>SPR HBM</t>
  </si>
  <si>
    <t>MPE-SPR HBM</t>
  </si>
  <si>
    <t>RSD</t>
  </si>
  <si>
    <t>MPE-RSD</t>
  </si>
  <si>
    <t>SPR MCC/WS</t>
  </si>
  <si>
    <t>MPE-SPR MCC/WS</t>
  </si>
  <si>
    <t>SRF SP</t>
  </si>
  <si>
    <t>MPE-SRF SP</t>
  </si>
  <si>
    <t>LCD</t>
  </si>
  <si>
    <t>MPE-LCD</t>
  </si>
  <si>
    <t>MTL H</t>
  </si>
  <si>
    <t>MPE-MTL H</t>
  </si>
  <si>
    <t>CWF AP</t>
  </si>
  <si>
    <t>MPE-CWF AP</t>
  </si>
  <si>
    <t>CLX/SKX</t>
  </si>
  <si>
    <t>MPE-CLX/SKX</t>
  </si>
  <si>
    <t>ARL S</t>
  </si>
  <si>
    <t>MPE-ARL S</t>
  </si>
  <si>
    <t>PVC</t>
  </si>
  <si>
    <t>MPE-PVC</t>
  </si>
  <si>
    <t>DMR</t>
  </si>
  <si>
    <t>NVL</t>
  </si>
  <si>
    <t>MPE-NVL</t>
  </si>
  <si>
    <t>GMM</t>
  </si>
  <si>
    <t>MPE-GMM</t>
  </si>
  <si>
    <t>product</t>
  </si>
  <si>
    <t xml:space="preserve">Skyline 3.7.HDMx.0 Release Build180 </t>
  </si>
  <si>
    <t>TLO</t>
  </si>
  <si>
    <t>IDLE</t>
  </si>
  <si>
    <t>MPE-IDLE</t>
  </si>
  <si>
    <t>3.10.x.x_HB</t>
  </si>
  <si>
    <t>IOTG</t>
  </si>
  <si>
    <t>Total</t>
  </si>
  <si>
    <t>3.10.x.x</t>
  </si>
  <si>
    <t>TLO-GNR AP</t>
  </si>
  <si>
    <t>TLO-GNR SP</t>
  </si>
  <si>
    <t>MPE-GNR SP LCC</t>
  </si>
  <si>
    <t>TLO-ICX</t>
  </si>
  <si>
    <t>TLO-EMR XCC</t>
  </si>
  <si>
    <t>TLO-EMR MCC</t>
  </si>
  <si>
    <t>TLO-SRF SP</t>
  </si>
  <si>
    <t>TLO-SPR HBM</t>
  </si>
  <si>
    <t>3.10.x.x_EB</t>
  </si>
  <si>
    <t>TLO-SPR 112L</t>
  </si>
  <si>
    <t>TLO-SRF AP</t>
  </si>
  <si>
    <t>TLO - SPR MCC/WS</t>
  </si>
  <si>
    <t>4.10.x.x</t>
  </si>
  <si>
    <t>Subject</t>
  </si>
  <si>
    <t>1866 GT</t>
  </si>
  <si>
    <t>MPE-GNR SP HCC</t>
  </si>
  <si>
    <t>MPE-GNR SP XCC</t>
  </si>
  <si>
    <t>1844 (-30)</t>
  </si>
  <si>
    <t xml:space="preserve">RC 3.8.HDMx.0 Build81 </t>
  </si>
  <si>
    <t xml:space="preserve">1844 (-30) </t>
  </si>
  <si>
    <t>3.9.x.x_EB</t>
  </si>
  <si>
    <t> </t>
  </si>
  <si>
    <t>TLO-SPR XCC</t>
  </si>
  <si>
    <t>QTY Cells</t>
  </si>
  <si>
    <t>HDBI 4786</t>
  </si>
  <si>
    <t>HDBI 5082</t>
  </si>
  <si>
    <t>Prime time / Off Shift</t>
  </si>
  <si>
    <t>Prime time / Off shift</t>
  </si>
  <si>
    <t>Cell</t>
  </si>
  <si>
    <t>Column LA</t>
  </si>
  <si>
    <t>Column RA</t>
  </si>
  <si>
    <t xml:space="preserve">Column LB  </t>
  </si>
  <si>
    <t xml:space="preserve">Column LC  </t>
  </si>
  <si>
    <t xml:space="preserve">Column RA   </t>
  </si>
  <si>
    <t xml:space="preserve">Column RB  </t>
  </si>
  <si>
    <t xml:space="preserve">Column RC  </t>
  </si>
  <si>
    <t>QUAL GNR/SRF/CWF AP (x8)</t>
  </si>
  <si>
    <t>Samples-DMR (x4)</t>
  </si>
  <si>
    <t>Samples-DMR (X4)</t>
  </si>
  <si>
    <t>BI-SRF/GNR SP HCC/LCC (X8)</t>
  </si>
  <si>
    <t>Samples GNR/SRF/CWF AP (x8)</t>
  </si>
  <si>
    <t>BI-DMR (X4)</t>
  </si>
  <si>
    <t>Empty</t>
  </si>
  <si>
    <t>BI - SPR/EMR MCC (X8)</t>
  </si>
  <si>
    <t>BI-GNR SP XCC (x8)</t>
  </si>
  <si>
    <t>BI-GNR D XCC (x8)</t>
  </si>
  <si>
    <t>Qual-DMR (x4)</t>
  </si>
  <si>
    <t>BI-GNR/SRF / CWF AP (x4) (only debug)</t>
  </si>
  <si>
    <t>BI - SPR/EMR XCC (X16)</t>
  </si>
  <si>
    <t>BI-GNR D HCC (x8)</t>
  </si>
  <si>
    <t>BI-GNR/SRF/CWF AP (x8)</t>
  </si>
  <si>
    <r>
      <rPr>
        <sz val="10"/>
        <color rgb="FF000000"/>
        <rFont val="Arial"/>
        <family val="2"/>
      </rPr>
      <t xml:space="preserve">BI-SRF/GNR SP LCC / </t>
    </r>
    <r>
      <rPr>
        <b/>
        <sz val="10"/>
        <color rgb="FF000000"/>
        <rFont val="Arial"/>
        <family val="2"/>
      </rPr>
      <t>GMM</t>
    </r>
    <r>
      <rPr>
        <sz val="10"/>
        <color rgb="FF000000"/>
        <rFont val="Arial"/>
        <family val="2"/>
      </rPr>
      <t xml:space="preserve"> (X8)</t>
    </r>
  </si>
  <si>
    <t>BDC 5257</t>
  </si>
  <si>
    <t>BDC4944</t>
  </si>
  <si>
    <t>Prime time /Off shift</t>
  </si>
  <si>
    <t>BI-GNR D XCC (x4) (only debug)</t>
  </si>
  <si>
    <t>TRB Debug</t>
  </si>
  <si>
    <t>SAMPLES-DMR (x4)</t>
  </si>
  <si>
    <t>BI-DMR (x1)</t>
  </si>
  <si>
    <t>BI-SRF SP (x8)</t>
  </si>
  <si>
    <t>SAMPLES GNR/SRF/CWF AP (x8)</t>
  </si>
  <si>
    <t>BI - SRF SP (x8)</t>
  </si>
  <si>
    <t>BI-DMR (x4)</t>
  </si>
  <si>
    <t>DOWN</t>
  </si>
  <si>
    <t>BI-DMR</t>
  </si>
  <si>
    <t>BI-GNR D XCC (x2)</t>
  </si>
  <si>
    <t>BI-GNR D XCC (x4)</t>
  </si>
  <si>
    <t>CR4560</t>
  </si>
  <si>
    <t>CR4678</t>
  </si>
  <si>
    <t>CR4681</t>
  </si>
  <si>
    <t>CR4682</t>
  </si>
  <si>
    <t>CR 4683</t>
  </si>
  <si>
    <t>CR4686</t>
  </si>
  <si>
    <t>Products</t>
  </si>
  <si>
    <t>Level</t>
  </si>
  <si>
    <t>A501</t>
  </si>
  <si>
    <t>MPQ_CWF-AP-XDCC-RPB</t>
  </si>
  <si>
    <t>MPQ_GNR-SP-XCC-RPB</t>
  </si>
  <si>
    <t>MPQ_DMR_AP_SDE</t>
  </si>
  <si>
    <t>MPQ_SRF-AP-UCC-RPB</t>
  </si>
  <si>
    <t>MPQ_GNR-SP-XCC-SDE</t>
  </si>
  <si>
    <t>MPQ_GNR-EWS-SDE</t>
  </si>
  <si>
    <t>A401</t>
  </si>
  <si>
    <t>MPQ_CWF-AP-XDCC-SDE</t>
  </si>
  <si>
    <t>MPQ_GNR-AP-UCC-SDE</t>
  </si>
  <si>
    <t>MPQ_GNR-AP-UCC-RPB</t>
  </si>
  <si>
    <t>A301</t>
  </si>
  <si>
    <t>MPQ_SRF-SP-XCC-META</t>
  </si>
  <si>
    <t>A201</t>
  </si>
  <si>
    <t>A101</t>
  </si>
  <si>
    <t>MPQ_GNR-AP-UCC-ASTERA</t>
  </si>
  <si>
    <t>CR4952</t>
  </si>
  <si>
    <t>CR4954</t>
  </si>
  <si>
    <t>CR4956</t>
  </si>
  <si>
    <t>CR5155</t>
  </si>
  <si>
    <t>CR5158</t>
  </si>
  <si>
    <t>CR5256</t>
  </si>
  <si>
    <t>MPQ_GNR-AP-UCC-SDE-TLO</t>
  </si>
  <si>
    <t>MPQ_DMR_AP1_CB</t>
  </si>
  <si>
    <t>MPQ_DMR_AP_CB</t>
  </si>
  <si>
    <t>MPQ_GNR-SP-XCC-RIO</t>
  </si>
  <si>
    <t>MPQ_SRF-AP-UCC-SDE</t>
  </si>
  <si>
    <t>MPQ_SRF-SP-XCC-ROW</t>
  </si>
  <si>
    <t>MPQ_SPR-SP-XCC-SDE</t>
  </si>
  <si>
    <t>CR7156</t>
  </si>
  <si>
    <t>CR4677</t>
  </si>
  <si>
    <t>CR4685</t>
  </si>
  <si>
    <t>CR4955</t>
  </si>
  <si>
    <t>CR7157</t>
  </si>
  <si>
    <t>CR7158</t>
  </si>
  <si>
    <t>MPQ_EMR-SP-XCC-RPB</t>
  </si>
  <si>
    <t>MPQ_EMR-SP-XCC-SDE</t>
  </si>
  <si>
    <t>MPQ_EMR-SP-MCC-RPB</t>
  </si>
  <si>
    <t>MPQ_EMR-SP-MCC-SDE</t>
  </si>
  <si>
    <t>MPQ_SRF-SP-XCC-SDE</t>
  </si>
  <si>
    <t>MPQ_SRF-AP-UCC-ASTERA</t>
  </si>
  <si>
    <t>MPQ_GNR-EWS-RPB</t>
  </si>
  <si>
    <t>CR7159</t>
  </si>
  <si>
    <t>CR4953</t>
  </si>
  <si>
    <t>MPQ_SPR-MCC</t>
  </si>
  <si>
    <t>MPQ_SRF-SP-XCC-HVC</t>
  </si>
  <si>
    <t>MPQ_SRF-SP-XCC-META-RPB</t>
  </si>
  <si>
    <t>GNR SP SDE</t>
  </si>
  <si>
    <t>SEC 15</t>
  </si>
  <si>
    <t>SEC 16</t>
  </si>
  <si>
    <t>SEC 17</t>
  </si>
  <si>
    <t>SEC 18</t>
  </si>
  <si>
    <t>SRF</t>
  </si>
  <si>
    <t>ICX</t>
  </si>
  <si>
    <t>CPX SP XCC</t>
  </si>
  <si>
    <t>MPQ_GNR-SP-ASTERA</t>
  </si>
  <si>
    <t>SEC 19</t>
  </si>
  <si>
    <t>SEC 20</t>
  </si>
  <si>
    <t>SEC 21</t>
  </si>
  <si>
    <t>SEC 22</t>
  </si>
  <si>
    <t>SEC 23</t>
  </si>
  <si>
    <t>MPQ_SPR-SP-HBM-SDE</t>
  </si>
  <si>
    <t>SPR XCC SDE</t>
  </si>
  <si>
    <t>MPQ_SPR-SP-XCC-2ND</t>
  </si>
  <si>
    <t>MPQ_GNR-WS-RPB</t>
  </si>
  <si>
    <t>SEC 26</t>
  </si>
  <si>
    <t xml:space="preserve">SEC 27 </t>
  </si>
  <si>
    <t>SEC 28</t>
  </si>
  <si>
    <t>SEC 29</t>
  </si>
  <si>
    <t>GNR WS SDE</t>
  </si>
  <si>
    <t>SPR XCC 2ND</t>
  </si>
  <si>
    <t>MPQ_SRF-SP-XCC-ASTERA</t>
  </si>
  <si>
    <t>SEC 30 CR03TPPV0014</t>
  </si>
  <si>
    <t>SEC 31</t>
  </si>
  <si>
    <t>SEC 32</t>
  </si>
  <si>
    <t>SEC 33</t>
  </si>
  <si>
    <t>SEC 34</t>
  </si>
  <si>
    <t>SEC 35 CR03TPPV0096</t>
  </si>
  <si>
    <t>SEC 36 CR03TPBT0001</t>
  </si>
  <si>
    <t>SEC 37 CR03TPBT0001</t>
  </si>
  <si>
    <t>SEC 38 CR03TPPV0002EN</t>
  </si>
  <si>
    <t>CR0001 - SST0001</t>
  </si>
  <si>
    <t>CR0002 - SST0002</t>
  </si>
  <si>
    <t>Qty</t>
  </si>
  <si>
    <t>A</t>
  </si>
  <si>
    <t>B</t>
  </si>
  <si>
    <t>C</t>
  </si>
  <si>
    <t>D</t>
  </si>
  <si>
    <t>E</t>
  </si>
  <si>
    <t>MPQ_GNR-ASTERA</t>
  </si>
  <si>
    <t>CR0005 - SST0005</t>
  </si>
  <si>
    <t>CR0000 - SST0003</t>
  </si>
  <si>
    <t>MPQ_SPR-HBM</t>
  </si>
  <si>
    <t>MPQ_SPR-XCC</t>
  </si>
  <si>
    <t>MPQ_SPR112L_SDE</t>
  </si>
  <si>
    <t>MPQ_SPR-EWS-SDE</t>
  </si>
  <si>
    <t>MPQ_SPR-MCC-2ND</t>
  </si>
  <si>
    <t>MPQ_SPR-HBM 2ND</t>
  </si>
  <si>
    <t>MPQ_SPR-XCC 2ND</t>
  </si>
  <si>
    <t>MPQ_SPR112L_RPB</t>
  </si>
  <si>
    <t>MPQ_SPR-EWS-2ND</t>
  </si>
  <si>
    <t>CR0008 - SST0008</t>
  </si>
  <si>
    <t>CR0009 - SST0009</t>
  </si>
  <si>
    <t>ww45.2</t>
  </si>
  <si>
    <t>MPQ_SRF-SP-ASTERA</t>
  </si>
  <si>
    <t>CR0001 - SST0004</t>
  </si>
  <si>
    <t>CR0001 - SST0010</t>
  </si>
  <si>
    <t>IOTG_SPRM</t>
  </si>
  <si>
    <t>CR4326</t>
  </si>
  <si>
    <t>CR4471</t>
  </si>
  <si>
    <t>CR4467</t>
  </si>
  <si>
    <t>CR4711</t>
  </si>
  <si>
    <t>CR4739</t>
  </si>
  <si>
    <t>CR4938</t>
  </si>
  <si>
    <t>CR4906</t>
  </si>
  <si>
    <t>CR5351</t>
  </si>
  <si>
    <t>CR5209</t>
  </si>
  <si>
    <t>MPQ_DMR_AP_SDE(pending release)</t>
  </si>
  <si>
    <t>RA1S020</t>
  </si>
  <si>
    <t>RA2S029</t>
  </si>
  <si>
    <t>RA1S023</t>
  </si>
  <si>
    <t>RA2S026</t>
  </si>
  <si>
    <t>RA1S017</t>
  </si>
  <si>
    <t>RA2S030</t>
  </si>
  <si>
    <t>RA1S014</t>
  </si>
  <si>
    <t>RA2S027</t>
  </si>
  <si>
    <t>RA2S020</t>
  </si>
  <si>
    <t>MPQ_DMR_AP_IO</t>
  </si>
  <si>
    <t>RA2S017</t>
  </si>
  <si>
    <t>RA2S014</t>
  </si>
  <si>
    <t>RA2S008</t>
  </si>
  <si>
    <t>RA2S009</t>
  </si>
  <si>
    <t>RA2S005</t>
  </si>
  <si>
    <t>RA1S030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</si>
</sst>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242424"/>
      <name val="Aptos Narrow"/>
      <family val="2"/>
    </font>
    <font>
      <b/>
      <sz val="20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Aptos Narrow"/>
      <family val="2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AF4D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5FED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8CF0D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8D60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EB7FB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8E8E8"/>
        <bgColor rgb="FF000000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14999847407452621"/>
      </right>
      <top style="thin">
        <color theme="0" tint="-0.34998626667073579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34998626667073579"/>
      </bottom>
      <diagonal/>
    </border>
    <border>
      <left style="thin">
        <color theme="1" tint="0.499984740745262"/>
      </left>
      <right style="thin">
        <color theme="0" tint="-0.34998626667073579"/>
      </right>
      <top/>
      <bottom/>
      <diagonal/>
    </border>
    <border>
      <left style="thin">
        <color theme="0" tint="-0.14999847407452621"/>
      </left>
      <right style="thin">
        <color theme="1" tint="0.499984740745262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1499984740745262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8" borderId="1" xfId="0" applyFill="1" applyBorder="1"/>
    <xf numFmtId="0" fontId="5" fillId="9" borderId="1" xfId="0" applyFont="1" applyFill="1" applyBorder="1"/>
    <xf numFmtId="0" fontId="5" fillId="10" borderId="1" xfId="0" applyFont="1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3" borderId="0" xfId="0" applyFill="1"/>
    <xf numFmtId="0" fontId="0" fillId="2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2" fillId="21" borderId="1" xfId="0" applyFont="1" applyFill="1" applyBorder="1"/>
    <xf numFmtId="0" fontId="0" fillId="22" borderId="1" xfId="0" applyFill="1" applyBorder="1"/>
    <xf numFmtId="0" fontId="4" fillId="6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7" borderId="0" xfId="0" applyFont="1" applyFill="1"/>
    <xf numFmtId="0" fontId="3" fillId="7" borderId="0" xfId="0" applyFont="1" applyFill="1" applyAlignment="1">
      <alignment horizontal="center" vertical="center"/>
    </xf>
    <xf numFmtId="0" fontId="0" fillId="7" borderId="0" xfId="0" applyFill="1"/>
    <xf numFmtId="0" fontId="0" fillId="0" borderId="0" xfId="0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0" fillId="11" borderId="0" xfId="0" applyFill="1"/>
    <xf numFmtId="0" fontId="0" fillId="24" borderId="1" xfId="0" applyFill="1" applyBorder="1"/>
    <xf numFmtId="0" fontId="4" fillId="10" borderId="0" xfId="0" applyFont="1" applyFill="1" applyAlignment="1">
      <alignment horizontal="center"/>
    </xf>
    <xf numFmtId="0" fontId="0" fillId="10" borderId="0" xfId="0" applyFill="1"/>
    <xf numFmtId="0" fontId="6" fillId="0" borderId="0" xfId="0" applyFont="1"/>
    <xf numFmtId="0" fontId="7" fillId="25" borderId="0" xfId="0" applyFont="1" applyFill="1" applyAlignment="1">
      <alignment horizontal="center" vertical="center"/>
    </xf>
    <xf numFmtId="0" fontId="8" fillId="26" borderId="23" xfId="0" applyFont="1" applyFill="1" applyBorder="1" applyAlignment="1">
      <alignment horizontal="center" vertical="center"/>
    </xf>
    <xf numFmtId="0" fontId="8" fillId="26" borderId="11" xfId="0" applyFont="1" applyFill="1" applyBorder="1" applyAlignment="1">
      <alignment horizontal="center" vertical="center"/>
    </xf>
    <xf numFmtId="0" fontId="8" fillId="26" borderId="20" xfId="0" applyFont="1" applyFill="1" applyBorder="1" applyAlignment="1">
      <alignment horizontal="center" vertical="center"/>
    </xf>
    <xf numFmtId="0" fontId="8" fillId="26" borderId="2" xfId="0" applyFont="1" applyFill="1" applyBorder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6" fillId="11" borderId="24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0" fillId="30" borderId="24" xfId="0" applyFont="1" applyFill="1" applyBorder="1" applyAlignment="1">
      <alignment horizontal="center"/>
    </xf>
    <xf numFmtId="0" fontId="10" fillId="31" borderId="24" xfId="0" applyFont="1" applyFill="1" applyBorder="1" applyAlignment="1">
      <alignment horizontal="center"/>
    </xf>
    <xf numFmtId="0" fontId="10" fillId="30" borderId="25" xfId="0" applyFont="1" applyFill="1" applyBorder="1" applyAlignment="1">
      <alignment horizontal="center"/>
    </xf>
    <xf numFmtId="0" fontId="10" fillId="11" borderId="24" xfId="0" applyFont="1" applyFill="1" applyBorder="1" applyAlignment="1">
      <alignment horizontal="center"/>
    </xf>
    <xf numFmtId="0" fontId="10" fillId="33" borderId="12" xfId="0" applyFont="1" applyFill="1" applyBorder="1" applyAlignment="1">
      <alignment horizontal="center"/>
    </xf>
    <xf numFmtId="0" fontId="6" fillId="11" borderId="25" xfId="0" applyFont="1" applyFill="1" applyBorder="1" applyAlignment="1">
      <alignment horizontal="center"/>
    </xf>
    <xf numFmtId="0" fontId="6" fillId="27" borderId="13" xfId="0" applyFont="1" applyFill="1" applyBorder="1" applyAlignment="1">
      <alignment horizontal="center"/>
    </xf>
    <xf numFmtId="0" fontId="6" fillId="0" borderId="16" xfId="0" applyFont="1" applyBorder="1"/>
    <xf numFmtId="0" fontId="6" fillId="0" borderId="17" xfId="0" applyFont="1" applyBorder="1"/>
    <xf numFmtId="0" fontId="8" fillId="23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29" borderId="12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0" borderId="18" xfId="0" applyFont="1" applyBorder="1"/>
    <xf numFmtId="0" fontId="6" fillId="0" borderId="19" xfId="0" applyFont="1" applyBorder="1"/>
    <xf numFmtId="0" fontId="10" fillId="32" borderId="24" xfId="0" applyFont="1" applyFill="1" applyBorder="1" applyAlignment="1">
      <alignment horizontal="center"/>
    </xf>
    <xf numFmtId="0" fontId="10" fillId="27" borderId="26" xfId="0" applyFont="1" applyFill="1" applyBorder="1" applyAlignment="1">
      <alignment horizontal="center"/>
    </xf>
    <xf numFmtId="0" fontId="10" fillId="17" borderId="24" xfId="0" applyFont="1" applyFill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8" fillId="26" borderId="27" xfId="0" applyFont="1" applyFill="1" applyBorder="1" applyAlignment="1">
      <alignment horizontal="center" vertical="center"/>
    </xf>
    <xf numFmtId="0" fontId="6" fillId="29" borderId="24" xfId="0" applyFont="1" applyFill="1" applyBorder="1" applyAlignment="1">
      <alignment horizontal="center"/>
    </xf>
    <xf numFmtId="0" fontId="6" fillId="29" borderId="25" xfId="0" applyFont="1" applyFill="1" applyBorder="1" applyAlignment="1">
      <alignment horizontal="center"/>
    </xf>
    <xf numFmtId="0" fontId="0" fillId="24" borderId="0" xfId="0" applyFill="1"/>
    <xf numFmtId="0" fontId="10" fillId="32" borderId="12" xfId="0" applyFont="1" applyFill="1" applyBorder="1" applyAlignment="1">
      <alignment horizontal="center"/>
    </xf>
    <xf numFmtId="0" fontId="10" fillId="27" borderId="13" xfId="0" applyFont="1" applyFill="1" applyBorder="1" applyAlignment="1">
      <alignment horizontal="center"/>
    </xf>
    <xf numFmtId="0" fontId="10" fillId="34" borderId="12" xfId="0" applyFont="1" applyFill="1" applyBorder="1" applyAlignment="1">
      <alignment horizontal="center"/>
    </xf>
    <xf numFmtId="0" fontId="10" fillId="18" borderId="12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12" borderId="0" xfId="0" applyFill="1"/>
    <xf numFmtId="0" fontId="2" fillId="0" borderId="1" xfId="0" applyFont="1" applyBorder="1" applyAlignment="1">
      <alignment horizontal="center"/>
    </xf>
    <xf numFmtId="0" fontId="13" fillId="21" borderId="39" xfId="0" applyFont="1" applyFill="1" applyBorder="1"/>
    <xf numFmtId="0" fontId="2" fillId="35" borderId="1" xfId="0" applyFon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39" xfId="0" applyFont="1" applyBorder="1"/>
    <xf numFmtId="0" fontId="0" fillId="0" borderId="39" xfId="0" applyBorder="1"/>
    <xf numFmtId="0" fontId="0" fillId="37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36" borderId="39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38" borderId="1" xfId="0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/>
    </xf>
    <xf numFmtId="0" fontId="0" fillId="40" borderId="1" xfId="0" applyFill="1" applyBorder="1" applyAlignment="1">
      <alignment horizontal="center"/>
    </xf>
    <xf numFmtId="0" fontId="0" fillId="41" borderId="1" xfId="0" applyFill="1" applyBorder="1" applyAlignment="1">
      <alignment horizontal="center"/>
    </xf>
    <xf numFmtId="0" fontId="0" fillId="12" borderId="39" xfId="0" applyFill="1" applyBorder="1"/>
    <xf numFmtId="0" fontId="0" fillId="5" borderId="39" xfId="0" applyFill="1" applyBorder="1" applyAlignment="1">
      <alignment horizontal="center"/>
    </xf>
    <xf numFmtId="0" fontId="2" fillId="21" borderId="39" xfId="0" applyFont="1" applyFill="1" applyBorder="1"/>
    <xf numFmtId="0" fontId="0" fillId="8" borderId="39" xfId="0" applyFill="1" applyBorder="1"/>
    <xf numFmtId="0" fontId="5" fillId="10" borderId="39" xfId="0" applyFont="1" applyFill="1" applyBorder="1"/>
    <xf numFmtId="0" fontId="0" fillId="17" borderId="39" xfId="0" applyFill="1" applyBorder="1"/>
    <xf numFmtId="0" fontId="0" fillId="2" borderId="39" xfId="0" applyFill="1" applyBorder="1"/>
    <xf numFmtId="0" fontId="0" fillId="16" borderId="39" xfId="0" applyFill="1" applyBorder="1"/>
    <xf numFmtId="0" fontId="2" fillId="5" borderId="39" xfId="0" applyFont="1" applyFill="1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14" fillId="0" borderId="0" xfId="0" applyFont="1"/>
    <xf numFmtId="0" fontId="2" fillId="35" borderId="1" xfId="0" applyFont="1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/>
    </xf>
    <xf numFmtId="0" fontId="10" fillId="31" borderId="12" xfId="0" applyFont="1" applyFill="1" applyBorder="1" applyAlignment="1">
      <alignment horizontal="center"/>
    </xf>
    <xf numFmtId="0" fontId="16" fillId="0" borderId="0" xfId="0" applyFont="1"/>
    <xf numFmtId="0" fontId="16" fillId="42" borderId="0" xfId="0" applyFont="1" applyFill="1"/>
    <xf numFmtId="0" fontId="10" fillId="28" borderId="24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28" borderId="0" xfId="0" applyFont="1" applyFill="1" applyAlignment="1">
      <alignment horizontal="center" vertical="center"/>
    </xf>
    <xf numFmtId="0" fontId="8" fillId="28" borderId="18" xfId="0" applyFont="1" applyFill="1" applyBorder="1" applyAlignment="1">
      <alignment horizontal="center" vertical="center"/>
    </xf>
    <xf numFmtId="0" fontId="8" fillId="23" borderId="14" xfId="0" applyFont="1" applyFill="1" applyBorder="1" applyAlignment="1">
      <alignment horizontal="center"/>
    </xf>
    <xf numFmtId="0" fontId="8" fillId="23" borderId="8" xfId="0" applyFont="1" applyFill="1" applyBorder="1" applyAlignment="1">
      <alignment horizontal="center"/>
    </xf>
    <xf numFmtId="0" fontId="8" fillId="23" borderId="9" xfId="0" applyFont="1" applyFill="1" applyBorder="1" applyAlignment="1">
      <alignment horizontal="center"/>
    </xf>
    <xf numFmtId="0" fontId="8" fillId="23" borderId="7" xfId="0" applyFont="1" applyFill="1" applyBorder="1" applyAlignment="1">
      <alignment horizontal="center"/>
    </xf>
    <xf numFmtId="0" fontId="8" fillId="23" borderId="3" xfId="0" applyFont="1" applyFill="1" applyBorder="1" applyAlignment="1">
      <alignment horizontal="center"/>
    </xf>
    <xf numFmtId="0" fontId="8" fillId="23" borderId="15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23" borderId="30" xfId="0" applyFont="1" applyFill="1" applyBorder="1" applyAlignment="1">
      <alignment horizontal="center"/>
    </xf>
    <xf numFmtId="0" fontId="8" fillId="23" borderId="10" xfId="0" applyFont="1" applyFill="1" applyBorder="1" applyAlignment="1">
      <alignment horizontal="center"/>
    </xf>
    <xf numFmtId="0" fontId="8" fillId="23" borderId="31" xfId="0" applyFont="1" applyFill="1" applyBorder="1" applyAlignment="1">
      <alignment horizontal="center"/>
    </xf>
    <xf numFmtId="0" fontId="8" fillId="23" borderId="28" xfId="0" applyFont="1" applyFill="1" applyBorder="1" applyAlignment="1">
      <alignment horizontal="center"/>
    </xf>
    <xf numFmtId="0" fontId="8" fillId="23" borderId="29" xfId="0" applyFont="1" applyFill="1" applyBorder="1" applyAlignment="1">
      <alignment horizontal="center"/>
    </xf>
    <xf numFmtId="0" fontId="2" fillId="11" borderId="36" xfId="0" applyFont="1" applyFill="1" applyBorder="1" applyAlignment="1">
      <alignment horizontal="center" vertical="center"/>
    </xf>
    <xf numFmtId="0" fontId="2" fillId="11" borderId="32" xfId="0" applyFont="1" applyFill="1" applyBorder="1" applyAlignment="1">
      <alignment horizontal="center" vertical="center"/>
    </xf>
    <xf numFmtId="0" fontId="2" fillId="16" borderId="36" xfId="0" applyFont="1" applyFill="1" applyBorder="1" applyAlignment="1">
      <alignment horizontal="center" vertical="center"/>
    </xf>
    <xf numFmtId="0" fontId="2" fillId="16" borderId="32" xfId="0" applyFont="1" applyFill="1" applyBorder="1" applyAlignment="1">
      <alignment horizontal="center" vertical="center"/>
    </xf>
    <xf numFmtId="0" fontId="2" fillId="11" borderId="42" xfId="0" applyFont="1" applyFill="1" applyBorder="1" applyAlignment="1">
      <alignment horizontal="center" vertical="center"/>
    </xf>
    <xf numFmtId="0" fontId="2" fillId="11" borderId="43" xfId="0" applyFont="1" applyFill="1" applyBorder="1" applyAlignment="1">
      <alignment horizontal="center" vertical="center"/>
    </xf>
    <xf numFmtId="0" fontId="2" fillId="16" borderId="42" xfId="0" applyFont="1" applyFill="1" applyBorder="1" applyAlignment="1">
      <alignment horizontal="center" vertical="center"/>
    </xf>
    <xf numFmtId="0" fontId="2" fillId="16" borderId="43" xfId="0" applyFont="1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2" fillId="10" borderId="36" xfId="0" applyFont="1" applyFill="1" applyBorder="1" applyAlignment="1">
      <alignment horizontal="center" vertical="center"/>
    </xf>
    <xf numFmtId="0" fontId="2" fillId="10" borderId="32" xfId="0" applyFont="1" applyFill="1" applyBorder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41" xfId="0" applyFill="1" applyBorder="1" applyAlignment="1">
      <alignment horizontal="center" vertical="center"/>
    </xf>
    <xf numFmtId="0" fontId="2" fillId="10" borderId="42" xfId="0" applyFont="1" applyFill="1" applyBorder="1" applyAlignment="1">
      <alignment horizontal="center" vertical="center"/>
    </xf>
    <xf numFmtId="0" fontId="2" fillId="10" borderId="43" xfId="0" applyFont="1" applyFill="1" applyBorder="1" applyAlignment="1">
      <alignment horizontal="center" vertical="center"/>
    </xf>
    <xf numFmtId="0" fontId="2" fillId="10" borderId="4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10" borderId="37" xfId="0" applyFont="1" applyFill="1" applyBorder="1" applyAlignment="1">
      <alignment horizontal="center" vertical="center"/>
    </xf>
    <xf numFmtId="0" fontId="2" fillId="10" borderId="38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4" xfId="0" applyFont="1" applyFill="1" applyBorder="1" applyAlignment="1">
      <alignment horizontal="center" vertical="center"/>
    </xf>
    <xf numFmtId="0" fontId="2" fillId="29" borderId="33" xfId="0" applyFont="1" applyFill="1" applyBorder="1" applyAlignment="1">
      <alignment horizontal="center"/>
    </xf>
    <xf numFmtId="0" fontId="2" fillId="29" borderId="34" xfId="0" applyFont="1" applyFill="1" applyBorder="1" applyAlignment="1">
      <alignment horizontal="center"/>
    </xf>
    <xf numFmtId="0" fontId="2" fillId="29" borderId="35" xfId="0" applyFont="1" applyFill="1" applyBorder="1" applyAlignment="1">
      <alignment horizontal="center"/>
    </xf>
    <xf numFmtId="0" fontId="2" fillId="29" borderId="1" xfId="0" applyFont="1" applyFill="1" applyBorder="1" applyAlignment="1">
      <alignment horizontal="center"/>
    </xf>
  </cellXfs>
  <cellStyles count="1">
    <cellStyle name="Normal" xfId="0" builtinId="0"/>
  </cellStyles>
  <dxfs count="9960"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24994659260841701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color theme="2"/>
      </font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D0F84E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D0F84E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2" tint="-9.9948118533890809E-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E4F0BA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rgb="FFD0F84E"/>
        </patternFill>
      </fill>
    </dxf>
    <dxf>
      <fill>
        <patternFill>
          <bgColor rgb="FFD0F84E"/>
        </patternFill>
      </fill>
    </dxf>
    <dxf>
      <fill>
        <patternFill>
          <bgColor rgb="FFD0F84E"/>
        </patternFill>
      </fill>
    </dxf>
    <dxf>
      <fill>
        <patternFill>
          <bgColor rgb="FFD0F84E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rgb="FFD0F84E"/>
        </patternFill>
      </fill>
    </dxf>
    <dxf>
      <fill>
        <patternFill patternType="none">
          <bgColor auto="1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rgb="FFFAE6E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E4F0BA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rgb="FFE4F0BA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rgb="FFE4F0BA"/>
        </patternFill>
      </fill>
    </dxf>
    <dxf>
      <fill>
        <patternFill>
          <bgColor theme="7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rgb="FFD0F84E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E4F0BA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D0F84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rgb="FFE4F0BA"/>
        </patternFill>
      </fill>
    </dxf>
    <dxf>
      <fill>
        <patternFill patternType="none">
          <bgColor auto="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AE6E2"/>
        </patternFill>
      </fill>
    </dxf>
    <dxf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2"/>
        </patternFill>
      </fill>
    </dxf>
    <dxf>
      <fill>
        <patternFill>
          <bgColor rgb="FFD0F84E"/>
        </patternFill>
      </fill>
    </dxf>
  </dxfs>
  <tableStyles count="0" defaultTableStyle="TableStyleMedium2" defaultPivotStyle="PivotStyleLight16"/>
  <colors>
    <mruColors>
      <color rgb="FF09E7DC"/>
      <color rgb="FFE4F0BA"/>
      <color rgb="FFD0F84E"/>
      <color rgb="FFFAE6E2"/>
      <color rgb="FFF9D9C7"/>
      <color rgb="FFFAF4D6"/>
      <color rgb="FFFF99CC"/>
      <color rgb="FFCCCCFF"/>
      <color rgb="FFF8D608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rillo Cubero, Daniel" id="{2A0B054D-F640-472C-A11C-8FCE9E337708}" userId="S::daniel.murillo.cubero@intel.com::dfde5340-9236-44b9-ab53-e29676abc34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3" dT="2025-11-04T20:15:50.11" personId="{2A0B054D-F640-472C-A11C-8FCE9E337708}" id="{EB23B1A4-B2F6-4834-92C0-AB5A4B71C433}">
    <text>Entire Tool Conversion to GNR W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3CB6-D46B-41A7-B93E-CE061652E9D4}">
  <dimension ref="D1:AR769"/>
  <sheetViews>
    <sheetView showGridLines="0" topLeftCell="A744" zoomScale="55" zoomScaleNormal="55" workbookViewId="0">
      <selection activeCell="AB746" sqref="AB746"/>
    </sheetView>
  </sheetViews>
  <sheetFormatPr defaultRowHeight="15" x14ac:dyDescent="0.25"/>
  <cols>
    <col min="1" max="1" width="4" customWidth="1"/>
    <col min="2" max="3" width="2.5703125" customWidth="1"/>
    <col min="7" max="7" width="2.42578125" customWidth="1"/>
    <col min="8" max="8" width="4.5703125" customWidth="1"/>
    <col min="9" max="9" width="19.42578125" bestFit="1" customWidth="1"/>
    <col min="10" max="10" width="12.42578125" bestFit="1" customWidth="1"/>
    <col min="12" max="12" width="19.42578125" bestFit="1" customWidth="1"/>
    <col min="13" max="13" width="12.42578125" bestFit="1" customWidth="1"/>
    <col min="14" max="14" width="1.42578125" customWidth="1"/>
    <col min="15" max="15" width="4" customWidth="1"/>
    <col min="17" max="17" width="19.5703125" customWidth="1"/>
    <col min="18" max="18" width="14.42578125" bestFit="1" customWidth="1"/>
    <col min="20" max="20" width="19.5703125" bestFit="1" customWidth="1"/>
    <col min="21" max="21" width="14.42578125" bestFit="1" customWidth="1"/>
    <col min="22" max="22" width="7.42578125" bestFit="1" customWidth="1"/>
    <col min="23" max="23" width="4.5703125" customWidth="1"/>
    <col min="24" max="24" width="5.42578125" customWidth="1"/>
    <col min="25" max="25" width="29.42578125" bestFit="1" customWidth="1"/>
    <col min="26" max="26" width="12.42578125" bestFit="1" customWidth="1"/>
    <col min="28" max="28" width="29.42578125" bestFit="1" customWidth="1"/>
    <col min="29" max="29" width="12.42578125" bestFit="1" customWidth="1"/>
    <col min="30" max="30" width="2.5703125" customWidth="1"/>
    <col min="31" max="31" width="4.5703125" customWidth="1"/>
    <col min="33" max="33" width="18.5703125" customWidth="1"/>
    <col min="34" max="34" width="14" bestFit="1" customWidth="1"/>
    <col min="36" max="36" width="19.5703125" bestFit="1" customWidth="1"/>
    <col min="37" max="37" width="14.42578125" bestFit="1" customWidth="1"/>
    <col min="38" max="38" width="2.5703125" customWidth="1"/>
    <col min="40" max="40" width="15.42578125" bestFit="1" customWidth="1"/>
    <col min="41" max="41" width="21.5703125" bestFit="1" customWidth="1"/>
    <col min="42" max="42" width="10" bestFit="1" customWidth="1"/>
    <col min="43" max="43" width="10.42578125" bestFit="1" customWidth="1"/>
    <col min="45" max="45" width="36.5703125" customWidth="1"/>
  </cols>
  <sheetData>
    <row r="1" spans="4:44" x14ac:dyDescent="0.25">
      <c r="D1" s="1" t="s">
        <v>0</v>
      </c>
      <c r="E1" s="1"/>
      <c r="F1" s="1">
        <v>16</v>
      </c>
    </row>
    <row r="3" spans="4:44" ht="14.45" customHeight="1" x14ac:dyDescent="0.25"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24"/>
      <c r="V3" s="124"/>
      <c r="W3" s="124"/>
      <c r="X3" s="124"/>
      <c r="Y3" s="124" t="s">
        <v>1</v>
      </c>
      <c r="Z3" s="124"/>
      <c r="AA3" s="124"/>
      <c r="AB3" s="124"/>
      <c r="AC3" s="124"/>
      <c r="AD3" s="26"/>
      <c r="AE3" s="3"/>
      <c r="AF3" s="2"/>
      <c r="AG3" s="36" t="s">
        <v>2</v>
      </c>
      <c r="AH3" s="36"/>
      <c r="AI3" s="36"/>
      <c r="AJ3" s="36" t="s">
        <v>3</v>
      </c>
      <c r="AK3" s="37"/>
      <c r="AL3" s="3"/>
      <c r="AM3" s="2"/>
      <c r="AN3" s="2"/>
      <c r="AO3" s="2"/>
      <c r="AP3" s="2"/>
      <c r="AQ3" s="2"/>
      <c r="AR3" s="2"/>
    </row>
    <row r="4" spans="4:44" ht="14.45" customHeight="1" x14ac:dyDescent="0.25">
      <c r="E4" s="2"/>
      <c r="F4" s="125" t="str">
        <f>"ww"&amp;IF(LEFT($F$1,2)&lt;10,"0"&amp;LEFT($F$1,2),LEFT($F$1,2))&amp;".4"</f>
        <v>ww16.4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6" t="s">
        <v>4</v>
      </c>
      <c r="Z4" s="26"/>
      <c r="AA4" s="26"/>
      <c r="AB4" s="26" t="s">
        <v>5</v>
      </c>
      <c r="AC4" s="26"/>
      <c r="AD4" s="26"/>
      <c r="AE4" s="3"/>
      <c r="AF4" s="2"/>
      <c r="AG4" s="26" t="s">
        <v>4</v>
      </c>
      <c r="AH4" s="26"/>
      <c r="AI4" s="26"/>
      <c r="AJ4" s="26" t="s">
        <v>5</v>
      </c>
      <c r="AK4" s="26"/>
      <c r="AL4" s="3"/>
      <c r="AM4" s="2"/>
      <c r="AN4" s="2"/>
      <c r="AO4" s="2"/>
      <c r="AP4" s="2"/>
      <c r="AQ4" s="2"/>
      <c r="AR4" s="2"/>
    </row>
    <row r="5" spans="4:44" ht="14.45" customHeight="1" x14ac:dyDescent="0.25">
      <c r="E5" s="2"/>
      <c r="F5" s="12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7" t="s">
        <v>6</v>
      </c>
      <c r="Z5" s="27" t="s">
        <v>7</v>
      </c>
      <c r="AA5" s="2"/>
      <c r="AB5" s="27" t="s">
        <v>6</v>
      </c>
      <c r="AC5" s="27" t="s">
        <v>7</v>
      </c>
      <c r="AD5" s="28"/>
      <c r="AE5" s="3"/>
      <c r="AF5" s="2"/>
      <c r="AG5" s="27" t="s">
        <v>2</v>
      </c>
      <c r="AH5" s="27" t="s">
        <v>7</v>
      </c>
      <c r="AI5" s="29"/>
      <c r="AJ5" s="27" t="s">
        <v>2</v>
      </c>
      <c r="AK5" s="27" t="s">
        <v>7</v>
      </c>
      <c r="AL5" s="3"/>
      <c r="AM5" s="2"/>
      <c r="AN5" s="6" t="s">
        <v>8</v>
      </c>
      <c r="AO5" s="6" t="s">
        <v>9</v>
      </c>
      <c r="AP5" s="7" t="s">
        <v>10</v>
      </c>
      <c r="AQ5" s="7" t="s">
        <v>11</v>
      </c>
      <c r="AR5" s="2"/>
    </row>
    <row r="6" spans="4:44" ht="14.45" customHeight="1" x14ac:dyDescent="0.25">
      <c r="E6" s="2"/>
      <c r="F6" s="125"/>
      <c r="G6" s="2"/>
      <c r="H6" s="2" t="s">
        <v>12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0" t="s">
        <v>13</v>
      </c>
      <c r="V6" s="30" t="s">
        <v>14</v>
      </c>
      <c r="W6" s="30"/>
      <c r="X6" s="31"/>
      <c r="Z6" t="s">
        <v>15</v>
      </c>
      <c r="AA6" s="2"/>
      <c r="AC6" t="s">
        <v>15</v>
      </c>
      <c r="AD6" s="2"/>
      <c r="AE6" s="3"/>
      <c r="AF6" s="2" t="s">
        <v>12</v>
      </c>
      <c r="AG6" s="70" t="s">
        <v>16</v>
      </c>
      <c r="AH6" s="32" t="s">
        <v>17</v>
      </c>
      <c r="AI6" s="2"/>
      <c r="AJ6" s="70" t="s">
        <v>16</v>
      </c>
      <c r="AK6" s="32" t="s">
        <v>17</v>
      </c>
      <c r="AL6" s="3"/>
      <c r="AM6" s="2"/>
      <c r="AN6" s="9" t="s">
        <v>18</v>
      </c>
      <c r="AO6" s="9" t="s">
        <v>19</v>
      </c>
      <c r="AP6" s="5">
        <f>(COUNTIF($I3:$I97,"=*"&amp;AO6&amp;"*")+COUNTIF($Q3:$Q97,"=*"&amp;AO6&amp;"*")+COUNTIF($AG3:$AG97,"=*"&amp;AO6&amp;"*")+COUNTIF($Y3:$Y97,"=*"&amp;AO6&amp;"*"))*2</f>
        <v>2</v>
      </c>
      <c r="AQ6" s="5">
        <f>(COUNTIF($L$3:$L$97,"=*"&amp;AO6&amp;"*")+COUNTIF($T$3:$T$97,"=*"&amp;AO6&amp;"*")+COUNTIF($AB$3:$AB$97,"=*"&amp;AO6&amp;"*")+COUNTIF($AJ$3:$AJ$97,"=*"&amp;AO6&amp;"*"))*2</f>
        <v>2</v>
      </c>
      <c r="AR6" s="2"/>
    </row>
    <row r="7" spans="4:44" ht="14.45" customHeight="1" x14ac:dyDescent="0.25">
      <c r="E7" s="2"/>
      <c r="F7" s="125"/>
      <c r="G7" s="2"/>
      <c r="H7" s="2" t="s">
        <v>20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0" t="s">
        <v>21</v>
      </c>
      <c r="V7" s="30" t="s">
        <v>14</v>
      </c>
      <c r="W7" s="30"/>
      <c r="X7" s="31"/>
      <c r="AA7" s="2"/>
      <c r="AD7" s="2"/>
      <c r="AE7" s="3"/>
      <c r="AF7" s="2" t="s">
        <v>20</v>
      </c>
      <c r="AG7" s="70" t="s">
        <v>16</v>
      </c>
      <c r="AH7" s="32" t="s">
        <v>17</v>
      </c>
      <c r="AI7" s="2"/>
      <c r="AJ7" s="70" t="s">
        <v>16</v>
      </c>
      <c r="AK7" s="32" t="s">
        <v>17</v>
      </c>
      <c r="AL7" s="3"/>
      <c r="AM7" s="2"/>
      <c r="AN7" s="10" t="s">
        <v>22</v>
      </c>
      <c r="AO7" s="10" t="s">
        <v>23</v>
      </c>
      <c r="AP7" s="5">
        <f t="shared" ref="AP7:AP22" si="0">(COUNTIF($I$3:$I$97,"=*"&amp;AO7&amp;"*")+COUNTIF($Q$3:$Q$97,"=*"&amp;AO7&amp;"*")+COUNTIF($AG$3:$AG$97,"=*"&amp;AO7&amp;"*")+COUNTIF($Y$3:$Y$97,"=*"&amp;AO7&amp;"*"))*2</f>
        <v>0</v>
      </c>
      <c r="AQ7" s="5">
        <f t="shared" ref="AQ7:AQ32" si="1">(COUNTIF($L$3:$L$97,"=*"&amp;AO7&amp;"*")+COUNTIF($T$3:$T$97,"=*"&amp;AO7&amp;"*")+COUNTIF($AB$3:$AB$97,"=*"&amp;AO7&amp;"*")+COUNTIF($AJ$3:$AJ$97,"=*"&amp;AO7&amp;"*"))*2</f>
        <v>0</v>
      </c>
      <c r="AR7" s="2"/>
    </row>
    <row r="8" spans="4:44" ht="14.45" customHeight="1" x14ac:dyDescent="0.25">
      <c r="E8" s="2"/>
      <c r="F8" s="125"/>
      <c r="G8" s="2"/>
      <c r="H8" s="2" t="s">
        <v>24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30" t="s">
        <v>25</v>
      </c>
      <c r="V8" s="30" t="s">
        <v>14</v>
      </c>
      <c r="W8" s="30"/>
      <c r="X8" s="31"/>
      <c r="Z8" t="s">
        <v>15</v>
      </c>
      <c r="AA8" s="2"/>
      <c r="AC8" t="s">
        <v>15</v>
      </c>
      <c r="AD8" s="2"/>
      <c r="AE8" s="3"/>
      <c r="AF8" s="2" t="s">
        <v>24</v>
      </c>
      <c r="AG8" s="70" t="s">
        <v>16</v>
      </c>
      <c r="AH8" s="32" t="s">
        <v>17</v>
      </c>
      <c r="AI8" s="2"/>
      <c r="AJ8" s="70" t="s">
        <v>16</v>
      </c>
      <c r="AK8" s="32" t="s">
        <v>17</v>
      </c>
      <c r="AL8" s="3"/>
      <c r="AM8" s="2"/>
      <c r="AN8" s="11" t="s">
        <v>26</v>
      </c>
      <c r="AO8" s="11" t="s">
        <v>27</v>
      </c>
      <c r="AP8" s="5">
        <f t="shared" si="0"/>
        <v>14</v>
      </c>
      <c r="AQ8" s="5">
        <f t="shared" si="1"/>
        <v>14</v>
      </c>
      <c r="AR8" s="2"/>
    </row>
    <row r="9" spans="4:44" ht="14.45" customHeight="1" x14ac:dyDescent="0.25">
      <c r="E9" s="2"/>
      <c r="F9" s="125"/>
      <c r="G9" s="2"/>
      <c r="H9" s="2" t="s">
        <v>28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0" t="s">
        <v>29</v>
      </c>
      <c r="V9" s="30" t="s">
        <v>14</v>
      </c>
      <c r="W9" s="30"/>
      <c r="X9" s="31"/>
      <c r="Z9" t="s">
        <v>15</v>
      </c>
      <c r="AA9" s="2"/>
      <c r="AC9" t="s">
        <v>15</v>
      </c>
      <c r="AD9" s="2"/>
      <c r="AE9" s="3"/>
      <c r="AF9" s="2" t="s">
        <v>28</v>
      </c>
      <c r="AG9" s="70" t="s">
        <v>16</v>
      </c>
      <c r="AH9" s="32" t="s">
        <v>17</v>
      </c>
      <c r="AI9" s="2"/>
      <c r="AJ9" s="70" t="s">
        <v>16</v>
      </c>
      <c r="AK9" s="32" t="s">
        <v>17</v>
      </c>
      <c r="AL9" s="3"/>
      <c r="AM9" s="2"/>
      <c r="AN9" s="12" t="s">
        <v>30</v>
      </c>
      <c r="AO9" s="12" t="s">
        <v>31</v>
      </c>
      <c r="AP9" s="5">
        <f t="shared" si="0"/>
        <v>6</v>
      </c>
      <c r="AQ9" s="5">
        <f t="shared" si="1"/>
        <v>6</v>
      </c>
      <c r="AR9" s="2"/>
    </row>
    <row r="10" spans="4:44" ht="14.45" customHeight="1" x14ac:dyDescent="0.25">
      <c r="E10" s="2"/>
      <c r="F10" s="125"/>
      <c r="G10" s="2"/>
      <c r="H10" s="2" t="s">
        <v>32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1"/>
      <c r="V10" s="31"/>
      <c r="W10" s="31"/>
      <c r="X10" s="31"/>
      <c r="AA10" s="2"/>
      <c r="AD10" s="2"/>
      <c r="AE10" s="3"/>
      <c r="AF10" s="2" t="s">
        <v>32</v>
      </c>
      <c r="AG10" s="70" t="s">
        <v>16</v>
      </c>
      <c r="AH10" s="32" t="s">
        <v>17</v>
      </c>
      <c r="AI10" s="2"/>
      <c r="AJ10" s="70" t="s">
        <v>16</v>
      </c>
      <c r="AK10" s="32" t="s">
        <v>17</v>
      </c>
      <c r="AL10" s="3"/>
      <c r="AM10" s="2"/>
      <c r="AN10" s="14" t="s">
        <v>33</v>
      </c>
      <c r="AO10" s="14" t="s">
        <v>34</v>
      </c>
      <c r="AP10" s="5">
        <f t="shared" si="0"/>
        <v>2</v>
      </c>
      <c r="AQ10" s="5">
        <f t="shared" si="1"/>
        <v>2</v>
      </c>
      <c r="AR10" s="2"/>
    </row>
    <row r="11" spans="4:44" ht="14.45" customHeight="1" x14ac:dyDescent="0.25">
      <c r="E11" s="2"/>
      <c r="F11" s="12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3"/>
      <c r="AF11" s="2"/>
      <c r="AG11" s="2"/>
      <c r="AH11" s="2"/>
      <c r="AI11" s="2"/>
      <c r="AJ11" s="2"/>
      <c r="AK11" s="2"/>
      <c r="AL11" s="3"/>
      <c r="AM11" s="2"/>
      <c r="AN11" s="8" t="s">
        <v>35</v>
      </c>
      <c r="AO11" s="8" t="s">
        <v>36</v>
      </c>
      <c r="AP11" s="5">
        <f t="shared" si="0"/>
        <v>2</v>
      </c>
      <c r="AQ11" s="5">
        <f t="shared" si="1"/>
        <v>2</v>
      </c>
      <c r="AR11" s="2"/>
    </row>
    <row r="12" spans="4:44" ht="14.45" customHeight="1" x14ac:dyDescent="0.25">
      <c r="E12" s="2"/>
      <c r="F12" s="12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36">
        <v>2117</v>
      </c>
      <c r="Z12" s="36"/>
      <c r="AA12" s="36"/>
      <c r="AB12" s="36" t="s">
        <v>3</v>
      </c>
      <c r="AC12" s="37"/>
      <c r="AD12" s="2"/>
      <c r="AE12" s="3"/>
      <c r="AF12" s="2"/>
      <c r="AG12" s="36">
        <v>2207</v>
      </c>
      <c r="AH12" s="36"/>
      <c r="AI12" s="36"/>
      <c r="AJ12" s="36" t="s">
        <v>3</v>
      </c>
      <c r="AK12" s="36"/>
      <c r="AL12" s="3"/>
      <c r="AM12" s="2"/>
      <c r="AN12" s="16" t="s">
        <v>37</v>
      </c>
      <c r="AO12" s="16" t="s">
        <v>38</v>
      </c>
      <c r="AP12" s="5">
        <f t="shared" si="0"/>
        <v>0</v>
      </c>
      <c r="AQ12" s="5">
        <f t="shared" si="1"/>
        <v>0</v>
      </c>
      <c r="AR12" s="2"/>
    </row>
    <row r="13" spans="4:44" ht="14.45" customHeight="1" x14ac:dyDescent="0.25">
      <c r="E13" s="2"/>
      <c r="F13" s="12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6" t="s">
        <v>4</v>
      </c>
      <c r="Z13" s="26"/>
      <c r="AA13" s="26"/>
      <c r="AB13" s="26" t="s">
        <v>5</v>
      </c>
      <c r="AC13" s="26"/>
      <c r="AD13" s="26"/>
      <c r="AE13" s="3"/>
      <c r="AF13" s="2"/>
      <c r="AG13" s="26" t="s">
        <v>4</v>
      </c>
      <c r="AH13" s="26"/>
      <c r="AI13" s="26"/>
      <c r="AJ13" s="26" t="s">
        <v>5</v>
      </c>
      <c r="AK13" s="26"/>
      <c r="AL13" s="3"/>
      <c r="AM13" s="2"/>
      <c r="AN13" s="17" t="s">
        <v>39</v>
      </c>
      <c r="AO13" s="17" t="s">
        <v>40</v>
      </c>
      <c r="AP13" s="5">
        <f t="shared" si="0"/>
        <v>0</v>
      </c>
      <c r="AQ13" s="5">
        <f t="shared" si="1"/>
        <v>0</v>
      </c>
      <c r="AR13" s="2"/>
    </row>
    <row r="14" spans="4:44" ht="14.45" customHeight="1" x14ac:dyDescent="0.25">
      <c r="E14" s="2"/>
      <c r="F14" s="125"/>
      <c r="G14" s="2"/>
      <c r="H14" s="2"/>
      <c r="I14" s="2"/>
      <c r="J14" s="2"/>
      <c r="K14" s="2"/>
      <c r="L14" s="2"/>
      <c r="M14" s="2"/>
      <c r="N14" s="2"/>
      <c r="O14" s="2"/>
      <c r="P14" s="2"/>
      <c r="Q14" s="33"/>
      <c r="R14" s="33"/>
      <c r="S14" s="33"/>
      <c r="T14" s="33"/>
      <c r="U14" s="2"/>
      <c r="V14" s="2"/>
      <c r="W14" s="2"/>
      <c r="X14" s="2"/>
      <c r="Y14" s="27">
        <v>2117</v>
      </c>
      <c r="Z14" s="27" t="s">
        <v>7</v>
      </c>
      <c r="AA14" s="2"/>
      <c r="AB14" s="27">
        <v>2117</v>
      </c>
      <c r="AC14" s="27" t="s">
        <v>7</v>
      </c>
      <c r="AD14" s="28"/>
      <c r="AE14" s="3"/>
      <c r="AF14" s="2"/>
      <c r="AG14" s="27">
        <v>2207</v>
      </c>
      <c r="AH14" s="27" t="s">
        <v>7</v>
      </c>
      <c r="AI14" s="29"/>
      <c r="AJ14" s="27">
        <v>2207</v>
      </c>
      <c r="AK14" s="27" t="s">
        <v>7</v>
      </c>
      <c r="AL14" s="3"/>
      <c r="AM14" s="2"/>
      <c r="AN14" s="18" t="s">
        <v>41</v>
      </c>
      <c r="AO14" s="18" t="s">
        <v>42</v>
      </c>
      <c r="AP14" s="5">
        <f t="shared" si="0"/>
        <v>0</v>
      </c>
      <c r="AQ14" s="5">
        <f t="shared" si="1"/>
        <v>0</v>
      </c>
      <c r="AR14" s="2"/>
    </row>
    <row r="15" spans="4:44" ht="14.45" customHeight="1" x14ac:dyDescent="0.25">
      <c r="E15" s="2"/>
      <c r="F15" s="125"/>
      <c r="G15" s="2"/>
      <c r="H15" s="2" t="s">
        <v>12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12</v>
      </c>
      <c r="Y15" s="70" t="s">
        <v>16</v>
      </c>
      <c r="Z15" s="32" t="s">
        <v>17</v>
      </c>
      <c r="AA15" s="2"/>
      <c r="AB15" s="70" t="s">
        <v>16</v>
      </c>
      <c r="AC15" s="32" t="s">
        <v>17</v>
      </c>
      <c r="AD15" s="2"/>
      <c r="AE15" s="3"/>
      <c r="AF15" s="2" t="s">
        <v>12</v>
      </c>
      <c r="AG15" s="70" t="s">
        <v>16</v>
      </c>
      <c r="AH15" s="32" t="s">
        <v>17</v>
      </c>
      <c r="AI15" s="2"/>
      <c r="AJ15" s="70" t="s">
        <v>16</v>
      </c>
      <c r="AK15" s="32" t="s">
        <v>17</v>
      </c>
      <c r="AL15" s="3"/>
      <c r="AM15" s="2"/>
      <c r="AN15" s="19" t="s">
        <v>43</v>
      </c>
      <c r="AO15" s="19" t="s">
        <v>44</v>
      </c>
      <c r="AP15" s="5">
        <f t="shared" si="0"/>
        <v>2</v>
      </c>
      <c r="AQ15" s="5">
        <f t="shared" si="1"/>
        <v>2</v>
      </c>
      <c r="AR15" s="2"/>
    </row>
    <row r="16" spans="4:44" ht="14.45" customHeight="1" x14ac:dyDescent="0.25">
      <c r="E16" s="2"/>
      <c r="F16" s="125"/>
      <c r="G16" s="2"/>
      <c r="H16" s="2" t="s">
        <v>20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20</v>
      </c>
      <c r="Y16" s="70" t="s">
        <v>16</v>
      </c>
      <c r="Z16" s="32" t="s">
        <v>17</v>
      </c>
      <c r="AA16" s="2"/>
      <c r="AB16" s="70" t="s">
        <v>16</v>
      </c>
      <c r="AC16" s="32" t="s">
        <v>17</v>
      </c>
      <c r="AD16" s="2"/>
      <c r="AE16" s="3"/>
      <c r="AF16" s="2" t="s">
        <v>20</v>
      </c>
      <c r="AG16" s="70" t="s">
        <v>16</v>
      </c>
      <c r="AH16" s="32" t="s">
        <v>17</v>
      </c>
      <c r="AI16" s="2"/>
      <c r="AJ16" s="70" t="s">
        <v>16</v>
      </c>
      <c r="AK16" s="32" t="s">
        <v>17</v>
      </c>
      <c r="AL16" s="3"/>
      <c r="AM16" s="2"/>
      <c r="AN16" s="20" t="s">
        <v>45</v>
      </c>
      <c r="AO16" s="20" t="s">
        <v>46</v>
      </c>
      <c r="AP16" s="5">
        <f t="shared" si="0"/>
        <v>0</v>
      </c>
      <c r="AQ16" s="5">
        <f t="shared" si="1"/>
        <v>0</v>
      </c>
      <c r="AR16" s="2"/>
    </row>
    <row r="17" spans="5:44" ht="14.45" customHeight="1" x14ac:dyDescent="0.25">
      <c r="E17" s="2"/>
      <c r="F17" s="125"/>
      <c r="G17" s="2"/>
      <c r="H17" s="2" t="s">
        <v>24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24</v>
      </c>
      <c r="Y17" s="70" t="s">
        <v>16</v>
      </c>
      <c r="Z17" s="32" t="s">
        <v>17</v>
      </c>
      <c r="AA17" s="2"/>
      <c r="AB17" s="70" t="s">
        <v>16</v>
      </c>
      <c r="AC17" s="32" t="s">
        <v>17</v>
      </c>
      <c r="AD17" s="2"/>
      <c r="AE17" s="3"/>
      <c r="AF17" s="2" t="s">
        <v>24</v>
      </c>
      <c r="AG17" s="70" t="s">
        <v>16</v>
      </c>
      <c r="AH17" s="32" t="s">
        <v>17</v>
      </c>
      <c r="AI17" s="2"/>
      <c r="AJ17" s="70" t="s">
        <v>16</v>
      </c>
      <c r="AK17" s="32" t="s">
        <v>17</v>
      </c>
      <c r="AL17" s="3"/>
      <c r="AM17" s="2"/>
      <c r="AN17" s="21" t="s">
        <v>47</v>
      </c>
      <c r="AO17" s="21" t="s">
        <v>48</v>
      </c>
      <c r="AP17" s="5">
        <f t="shared" si="0"/>
        <v>0</v>
      </c>
      <c r="AQ17" s="5">
        <f t="shared" si="1"/>
        <v>0</v>
      </c>
      <c r="AR17" s="2"/>
    </row>
    <row r="18" spans="5:44" ht="14.45" customHeight="1" x14ac:dyDescent="0.25">
      <c r="E18" s="2"/>
      <c r="F18" s="125"/>
      <c r="G18" s="2"/>
      <c r="H18" s="2" t="s">
        <v>28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28</v>
      </c>
      <c r="Y18" s="70" t="s">
        <v>16</v>
      </c>
      <c r="Z18" s="32" t="s">
        <v>17</v>
      </c>
      <c r="AA18" s="2"/>
      <c r="AB18" s="70" t="s">
        <v>16</v>
      </c>
      <c r="AC18" s="32" t="s">
        <v>17</v>
      </c>
      <c r="AD18" s="2"/>
      <c r="AE18" s="3"/>
      <c r="AF18" s="2" t="s">
        <v>28</v>
      </c>
      <c r="AG18" s="70" t="s">
        <v>16</v>
      </c>
      <c r="AH18" s="32" t="s">
        <v>17</v>
      </c>
      <c r="AI18" s="2"/>
      <c r="AJ18" s="70" t="s">
        <v>16</v>
      </c>
      <c r="AK18" s="32" t="s">
        <v>17</v>
      </c>
      <c r="AL18" s="3"/>
      <c r="AM18" s="2"/>
      <c r="AN18" s="13" t="s">
        <v>49</v>
      </c>
      <c r="AO18" s="13" t="s">
        <v>50</v>
      </c>
      <c r="AP18" s="5">
        <f t="shared" si="0"/>
        <v>20</v>
      </c>
      <c r="AQ18" s="5">
        <f t="shared" si="1"/>
        <v>20</v>
      </c>
      <c r="AR18" s="2"/>
    </row>
    <row r="19" spans="5:44" ht="14.45" customHeight="1" x14ac:dyDescent="0.25">
      <c r="E19" s="2"/>
      <c r="F19" s="125"/>
      <c r="G19" s="2"/>
      <c r="H19" s="2" t="s">
        <v>32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32</v>
      </c>
      <c r="Y19" s="70" t="s">
        <v>16</v>
      </c>
      <c r="Z19" s="32" t="s">
        <v>17</v>
      </c>
      <c r="AA19" s="2"/>
      <c r="AB19" s="70" t="s">
        <v>16</v>
      </c>
      <c r="AC19" s="32" t="s">
        <v>17</v>
      </c>
      <c r="AD19" s="2"/>
      <c r="AE19" s="3"/>
      <c r="AF19" s="2" t="s">
        <v>32</v>
      </c>
      <c r="AG19" s="70" t="s">
        <v>16</v>
      </c>
      <c r="AH19" s="32" t="s">
        <v>17</v>
      </c>
      <c r="AI19" s="2"/>
      <c r="AJ19" s="70" t="s">
        <v>16</v>
      </c>
      <c r="AK19" s="32" t="s">
        <v>17</v>
      </c>
      <c r="AL19" s="3"/>
      <c r="AM19" s="2"/>
      <c r="AN19" s="4" t="s">
        <v>51</v>
      </c>
      <c r="AO19" s="4" t="s">
        <v>52</v>
      </c>
      <c r="AP19" s="5">
        <f t="shared" si="0"/>
        <v>0</v>
      </c>
      <c r="AQ19" s="5">
        <f t="shared" si="1"/>
        <v>0</v>
      </c>
      <c r="AR19" s="2"/>
    </row>
    <row r="20" spans="5:44" ht="14.45" customHeight="1" x14ac:dyDescent="0.25">
      <c r="E20" s="2"/>
      <c r="F20" s="12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"/>
      <c r="AF20" s="2"/>
      <c r="AG20" s="2"/>
      <c r="AH20" s="2"/>
      <c r="AI20" s="2"/>
      <c r="AJ20" s="2"/>
      <c r="AK20" s="2"/>
      <c r="AL20" s="3"/>
      <c r="AM20" s="2"/>
      <c r="AN20" s="22" t="s">
        <v>53</v>
      </c>
      <c r="AO20" s="22" t="s">
        <v>54</v>
      </c>
      <c r="AP20" s="5">
        <f t="shared" si="0"/>
        <v>0</v>
      </c>
      <c r="AQ20" s="5">
        <f t="shared" si="1"/>
        <v>0</v>
      </c>
      <c r="AR20" s="2"/>
    </row>
    <row r="21" spans="5:44" ht="14.45" customHeight="1" x14ac:dyDescent="0.25">
      <c r="E21" s="2"/>
      <c r="F21" s="12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36">
        <v>1701</v>
      </c>
      <c r="Z21" s="36"/>
      <c r="AA21" s="36"/>
      <c r="AB21" s="36" t="s">
        <v>3</v>
      </c>
      <c r="AC21" s="37"/>
      <c r="AD21" s="2"/>
      <c r="AE21" s="3"/>
      <c r="AF21" s="2"/>
      <c r="AG21" s="36">
        <v>1785</v>
      </c>
      <c r="AH21" s="36"/>
      <c r="AI21" s="36"/>
      <c r="AJ21" s="36" t="s">
        <v>3</v>
      </c>
      <c r="AK21" s="37"/>
      <c r="AL21" s="3"/>
      <c r="AM21" s="2"/>
      <c r="AN21" s="24" t="s">
        <v>55</v>
      </c>
      <c r="AO21" s="24" t="s">
        <v>56</v>
      </c>
      <c r="AP21" s="5">
        <f>(COUNTIF($I$3:$I$97,"=*"&amp;AO21&amp;"*")+COUNTIF($Q$3:$Q$97,"=*"&amp;AO21&amp;"*")+COUNTIF($AG$3:$AG$97,"=*"&amp;AO21&amp;"*")+COUNTIF($Y$3:$Y$97,"=*"&amp;AO21&amp;"*"))*2</f>
        <v>0</v>
      </c>
      <c r="AQ21" s="5">
        <f t="shared" si="1"/>
        <v>0</v>
      </c>
      <c r="AR21" s="2"/>
    </row>
    <row r="22" spans="5:44" ht="14.45" customHeight="1" x14ac:dyDescent="0.25">
      <c r="E22" s="2"/>
      <c r="F22" s="12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6" t="s">
        <v>4</v>
      </c>
      <c r="Z22" s="26"/>
      <c r="AA22" s="26"/>
      <c r="AB22" s="26" t="s">
        <v>5</v>
      </c>
      <c r="AC22" s="26"/>
      <c r="AD22" s="26"/>
      <c r="AE22" s="3"/>
      <c r="AF22" s="2"/>
      <c r="AG22" s="26" t="s">
        <v>4</v>
      </c>
      <c r="AH22" s="26"/>
      <c r="AI22" s="26"/>
      <c r="AJ22" s="26" t="s">
        <v>5</v>
      </c>
      <c r="AK22" s="26"/>
      <c r="AL22" s="3"/>
      <c r="AM22" s="2"/>
      <c r="AN22" s="35" t="s">
        <v>57</v>
      </c>
      <c r="AO22" s="35" t="s">
        <v>16</v>
      </c>
      <c r="AP22" s="5">
        <f t="shared" si="0"/>
        <v>50</v>
      </c>
      <c r="AQ22" s="5">
        <f t="shared" si="1"/>
        <v>50</v>
      </c>
      <c r="AR22" s="2"/>
    </row>
    <row r="23" spans="5:44" ht="14.45" customHeight="1" x14ac:dyDescent="0.25">
      <c r="E23" s="2"/>
      <c r="F23" s="12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7">
        <v>1701</v>
      </c>
      <c r="Z23" s="27" t="s">
        <v>7</v>
      </c>
      <c r="AA23" s="2"/>
      <c r="AB23" s="27">
        <v>1701</v>
      </c>
      <c r="AC23" s="27" t="s">
        <v>7</v>
      </c>
      <c r="AD23" s="28"/>
      <c r="AE23" s="3"/>
      <c r="AF23" s="2"/>
      <c r="AG23" s="27">
        <v>1785</v>
      </c>
      <c r="AH23" s="27" t="s">
        <v>7</v>
      </c>
      <c r="AI23" s="29"/>
      <c r="AJ23" s="27">
        <v>1785</v>
      </c>
      <c r="AK23" s="27" t="s">
        <v>7</v>
      </c>
      <c r="AL23" s="3"/>
      <c r="AM23" s="2"/>
      <c r="AN23" s="4" t="s">
        <v>58</v>
      </c>
      <c r="AO23" s="4" t="s">
        <v>59</v>
      </c>
      <c r="AP23" s="5">
        <f t="shared" ref="AP23:AP30" si="2">(COUNTIF($I$3:$I$97,"=*"&amp;AO23&amp;"*")+COUNTIF($Q$3:$Q$97,"=*"&amp;AO23&amp;"*")+COUNTIF($AG$3:$AG$97,"=*"&amp;AO23&amp;"*")+COUNTIF($Y$3:$Y$97,"=*"&amp;AO23&amp;"*"))*2</f>
        <v>2</v>
      </c>
      <c r="AQ23" s="5">
        <f t="shared" si="1"/>
        <v>2</v>
      </c>
      <c r="AR23" s="2"/>
    </row>
    <row r="24" spans="5:44" ht="14.45" customHeight="1" x14ac:dyDescent="0.25">
      <c r="E24" s="2"/>
      <c r="F24" s="125"/>
      <c r="G24" s="2"/>
      <c r="H24" s="2" t="s">
        <v>12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12</v>
      </c>
      <c r="Y24" s="70" t="s">
        <v>16</v>
      </c>
      <c r="Z24" s="32" t="s">
        <v>17</v>
      </c>
      <c r="AA24" s="2"/>
      <c r="AB24" s="70" t="s">
        <v>16</v>
      </c>
      <c r="AC24" s="32" t="s">
        <v>17</v>
      </c>
      <c r="AD24" s="2"/>
      <c r="AE24" s="3"/>
      <c r="AF24" s="2" t="s">
        <v>12</v>
      </c>
      <c r="AG24" s="70" t="s">
        <v>16</v>
      </c>
      <c r="AH24" s="32" t="s">
        <v>17</v>
      </c>
      <c r="AI24" s="2"/>
      <c r="AJ24" s="70" t="s">
        <v>16</v>
      </c>
      <c r="AK24" s="32" t="s">
        <v>17</v>
      </c>
      <c r="AL24" s="3"/>
      <c r="AM24" s="2"/>
      <c r="AN24" s="4" t="s">
        <v>60</v>
      </c>
      <c r="AO24" s="4" t="s">
        <v>61</v>
      </c>
      <c r="AP24" s="5">
        <f t="shared" si="2"/>
        <v>6</v>
      </c>
      <c r="AQ24" s="5">
        <f t="shared" si="1"/>
        <v>6</v>
      </c>
      <c r="AR24" s="2"/>
    </row>
    <row r="25" spans="5:44" ht="14.45" customHeight="1" x14ac:dyDescent="0.25">
      <c r="E25" s="2"/>
      <c r="F25" s="125"/>
      <c r="G25" s="2"/>
      <c r="H25" s="2" t="s">
        <v>20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20</v>
      </c>
      <c r="Y25" s="70" t="s">
        <v>16</v>
      </c>
      <c r="Z25" s="32" t="s">
        <v>17</v>
      </c>
      <c r="AA25" s="2"/>
      <c r="AB25" s="70" t="s">
        <v>16</v>
      </c>
      <c r="AC25" s="32" t="s">
        <v>17</v>
      </c>
      <c r="AD25" s="2"/>
      <c r="AE25" s="3"/>
      <c r="AF25" s="2" t="s">
        <v>20</v>
      </c>
      <c r="AG25" s="70" t="s">
        <v>16</v>
      </c>
      <c r="AH25" s="32" t="s">
        <v>17</v>
      </c>
      <c r="AI25" s="2"/>
      <c r="AJ25" s="70" t="s">
        <v>16</v>
      </c>
      <c r="AK25" s="32" t="s">
        <v>17</v>
      </c>
      <c r="AL25" s="3"/>
      <c r="AM25" s="2"/>
      <c r="AN25" s="4" t="s">
        <v>62</v>
      </c>
      <c r="AO25" s="4" t="s">
        <v>62</v>
      </c>
      <c r="AP25" s="5">
        <f t="shared" si="2"/>
        <v>0</v>
      </c>
      <c r="AQ25" s="5">
        <f t="shared" si="1"/>
        <v>0</v>
      </c>
      <c r="AR25" s="2"/>
    </row>
    <row r="26" spans="5:44" ht="14.45" customHeight="1" x14ac:dyDescent="0.25">
      <c r="E26" s="2"/>
      <c r="F26" s="125"/>
      <c r="G26" s="2"/>
      <c r="H26" s="2" t="s">
        <v>24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24</v>
      </c>
      <c r="Y26" s="70" t="s">
        <v>16</v>
      </c>
      <c r="Z26" s="32" t="s">
        <v>17</v>
      </c>
      <c r="AA26" s="2"/>
      <c r="AB26" s="70" t="s">
        <v>16</v>
      </c>
      <c r="AC26" s="32" t="s">
        <v>17</v>
      </c>
      <c r="AD26" s="2"/>
      <c r="AE26" s="3"/>
      <c r="AF26" s="2" t="s">
        <v>24</v>
      </c>
      <c r="AG26" s="70" t="s">
        <v>16</v>
      </c>
      <c r="AH26" s="32" t="s">
        <v>17</v>
      </c>
      <c r="AI26" s="2"/>
      <c r="AJ26" s="70" t="s">
        <v>16</v>
      </c>
      <c r="AK26" s="32" t="s">
        <v>17</v>
      </c>
      <c r="AL26" s="3"/>
      <c r="AM26" s="2"/>
      <c r="AN26" s="4" t="s">
        <v>62</v>
      </c>
      <c r="AO26" s="4" t="s">
        <v>62</v>
      </c>
      <c r="AP26" s="5">
        <f t="shared" si="2"/>
        <v>0</v>
      </c>
      <c r="AQ26" s="5">
        <f t="shared" si="1"/>
        <v>0</v>
      </c>
      <c r="AR26" s="2"/>
    </row>
    <row r="27" spans="5:44" ht="14.45" customHeight="1" x14ac:dyDescent="0.25">
      <c r="E27" s="2"/>
      <c r="F27" s="125"/>
      <c r="G27" s="2"/>
      <c r="H27" s="2" t="s">
        <v>28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28</v>
      </c>
      <c r="Y27" s="70" t="s">
        <v>16</v>
      </c>
      <c r="Z27" s="32" t="s">
        <v>17</v>
      </c>
      <c r="AA27" s="2"/>
      <c r="AB27" s="70" t="s">
        <v>16</v>
      </c>
      <c r="AC27" s="32" t="s">
        <v>17</v>
      </c>
      <c r="AD27" s="2"/>
      <c r="AE27" s="3"/>
      <c r="AF27" s="2" t="s">
        <v>28</v>
      </c>
      <c r="AG27" s="70" t="s">
        <v>16</v>
      </c>
      <c r="AH27" s="32" t="s">
        <v>17</v>
      </c>
      <c r="AI27" s="2"/>
      <c r="AJ27" s="70" t="s">
        <v>16</v>
      </c>
      <c r="AK27" s="32" t="s">
        <v>17</v>
      </c>
      <c r="AL27" s="3"/>
      <c r="AM27" s="2"/>
      <c r="AN27" s="4" t="s">
        <v>62</v>
      </c>
      <c r="AO27" s="4" t="s">
        <v>62</v>
      </c>
      <c r="AP27" s="5">
        <f t="shared" si="2"/>
        <v>0</v>
      </c>
      <c r="AQ27" s="5">
        <f t="shared" si="1"/>
        <v>0</v>
      </c>
      <c r="AR27" s="2"/>
    </row>
    <row r="28" spans="5:44" ht="14.45" customHeight="1" x14ac:dyDescent="0.25">
      <c r="E28" s="2"/>
      <c r="F28" s="125"/>
      <c r="G28" s="2"/>
      <c r="H28" s="2" t="s">
        <v>32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32</v>
      </c>
      <c r="Y28" s="70" t="s">
        <v>16</v>
      </c>
      <c r="Z28" s="32" t="s">
        <v>17</v>
      </c>
      <c r="AA28" s="2"/>
      <c r="AB28" s="70" t="s">
        <v>16</v>
      </c>
      <c r="AC28" s="32" t="s">
        <v>17</v>
      </c>
      <c r="AD28" s="2"/>
      <c r="AE28" s="3"/>
      <c r="AF28" s="2" t="s">
        <v>32</v>
      </c>
      <c r="AG28" s="70" t="s">
        <v>16</v>
      </c>
      <c r="AH28" s="32" t="s">
        <v>17</v>
      </c>
      <c r="AI28" s="2"/>
      <c r="AJ28" s="70" t="s">
        <v>16</v>
      </c>
      <c r="AK28" s="32" t="s">
        <v>17</v>
      </c>
      <c r="AL28" s="3"/>
      <c r="AM28" s="2"/>
      <c r="AN28" s="4" t="s">
        <v>62</v>
      </c>
      <c r="AO28" s="4" t="s">
        <v>62</v>
      </c>
      <c r="AP28" s="5">
        <f t="shared" si="2"/>
        <v>0</v>
      </c>
      <c r="AQ28" s="5">
        <f t="shared" si="1"/>
        <v>0</v>
      </c>
      <c r="AR28" s="2"/>
    </row>
    <row r="29" spans="5:44" ht="14.45" customHeight="1" x14ac:dyDescent="0.25">
      <c r="E29" s="2"/>
      <c r="F29" s="12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3"/>
      <c r="AF29" s="2"/>
      <c r="AG29" s="2"/>
      <c r="AH29" s="2"/>
      <c r="AI29" s="2"/>
      <c r="AJ29" s="2"/>
      <c r="AK29" s="2"/>
      <c r="AL29" s="3"/>
      <c r="AM29" s="2"/>
      <c r="AN29" s="4" t="s">
        <v>62</v>
      </c>
      <c r="AO29" s="4" t="s">
        <v>62</v>
      </c>
      <c r="AP29" s="5">
        <f t="shared" si="2"/>
        <v>0</v>
      </c>
      <c r="AQ29" s="5">
        <f t="shared" si="1"/>
        <v>0</v>
      </c>
      <c r="AR29" s="2"/>
    </row>
    <row r="30" spans="5:44" ht="14.45" customHeight="1" x14ac:dyDescent="0.25">
      <c r="E30" s="2"/>
      <c r="F30" s="12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36">
        <v>1439</v>
      </c>
      <c r="Z30" s="36"/>
      <c r="AA30" s="36"/>
      <c r="AB30" s="36" t="s">
        <v>63</v>
      </c>
      <c r="AC30" s="37"/>
      <c r="AD30" s="2"/>
      <c r="AE30" s="3"/>
      <c r="AF30" s="2"/>
      <c r="AG30" s="25">
        <v>1455</v>
      </c>
      <c r="AH30" s="25"/>
      <c r="AI30" s="25"/>
      <c r="AJ30" s="25" t="s">
        <v>63</v>
      </c>
      <c r="AK30" s="3"/>
      <c r="AL30" s="3"/>
      <c r="AM30" s="2"/>
      <c r="AN30" s="4" t="s">
        <v>62</v>
      </c>
      <c r="AO30" s="4" t="s">
        <v>62</v>
      </c>
      <c r="AP30" s="5">
        <f t="shared" si="2"/>
        <v>0</v>
      </c>
      <c r="AQ30" s="5">
        <f t="shared" si="1"/>
        <v>0</v>
      </c>
      <c r="AR30" s="2"/>
    </row>
    <row r="31" spans="5:44" ht="14.45" customHeight="1" x14ac:dyDescent="0.25">
      <c r="E31" s="2"/>
      <c r="F31" s="12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6" t="s">
        <v>4</v>
      </c>
      <c r="Z31" s="26"/>
      <c r="AA31" s="26"/>
      <c r="AB31" s="26" t="s">
        <v>5</v>
      </c>
      <c r="AC31" s="26"/>
      <c r="AD31" s="26"/>
      <c r="AE31" s="3"/>
      <c r="AF31" s="2"/>
      <c r="AG31" s="26" t="s">
        <v>4</v>
      </c>
      <c r="AH31" s="26"/>
      <c r="AI31" s="26"/>
      <c r="AJ31" s="26" t="s">
        <v>5</v>
      </c>
      <c r="AK31" s="26"/>
      <c r="AL31" s="3"/>
      <c r="AM31" s="2"/>
      <c r="AN31" s="4" t="s">
        <v>64</v>
      </c>
      <c r="AO31" s="4" t="s">
        <v>64</v>
      </c>
      <c r="AP31" s="5">
        <f t="shared" ref="AP31:AP32" si="3">(COUNTIF($I$3:$I$97,"=*"&amp;AO31&amp;"*")+COUNTIF($Q$3:$Q$97,"=*"&amp;AO31&amp;"*")+COUNTIF($AG$3:$AG$97,"=*"&amp;AO31&amp;"*")+COUNTIF($Y$3:$Y$97,"=*"&amp;AO31&amp;"*"))*2</f>
        <v>8</v>
      </c>
      <c r="AQ31" s="5">
        <f t="shared" si="1"/>
        <v>8</v>
      </c>
      <c r="AR31" s="2"/>
    </row>
    <row r="32" spans="5:44" ht="14.45" customHeight="1" x14ac:dyDescent="0.25">
      <c r="E32" s="2"/>
      <c r="F32" s="12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7">
        <v>1439</v>
      </c>
      <c r="Z32" s="27" t="s">
        <v>7</v>
      </c>
      <c r="AA32" s="2"/>
      <c r="AB32" s="27">
        <v>1439</v>
      </c>
      <c r="AC32" s="27" t="s">
        <v>7</v>
      </c>
      <c r="AD32" s="28"/>
      <c r="AE32" s="3"/>
      <c r="AF32" s="2"/>
      <c r="AG32" s="27">
        <v>1455</v>
      </c>
      <c r="AH32" s="27" t="s">
        <v>7</v>
      </c>
      <c r="AI32" s="29"/>
      <c r="AJ32" s="27">
        <v>1455</v>
      </c>
      <c r="AK32" s="27" t="s">
        <v>7</v>
      </c>
      <c r="AL32" s="3"/>
      <c r="AM32" s="2"/>
      <c r="AN32" s="4" t="s">
        <v>65</v>
      </c>
      <c r="AO32" s="4" t="s">
        <v>66</v>
      </c>
      <c r="AP32" s="5">
        <f t="shared" si="3"/>
        <v>66</v>
      </c>
      <c r="AQ32" s="5">
        <f t="shared" si="1"/>
        <v>66</v>
      </c>
      <c r="AR32" s="2"/>
    </row>
    <row r="33" spans="5:44" ht="14.45" customHeight="1" x14ac:dyDescent="0.25">
      <c r="E33" s="2"/>
      <c r="F33" s="125"/>
      <c r="G33" s="2"/>
      <c r="H33" s="2" t="s">
        <v>12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12</v>
      </c>
      <c r="Y33" t="s">
        <v>66</v>
      </c>
      <c r="Z33" s="32" t="s">
        <v>67</v>
      </c>
      <c r="AA33" s="2"/>
      <c r="AB33" t="s">
        <v>66</v>
      </c>
      <c r="AC33" s="32" t="s">
        <v>67</v>
      </c>
      <c r="AD33" s="2"/>
      <c r="AE33" s="3"/>
      <c r="AF33" s="2" t="s">
        <v>12</v>
      </c>
      <c r="AG33" t="s">
        <v>66</v>
      </c>
      <c r="AH33" s="32" t="s">
        <v>67</v>
      </c>
      <c r="AI33" s="2"/>
      <c r="AJ33" t="s">
        <v>66</v>
      </c>
      <c r="AK33" s="32" t="s">
        <v>67</v>
      </c>
      <c r="AL33" s="3"/>
      <c r="AM33" s="2"/>
      <c r="AN33" s="4" t="s">
        <v>68</v>
      </c>
      <c r="AO33" s="4" t="s">
        <v>68</v>
      </c>
      <c r="AP33" s="5">
        <f>(COUNTIF($I$3:$I$97,"=*"&amp;AO33&amp;"*")+COUNTIF($Q$3:$Q$97,"=*"&amp;AO33&amp;"*")+COUNTIF($AG$3:$AG$97,"=*"&amp;AO33&amp;"*")+COUNTIF($Y$3:$Y$97,"=*"&amp;AO33&amp;"*"))*2</f>
        <v>0</v>
      </c>
      <c r="AQ33" s="5">
        <f t="shared" ref="AQ33" si="4">(COUNTIF($L30:$L124,"=*"&amp;AO33&amp;"*")+COUNTIF($T30:$T124,"=*"&amp;AO33&amp;"*")+COUNTIF($AB30:$AB124,"=*"&amp;AO33&amp;"*")+COUNTIF($AJ30:$AJ124,"=*"&amp;AO33&amp;"*"))*2</f>
        <v>0</v>
      </c>
      <c r="AR33" s="2"/>
    </row>
    <row r="34" spans="5:44" ht="14.45" customHeight="1" x14ac:dyDescent="0.25">
      <c r="E34" s="2"/>
      <c r="F34" s="125"/>
      <c r="G34" s="2"/>
      <c r="H34" s="2" t="s">
        <v>20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20</v>
      </c>
      <c r="Y34" t="s">
        <v>66</v>
      </c>
      <c r="Z34" s="32" t="s">
        <v>67</v>
      </c>
      <c r="AA34" s="2"/>
      <c r="AB34" t="s">
        <v>66</v>
      </c>
      <c r="AC34" s="32" t="s">
        <v>67</v>
      </c>
      <c r="AD34" s="2"/>
      <c r="AE34" s="3"/>
      <c r="AF34" s="2" t="s">
        <v>20</v>
      </c>
      <c r="AG34" t="s">
        <v>66</v>
      </c>
      <c r="AH34" s="32" t="s">
        <v>67</v>
      </c>
      <c r="AI34" s="2"/>
      <c r="AJ34" t="s">
        <v>66</v>
      </c>
      <c r="AK34" s="32" t="s">
        <v>67</v>
      </c>
      <c r="AL34" s="3"/>
      <c r="AM34" s="2"/>
      <c r="AN34" s="4"/>
      <c r="AO34" s="4" t="s">
        <v>69</v>
      </c>
      <c r="AP34" s="5">
        <f>+SUM(AP6:AP33)</f>
        <v>180</v>
      </c>
      <c r="AQ34" s="5">
        <f>+SUM(AQ6:AQ33)</f>
        <v>180</v>
      </c>
      <c r="AR34" s="2"/>
    </row>
    <row r="35" spans="5:44" ht="14.45" customHeight="1" x14ac:dyDescent="0.25">
      <c r="E35" s="2"/>
      <c r="F35" s="125"/>
      <c r="G35" s="2"/>
      <c r="H35" s="2" t="s">
        <v>24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 t="s">
        <v>24</v>
      </c>
      <c r="Y35" t="s">
        <v>66</v>
      </c>
      <c r="Z35" s="32" t="s">
        <v>67</v>
      </c>
      <c r="AA35" s="2"/>
      <c r="AB35" t="s">
        <v>66</v>
      </c>
      <c r="AC35" s="32" t="s">
        <v>67</v>
      </c>
      <c r="AD35" s="2"/>
      <c r="AE35" s="3"/>
      <c r="AF35" s="2" t="s">
        <v>24</v>
      </c>
      <c r="AG35" t="s">
        <v>66</v>
      </c>
      <c r="AH35" s="32" t="s">
        <v>67</v>
      </c>
      <c r="AI35" s="2"/>
      <c r="AJ35" t="s">
        <v>66</v>
      </c>
      <c r="AK35" s="32" t="s">
        <v>67</v>
      </c>
      <c r="AL35" s="3"/>
      <c r="AM35" s="2"/>
      <c r="AN35" s="2"/>
      <c r="AO35" s="2"/>
      <c r="AP35" s="2"/>
      <c r="AQ35" s="2"/>
      <c r="AR35" s="2"/>
    </row>
    <row r="36" spans="5:44" ht="14.45" customHeight="1" x14ac:dyDescent="0.25">
      <c r="E36" s="2"/>
      <c r="F36" s="125"/>
      <c r="G36" s="2"/>
      <c r="H36" s="2" t="s">
        <v>28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28</v>
      </c>
      <c r="Y36" t="s">
        <v>66</v>
      </c>
      <c r="Z36" s="32" t="s">
        <v>67</v>
      </c>
      <c r="AA36" s="2"/>
      <c r="AB36" t="s">
        <v>66</v>
      </c>
      <c r="AC36" s="32" t="s">
        <v>67</v>
      </c>
      <c r="AD36" s="2"/>
      <c r="AE36" s="3"/>
      <c r="AF36" s="2" t="s">
        <v>28</v>
      </c>
      <c r="AG36" t="s">
        <v>66</v>
      </c>
      <c r="AH36" s="32" t="s">
        <v>67</v>
      </c>
      <c r="AI36" s="2"/>
      <c r="AJ36" t="s">
        <v>66</v>
      </c>
      <c r="AK36" s="32" t="s">
        <v>67</v>
      </c>
      <c r="AL36" s="3"/>
      <c r="AM36" s="2"/>
      <c r="AN36" s="2"/>
      <c r="AO36" s="2"/>
      <c r="AP36" s="2"/>
      <c r="AQ36" s="2"/>
      <c r="AR36" s="2"/>
    </row>
    <row r="37" spans="5:44" ht="14.45" customHeight="1" x14ac:dyDescent="0.25">
      <c r="E37" s="2"/>
      <c r="F37" s="125"/>
      <c r="G37" s="2"/>
      <c r="H37" s="2" t="s">
        <v>32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32</v>
      </c>
      <c r="Y37" t="s">
        <v>66</v>
      </c>
      <c r="Z37" s="32" t="s">
        <v>67</v>
      </c>
      <c r="AA37" s="2"/>
      <c r="AB37" t="s">
        <v>66</v>
      </c>
      <c r="AC37" s="32" t="s">
        <v>67</v>
      </c>
      <c r="AD37" s="2"/>
      <c r="AE37" s="3"/>
      <c r="AF37" s="2" t="s">
        <v>32</v>
      </c>
      <c r="AG37" t="s">
        <v>66</v>
      </c>
      <c r="AH37" s="32" t="s">
        <v>67</v>
      </c>
      <c r="AI37" s="2"/>
      <c r="AJ37" t="s">
        <v>66</v>
      </c>
      <c r="AK37" s="32" t="s">
        <v>67</v>
      </c>
      <c r="AL37" s="3"/>
      <c r="AM37" s="2"/>
      <c r="AN37" s="2"/>
      <c r="AO37" s="2"/>
      <c r="AP37" s="2"/>
      <c r="AQ37" s="2"/>
      <c r="AR37" s="2"/>
    </row>
    <row r="38" spans="5:44" ht="14.45" customHeight="1" x14ac:dyDescent="0.25">
      <c r="E38" s="2"/>
      <c r="F38" s="12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3"/>
      <c r="AF38" s="2"/>
      <c r="AG38" s="2"/>
      <c r="AH38" s="2"/>
      <c r="AI38" s="2"/>
      <c r="AJ38" s="2"/>
      <c r="AK38" s="2"/>
      <c r="AL38" s="3"/>
      <c r="AM38" s="2"/>
      <c r="AN38" s="2"/>
      <c r="AO38" s="2"/>
      <c r="AP38" s="2"/>
      <c r="AQ38" s="2"/>
      <c r="AR38" s="2"/>
    </row>
    <row r="39" spans="5:44" ht="14.45" customHeight="1" x14ac:dyDescent="0.25">
      <c r="E39" s="2"/>
      <c r="F39" s="125"/>
      <c r="G39" s="2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2"/>
      <c r="AN39" s="2"/>
      <c r="AO39" s="2"/>
      <c r="AP39" s="2"/>
      <c r="AQ39" s="2"/>
      <c r="AR39" s="2"/>
    </row>
    <row r="40" spans="5:44" ht="14.45" customHeight="1" x14ac:dyDescent="0.25">
      <c r="E40" s="2"/>
      <c r="F40" s="125"/>
      <c r="G40" s="2"/>
      <c r="H40" s="2"/>
      <c r="I40" s="2"/>
      <c r="J40" s="2"/>
      <c r="K40" s="2"/>
      <c r="L40" s="2"/>
      <c r="M40" s="2"/>
      <c r="N40" s="2"/>
      <c r="O40" s="3"/>
      <c r="P40" s="2"/>
      <c r="Q40" s="2"/>
      <c r="R40" s="2"/>
      <c r="S40" s="2"/>
      <c r="T40" s="2"/>
      <c r="U40" s="2"/>
      <c r="V40" s="2"/>
      <c r="W40" s="3"/>
      <c r="X40" s="2"/>
      <c r="Y40" s="2"/>
      <c r="Z40" s="2"/>
      <c r="AA40" s="2"/>
      <c r="AB40" s="2"/>
      <c r="AC40" s="2"/>
      <c r="AD40" s="2"/>
      <c r="AE40" s="3"/>
      <c r="AF40" s="2"/>
      <c r="AG40" s="2"/>
      <c r="AH40" s="2"/>
      <c r="AI40" s="2"/>
      <c r="AJ40" s="2"/>
      <c r="AK40" s="2"/>
      <c r="AL40" s="3"/>
      <c r="AM40" s="2"/>
      <c r="AN40" s="2"/>
      <c r="AO40" s="2"/>
      <c r="AP40" s="2"/>
      <c r="AQ40" s="2"/>
      <c r="AR40" s="2"/>
    </row>
    <row r="41" spans="5:44" ht="14.45" customHeight="1" x14ac:dyDescent="0.25">
      <c r="E41" s="2"/>
      <c r="F41" s="125"/>
      <c r="G41" s="2"/>
      <c r="H41" s="2"/>
      <c r="I41" s="25">
        <v>2930</v>
      </c>
      <c r="J41" s="25"/>
      <c r="K41" s="25"/>
      <c r="L41" s="25" t="s">
        <v>63</v>
      </c>
      <c r="M41" s="3"/>
      <c r="N41" s="2"/>
      <c r="O41" s="3"/>
      <c r="P41" s="2"/>
      <c r="Q41" s="25"/>
      <c r="R41" s="25"/>
      <c r="S41" s="25"/>
      <c r="T41" s="25"/>
      <c r="U41" s="3"/>
      <c r="V41" s="2"/>
      <c r="W41" s="3"/>
      <c r="X41" s="2"/>
      <c r="Y41" s="25"/>
      <c r="Z41" s="25"/>
      <c r="AA41" s="25"/>
      <c r="AB41" s="25"/>
      <c r="AC41" s="3"/>
      <c r="AD41" s="2"/>
      <c r="AE41" s="3"/>
      <c r="AF41" s="2"/>
      <c r="AG41" s="25"/>
      <c r="AH41" s="25"/>
      <c r="AI41" s="25"/>
      <c r="AJ41" s="25"/>
      <c r="AK41" s="3"/>
      <c r="AL41" s="3"/>
      <c r="AM41" s="2"/>
      <c r="AN41" s="2"/>
      <c r="AO41" s="2"/>
      <c r="AP41" s="2"/>
      <c r="AQ41" s="2"/>
      <c r="AR41" s="2"/>
    </row>
    <row r="42" spans="5:44" ht="14.45" customHeight="1" x14ac:dyDescent="0.25">
      <c r="E42" s="2"/>
      <c r="F42" s="125"/>
      <c r="G42" s="2"/>
      <c r="H42" s="2"/>
      <c r="I42" s="26" t="s">
        <v>4</v>
      </c>
      <c r="J42" s="26"/>
      <c r="K42" s="26"/>
      <c r="L42" s="26" t="s">
        <v>5</v>
      </c>
      <c r="M42" s="26"/>
      <c r="N42" s="2"/>
      <c r="O42" s="3"/>
      <c r="P42" s="2"/>
      <c r="Q42" s="26"/>
      <c r="R42" s="26"/>
      <c r="S42" s="26"/>
      <c r="T42" s="26"/>
      <c r="U42" s="26"/>
      <c r="V42" s="2"/>
      <c r="W42" s="3"/>
      <c r="X42" s="2"/>
      <c r="Y42" s="26"/>
      <c r="Z42" s="26"/>
      <c r="AA42" s="26"/>
      <c r="AB42" s="26"/>
      <c r="AC42" s="26"/>
      <c r="AD42" s="26"/>
      <c r="AE42" s="3"/>
      <c r="AF42" s="2"/>
      <c r="AG42" s="26"/>
      <c r="AH42" s="26"/>
      <c r="AI42" s="26"/>
      <c r="AJ42" s="26"/>
      <c r="AK42" s="26"/>
      <c r="AL42" s="3"/>
      <c r="AM42" s="2"/>
      <c r="AN42" s="2"/>
      <c r="AO42" s="2"/>
      <c r="AP42" s="2"/>
      <c r="AQ42" s="2"/>
      <c r="AR42" s="2"/>
    </row>
    <row r="43" spans="5:44" ht="14.45" customHeight="1" x14ac:dyDescent="0.25">
      <c r="E43" s="2"/>
      <c r="F43" s="125"/>
      <c r="G43" s="2"/>
      <c r="H43" s="2"/>
      <c r="I43" s="27">
        <v>2930</v>
      </c>
      <c r="J43" s="27" t="s">
        <v>7</v>
      </c>
      <c r="K43" s="2"/>
      <c r="L43" s="27">
        <v>2930</v>
      </c>
      <c r="M43" s="27" t="s">
        <v>7</v>
      </c>
      <c r="N43" s="2"/>
      <c r="O43" s="3"/>
      <c r="P43" s="2"/>
      <c r="Q43" s="27"/>
      <c r="R43" s="27"/>
      <c r="S43" s="2"/>
      <c r="T43" s="27"/>
      <c r="U43" s="27"/>
      <c r="V43" s="2"/>
      <c r="W43" s="3"/>
      <c r="X43" s="2"/>
      <c r="Y43" s="27"/>
      <c r="Z43" s="27"/>
      <c r="AA43" s="2"/>
      <c r="AB43" s="27"/>
      <c r="AC43" s="27"/>
      <c r="AD43" s="28"/>
      <c r="AE43" s="3"/>
      <c r="AF43" s="2"/>
      <c r="AG43" s="27"/>
      <c r="AH43" s="27"/>
      <c r="AI43" s="29"/>
      <c r="AJ43" s="27"/>
      <c r="AK43" s="27"/>
      <c r="AL43" s="3"/>
      <c r="AM43" s="2"/>
      <c r="AN43" s="2"/>
      <c r="AO43" s="2"/>
      <c r="AP43" s="2"/>
      <c r="AQ43" s="2"/>
      <c r="AR43" s="2"/>
    </row>
    <row r="44" spans="5:44" ht="14.45" customHeight="1" x14ac:dyDescent="0.25">
      <c r="E44" s="2"/>
      <c r="F44" s="125"/>
      <c r="G44" s="2"/>
      <c r="H44" s="2" t="s">
        <v>12</v>
      </c>
      <c r="I44" s="81" t="s">
        <v>31</v>
      </c>
      <c r="J44" s="32" t="s">
        <v>70</v>
      </c>
      <c r="K44" s="2"/>
      <c r="L44" s="81" t="s">
        <v>31</v>
      </c>
      <c r="M44" s="32" t="s">
        <v>70</v>
      </c>
      <c r="N44" s="2"/>
      <c r="O44" s="3"/>
      <c r="P44" s="2" t="s">
        <v>12</v>
      </c>
      <c r="R44" s="32"/>
      <c r="S44" s="2"/>
      <c r="U44" s="32"/>
      <c r="V44" s="2"/>
      <c r="W44" s="3"/>
      <c r="X44" s="2" t="s">
        <v>12</v>
      </c>
      <c r="Z44" s="32"/>
      <c r="AA44" s="2"/>
      <c r="AC44" s="32"/>
      <c r="AD44" s="2"/>
      <c r="AE44" s="3"/>
      <c r="AF44" s="2" t="s">
        <v>12</v>
      </c>
      <c r="AH44" s="32"/>
      <c r="AI44" s="2"/>
      <c r="AK44" s="32"/>
      <c r="AL44" s="3"/>
      <c r="AM44" s="2"/>
      <c r="AN44" s="2"/>
      <c r="AO44" s="2"/>
      <c r="AP44" s="2"/>
      <c r="AQ44" s="2"/>
      <c r="AR44" s="2"/>
    </row>
    <row r="45" spans="5:44" ht="14.45" customHeight="1" x14ac:dyDescent="0.25">
      <c r="E45" s="2"/>
      <c r="F45" s="125"/>
      <c r="G45" s="2"/>
      <c r="H45" s="2" t="s">
        <v>20</v>
      </c>
      <c r="I45" s="81" t="s">
        <v>31</v>
      </c>
      <c r="J45" s="32" t="s">
        <v>70</v>
      </c>
      <c r="K45" s="2"/>
      <c r="L45" s="81" t="s">
        <v>31</v>
      </c>
      <c r="M45" s="32" t="s">
        <v>70</v>
      </c>
      <c r="N45" s="2"/>
      <c r="O45" s="3"/>
      <c r="P45" s="2" t="s">
        <v>20</v>
      </c>
      <c r="R45" s="32"/>
      <c r="S45" s="2"/>
      <c r="U45" s="32"/>
      <c r="V45" s="2"/>
      <c r="W45" s="3"/>
      <c r="X45" s="2" t="s">
        <v>20</v>
      </c>
      <c r="Z45" s="32"/>
      <c r="AA45" s="2"/>
      <c r="AC45" s="32"/>
      <c r="AD45" s="2"/>
      <c r="AE45" s="3"/>
      <c r="AF45" s="2" t="s">
        <v>20</v>
      </c>
      <c r="AH45" s="32"/>
      <c r="AI45" s="2"/>
      <c r="AK45" s="32"/>
      <c r="AL45" s="3"/>
      <c r="AM45" s="2"/>
      <c r="AN45" s="2"/>
      <c r="AO45" s="12" t="s">
        <v>71</v>
      </c>
      <c r="AP45" s="5">
        <f>(COUNTIF($I$3:$I$96,"=*"&amp;AO45&amp;"*")+COUNTIF($Q$3:$Q$96,"=*"&amp;AO45&amp;"*")+COUNTIF($AG$3:$AG$96,"=*"&amp;AO45&amp;"*")+COUNTIF($Y$3:$Y$96,"=*"&amp;AO45&amp;"*"))*2</f>
        <v>6</v>
      </c>
      <c r="AQ45" s="2"/>
      <c r="AR45" s="2"/>
    </row>
    <row r="46" spans="5:44" ht="14.45" customHeight="1" x14ac:dyDescent="0.25">
      <c r="E46" s="2"/>
      <c r="F46" s="125"/>
      <c r="G46" s="2"/>
      <c r="H46" s="2" t="s">
        <v>24</v>
      </c>
      <c r="I46" s="81" t="s">
        <v>31</v>
      </c>
      <c r="J46" s="32" t="s">
        <v>70</v>
      </c>
      <c r="K46" s="2"/>
      <c r="L46" s="81" t="s">
        <v>31</v>
      </c>
      <c r="M46" s="32" t="s">
        <v>70</v>
      </c>
      <c r="N46" s="2"/>
      <c r="O46" s="3"/>
      <c r="P46" s="2" t="s">
        <v>24</v>
      </c>
      <c r="R46" s="32"/>
      <c r="S46" s="2"/>
      <c r="U46" s="32"/>
      <c r="V46" s="2"/>
      <c r="W46" s="3"/>
      <c r="X46" s="2" t="s">
        <v>24</v>
      </c>
      <c r="Z46" s="32"/>
      <c r="AA46" s="2"/>
      <c r="AC46" s="32"/>
      <c r="AD46" s="2"/>
      <c r="AE46" s="3"/>
      <c r="AF46" s="2" t="s">
        <v>24</v>
      </c>
      <c r="AH46" s="32"/>
      <c r="AI46" s="2"/>
      <c r="AK46" s="32"/>
      <c r="AL46" s="3"/>
      <c r="AM46" s="2"/>
      <c r="AN46" s="2"/>
      <c r="AO46" s="12" t="s">
        <v>72</v>
      </c>
      <c r="AP46" s="5">
        <f t="shared" ref="AP46:AP55" si="5">(COUNTIF($I$3:$I$96,"=*"&amp;AO46&amp;"*")+COUNTIF($Q$3:$Q$96,"=*"&amp;AO46&amp;"*")+COUNTIF($AG$3:$AG$96,"=*"&amp;AO46&amp;"*")+COUNTIF($Y$3:$Y$96,"=*"&amp;AO46&amp;"*"))*2</f>
        <v>2</v>
      </c>
      <c r="AQ46" s="2"/>
      <c r="AR46" s="2"/>
    </row>
    <row r="47" spans="5:44" ht="14.45" customHeight="1" x14ac:dyDescent="0.25">
      <c r="E47" s="2"/>
      <c r="F47" s="125"/>
      <c r="G47" s="2"/>
      <c r="H47" s="2" t="s">
        <v>28</v>
      </c>
      <c r="I47" s="34" t="s">
        <v>73</v>
      </c>
      <c r="J47" s="32" t="s">
        <v>70</v>
      </c>
      <c r="K47" s="2"/>
      <c r="L47" s="34" t="s">
        <v>73</v>
      </c>
      <c r="M47" s="32" t="s">
        <v>70</v>
      </c>
      <c r="N47" s="2"/>
      <c r="O47" s="3"/>
      <c r="P47" s="2" t="s">
        <v>28</v>
      </c>
      <c r="R47" s="32"/>
      <c r="S47" s="2"/>
      <c r="U47" s="32"/>
      <c r="V47" s="2"/>
      <c r="W47" s="3"/>
      <c r="X47" s="2" t="s">
        <v>28</v>
      </c>
      <c r="Z47" s="32"/>
      <c r="AA47" s="2"/>
      <c r="AC47" s="32"/>
      <c r="AD47" s="2"/>
      <c r="AE47" s="3"/>
      <c r="AF47" s="2" t="s">
        <v>28</v>
      </c>
      <c r="AH47" s="32"/>
      <c r="AI47" s="2"/>
      <c r="AK47" s="32"/>
      <c r="AL47" s="3"/>
      <c r="AM47" s="2"/>
      <c r="AN47" s="2"/>
      <c r="AO47" s="23" t="s">
        <v>74</v>
      </c>
      <c r="AP47" s="5">
        <f t="shared" si="5"/>
        <v>0</v>
      </c>
      <c r="AQ47" s="2"/>
      <c r="AR47" s="2"/>
    </row>
    <row r="48" spans="5:44" ht="14.45" customHeight="1" x14ac:dyDescent="0.25">
      <c r="E48" s="2"/>
      <c r="F48" s="125"/>
      <c r="G48" s="2"/>
      <c r="H48" s="2" t="s">
        <v>32</v>
      </c>
      <c r="I48" s="34" t="s">
        <v>73</v>
      </c>
      <c r="J48" s="32" t="s">
        <v>70</v>
      </c>
      <c r="K48" s="2"/>
      <c r="L48" s="34" t="s">
        <v>73</v>
      </c>
      <c r="M48" s="32" t="s">
        <v>70</v>
      </c>
      <c r="N48" s="2"/>
      <c r="O48" s="3"/>
      <c r="P48" s="2" t="s">
        <v>32</v>
      </c>
      <c r="R48" s="32"/>
      <c r="S48" s="2"/>
      <c r="U48" s="32"/>
      <c r="V48" s="2"/>
      <c r="W48" s="3"/>
      <c r="X48" s="2" t="s">
        <v>32</v>
      </c>
      <c r="Z48" s="32"/>
      <c r="AA48" s="2"/>
      <c r="AC48" s="32"/>
      <c r="AD48" s="2"/>
      <c r="AE48" s="3"/>
      <c r="AF48" s="2" t="s">
        <v>32</v>
      </c>
      <c r="AH48" s="32"/>
      <c r="AI48" s="2"/>
      <c r="AK48" s="32"/>
      <c r="AL48" s="3"/>
      <c r="AM48" s="2"/>
      <c r="AN48" s="2"/>
      <c r="AO48" s="8" t="s">
        <v>36</v>
      </c>
      <c r="AP48" s="5">
        <f t="shared" si="5"/>
        <v>2</v>
      </c>
      <c r="AQ48" s="2"/>
      <c r="AR48" s="2"/>
    </row>
    <row r="49" spans="5:44" ht="14.45" customHeight="1" x14ac:dyDescent="0.25">
      <c r="E49" s="2"/>
      <c r="F49" s="125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3"/>
      <c r="X49" s="2"/>
      <c r="Y49" s="2"/>
      <c r="Z49" s="2"/>
      <c r="AA49" s="2"/>
      <c r="AB49" s="2"/>
      <c r="AC49" s="2"/>
      <c r="AD49" s="2"/>
      <c r="AE49" s="3"/>
      <c r="AF49" s="2"/>
      <c r="AG49" s="2"/>
      <c r="AH49" s="2"/>
      <c r="AI49" s="2"/>
      <c r="AJ49" s="2"/>
      <c r="AK49" s="2"/>
      <c r="AL49" s="3"/>
      <c r="AM49" s="2"/>
      <c r="AN49" s="2"/>
      <c r="AO49" s="10" t="s">
        <v>75</v>
      </c>
      <c r="AP49" s="5">
        <f t="shared" si="5"/>
        <v>0</v>
      </c>
      <c r="AQ49" s="2"/>
      <c r="AR49" s="2"/>
    </row>
    <row r="50" spans="5:44" ht="14.45" customHeight="1" x14ac:dyDescent="0.25">
      <c r="E50" s="2"/>
      <c r="F50" s="125"/>
      <c r="G50" s="2"/>
      <c r="H50" s="2"/>
      <c r="I50" s="25">
        <v>3415</v>
      </c>
      <c r="J50" s="25"/>
      <c r="K50" s="25"/>
      <c r="L50" s="25" t="s">
        <v>63</v>
      </c>
      <c r="M50" s="3"/>
      <c r="N50" s="2"/>
      <c r="O50" s="3"/>
      <c r="P50" s="2"/>
      <c r="Q50" s="36">
        <v>2989</v>
      </c>
      <c r="R50" s="36"/>
      <c r="S50" s="36"/>
      <c r="T50" s="36" t="s">
        <v>3</v>
      </c>
      <c r="U50" s="37"/>
      <c r="V50" s="2"/>
      <c r="W50" s="3"/>
      <c r="X50" s="2"/>
      <c r="Y50" s="25"/>
      <c r="Z50" s="25"/>
      <c r="AA50" s="25"/>
      <c r="AB50" s="25"/>
      <c r="AC50" s="3"/>
      <c r="AD50" s="2"/>
      <c r="AE50" s="3"/>
      <c r="AF50" s="2"/>
      <c r="AG50" s="36">
        <v>1852</v>
      </c>
      <c r="AH50" s="36"/>
      <c r="AI50" s="36"/>
      <c r="AJ50" s="36" t="s">
        <v>63</v>
      </c>
      <c r="AK50" s="37"/>
      <c r="AL50" s="3"/>
      <c r="AM50" s="2"/>
      <c r="AN50" s="2"/>
      <c r="AO50" s="10" t="s">
        <v>76</v>
      </c>
      <c r="AP50" s="5">
        <f t="shared" si="5"/>
        <v>0</v>
      </c>
      <c r="AQ50" s="2"/>
      <c r="AR50" s="2"/>
    </row>
    <row r="51" spans="5:44" ht="14.45" customHeight="1" x14ac:dyDescent="0.25">
      <c r="E51" s="2"/>
      <c r="F51" s="125"/>
      <c r="G51" s="2"/>
      <c r="H51" s="2"/>
      <c r="I51" s="26" t="s">
        <v>4</v>
      </c>
      <c r="J51" s="26"/>
      <c r="K51" s="26"/>
      <c r="L51" s="26" t="s">
        <v>5</v>
      </c>
      <c r="M51" s="26"/>
      <c r="N51" s="2"/>
      <c r="O51" s="3"/>
      <c r="P51" s="2"/>
      <c r="Q51" s="26" t="s">
        <v>4</v>
      </c>
      <c r="R51" s="26"/>
      <c r="S51" s="26"/>
      <c r="T51" s="26" t="s">
        <v>5</v>
      </c>
      <c r="U51" s="26"/>
      <c r="V51" s="2"/>
      <c r="W51" s="3"/>
      <c r="X51" s="2"/>
      <c r="Y51" s="26"/>
      <c r="Z51" s="26"/>
      <c r="AA51" s="26"/>
      <c r="AB51" s="26"/>
      <c r="AC51" s="26"/>
      <c r="AD51" s="26"/>
      <c r="AE51" s="3"/>
      <c r="AF51" s="2"/>
      <c r="AG51" s="26" t="s">
        <v>4</v>
      </c>
      <c r="AH51" s="26"/>
      <c r="AI51" s="26"/>
      <c r="AJ51" s="26" t="s">
        <v>5</v>
      </c>
      <c r="AK51" s="26"/>
      <c r="AL51" s="3"/>
      <c r="AM51" s="2"/>
      <c r="AN51" s="2"/>
      <c r="AO51" s="19" t="s">
        <v>77</v>
      </c>
      <c r="AP51" s="5">
        <f t="shared" si="5"/>
        <v>0</v>
      </c>
      <c r="AQ51" s="2"/>
      <c r="AR51" s="2"/>
    </row>
    <row r="52" spans="5:44" ht="14.45" customHeight="1" x14ac:dyDescent="0.25">
      <c r="E52" s="2"/>
      <c r="F52" s="125"/>
      <c r="G52" s="2"/>
      <c r="H52" s="2"/>
      <c r="I52" s="27">
        <v>3415</v>
      </c>
      <c r="J52" s="27" t="s">
        <v>7</v>
      </c>
      <c r="K52" s="2"/>
      <c r="L52" s="27">
        <v>3415</v>
      </c>
      <c r="M52" s="27" t="s">
        <v>7</v>
      </c>
      <c r="N52" s="2"/>
      <c r="O52" s="3"/>
      <c r="P52" s="2"/>
      <c r="Q52" s="27">
        <v>2989</v>
      </c>
      <c r="R52" s="27" t="s">
        <v>7</v>
      </c>
      <c r="S52" s="2"/>
      <c r="T52" s="27">
        <v>2989</v>
      </c>
      <c r="U52" s="27" t="s">
        <v>7</v>
      </c>
      <c r="V52" s="2"/>
      <c r="W52" s="3"/>
      <c r="X52" s="2"/>
      <c r="Y52" s="27"/>
      <c r="Z52" s="27"/>
      <c r="AA52" s="2"/>
      <c r="AB52" s="27"/>
      <c r="AC52" s="27"/>
      <c r="AD52" s="28"/>
      <c r="AE52" s="3"/>
      <c r="AF52" s="2"/>
      <c r="AG52" s="27">
        <v>1852</v>
      </c>
      <c r="AH52" s="27" t="s">
        <v>7</v>
      </c>
      <c r="AI52" s="29"/>
      <c r="AJ52" s="27">
        <v>1852</v>
      </c>
      <c r="AK52" s="27" t="s">
        <v>7</v>
      </c>
      <c r="AL52" s="3"/>
      <c r="AM52" s="2"/>
      <c r="AN52" s="2"/>
      <c r="AO52" s="16" t="s">
        <v>78</v>
      </c>
      <c r="AP52" s="5">
        <f t="shared" si="5"/>
        <v>0</v>
      </c>
      <c r="AQ52" s="2"/>
      <c r="AR52" s="2"/>
    </row>
    <row r="53" spans="5:44" ht="14.45" customHeight="1" x14ac:dyDescent="0.25">
      <c r="E53" s="2"/>
      <c r="F53" s="125"/>
      <c r="G53" s="2"/>
      <c r="H53" s="2" t="s">
        <v>12</v>
      </c>
      <c r="I53" t="s">
        <v>66</v>
      </c>
      <c r="J53" s="32" t="s">
        <v>79</v>
      </c>
      <c r="K53" s="2"/>
      <c r="L53" t="s">
        <v>66</v>
      </c>
      <c r="M53" s="32" t="s">
        <v>79</v>
      </c>
      <c r="N53" s="2"/>
      <c r="O53" s="3"/>
      <c r="P53" s="2" t="s">
        <v>12</v>
      </c>
      <c r="Q53" t="s">
        <v>66</v>
      </c>
      <c r="R53" s="32" t="s">
        <v>67</v>
      </c>
      <c r="S53" s="2"/>
      <c r="T53" t="s">
        <v>66</v>
      </c>
      <c r="U53" s="32" t="s">
        <v>67</v>
      </c>
      <c r="V53" s="2"/>
      <c r="W53" s="3"/>
      <c r="X53" s="2" t="s">
        <v>12</v>
      </c>
      <c r="Z53" s="32"/>
      <c r="AA53" s="2"/>
      <c r="AC53" s="32"/>
      <c r="AD53" s="2"/>
      <c r="AE53" s="3"/>
      <c r="AF53" s="2" t="s">
        <v>12</v>
      </c>
      <c r="AG53" t="s">
        <v>66</v>
      </c>
      <c r="AH53" s="32" t="s">
        <v>67</v>
      </c>
      <c r="AI53" s="2"/>
      <c r="AJ53" t="s">
        <v>66</v>
      </c>
      <c r="AK53" s="32" t="s">
        <v>67</v>
      </c>
      <c r="AL53" s="3"/>
      <c r="AM53" s="2"/>
      <c r="AN53" s="2"/>
      <c r="AO53" s="8" t="s">
        <v>80</v>
      </c>
      <c r="AP53" s="5">
        <f t="shared" si="5"/>
        <v>0</v>
      </c>
      <c r="AQ53" s="2"/>
      <c r="AR53" s="2"/>
    </row>
    <row r="54" spans="5:44" ht="14.45" customHeight="1" x14ac:dyDescent="0.25">
      <c r="E54" s="2"/>
      <c r="F54" s="125"/>
      <c r="G54" s="2"/>
      <c r="H54" s="2" t="s">
        <v>20</v>
      </c>
      <c r="I54" s="81" t="s">
        <v>71</v>
      </c>
      <c r="J54" s="32" t="s">
        <v>70</v>
      </c>
      <c r="K54" s="2"/>
      <c r="L54" s="81" t="s">
        <v>71</v>
      </c>
      <c r="M54" s="32" t="s">
        <v>70</v>
      </c>
      <c r="N54" s="2"/>
      <c r="O54" s="3"/>
      <c r="P54" s="2" t="s">
        <v>20</v>
      </c>
      <c r="Q54" t="s">
        <v>66</v>
      </c>
      <c r="R54" s="32" t="s">
        <v>67</v>
      </c>
      <c r="S54" s="2"/>
      <c r="T54" t="s">
        <v>66</v>
      </c>
      <c r="U54" s="32" t="s">
        <v>67</v>
      </c>
      <c r="V54" s="2"/>
      <c r="W54" s="3"/>
      <c r="X54" s="2" t="s">
        <v>20</v>
      </c>
      <c r="Z54" s="32"/>
      <c r="AA54" s="2"/>
      <c r="AC54" s="32"/>
      <c r="AD54" s="2"/>
      <c r="AE54" s="3"/>
      <c r="AF54" s="2" t="s">
        <v>20</v>
      </c>
      <c r="AG54" t="s">
        <v>66</v>
      </c>
      <c r="AH54" s="32" t="s">
        <v>67</v>
      </c>
      <c r="AI54" s="2"/>
      <c r="AJ54" t="s">
        <v>66</v>
      </c>
      <c r="AK54" s="32" t="s">
        <v>67</v>
      </c>
      <c r="AL54" s="3"/>
      <c r="AM54" s="2"/>
      <c r="AN54" s="2"/>
      <c r="AO54" s="8" t="s">
        <v>81</v>
      </c>
      <c r="AP54" s="5">
        <f t="shared" si="5"/>
        <v>0</v>
      </c>
      <c r="AQ54" s="2"/>
      <c r="AR54" s="2"/>
    </row>
    <row r="55" spans="5:44" ht="14.45" customHeight="1" x14ac:dyDescent="0.25">
      <c r="E55" s="2"/>
      <c r="F55" s="125"/>
      <c r="G55" s="2"/>
      <c r="H55" s="2" t="s">
        <v>24</v>
      </c>
      <c r="I55" s="81" t="s">
        <v>71</v>
      </c>
      <c r="J55" s="32" t="s">
        <v>70</v>
      </c>
      <c r="K55" s="2"/>
      <c r="L55" s="81" t="s">
        <v>71</v>
      </c>
      <c r="M55" s="32" t="s">
        <v>70</v>
      </c>
      <c r="N55" s="2"/>
      <c r="O55" s="3"/>
      <c r="P55" s="2" t="s">
        <v>24</v>
      </c>
      <c r="Q55" t="s">
        <v>66</v>
      </c>
      <c r="R55" s="32" t="s">
        <v>67</v>
      </c>
      <c r="S55" s="2"/>
      <c r="T55" t="s">
        <v>66</v>
      </c>
      <c r="U55" s="32" t="s">
        <v>67</v>
      </c>
      <c r="V55" s="2"/>
      <c r="W55" s="3"/>
      <c r="X55" s="2" t="s">
        <v>24</v>
      </c>
      <c r="Z55" s="32"/>
      <c r="AA55" s="2"/>
      <c r="AC55" s="32"/>
      <c r="AD55" s="2"/>
      <c r="AE55" s="3"/>
      <c r="AF55" s="2" t="s">
        <v>24</v>
      </c>
      <c r="AG55" t="s">
        <v>66</v>
      </c>
      <c r="AH55" s="32" t="s">
        <v>67</v>
      </c>
      <c r="AI55" s="2"/>
      <c r="AJ55" t="s">
        <v>66</v>
      </c>
      <c r="AK55" s="32" t="s">
        <v>67</v>
      </c>
      <c r="AL55" s="3"/>
      <c r="AM55" s="2"/>
      <c r="AN55" s="2"/>
      <c r="AO55" s="18" t="s">
        <v>82</v>
      </c>
      <c r="AP55" s="5">
        <f t="shared" si="5"/>
        <v>0</v>
      </c>
      <c r="AQ55" s="2"/>
      <c r="AR55" s="2"/>
    </row>
    <row r="56" spans="5:44" ht="14.45" customHeight="1" x14ac:dyDescent="0.25">
      <c r="E56" s="2"/>
      <c r="F56" s="125"/>
      <c r="G56" s="2"/>
      <c r="H56" s="2" t="s">
        <v>28</v>
      </c>
      <c r="I56" s="81" t="s">
        <v>71</v>
      </c>
      <c r="J56" s="32" t="s">
        <v>83</v>
      </c>
      <c r="K56" s="2"/>
      <c r="L56" s="81" t="s">
        <v>71</v>
      </c>
      <c r="M56" s="32" t="s">
        <v>83</v>
      </c>
      <c r="N56" s="2"/>
      <c r="O56" s="3"/>
      <c r="P56" s="2" t="s">
        <v>28</v>
      </c>
      <c r="Q56" t="s">
        <v>66</v>
      </c>
      <c r="R56" s="32" t="s">
        <v>67</v>
      </c>
      <c r="S56" s="2"/>
      <c r="T56" t="s">
        <v>66</v>
      </c>
      <c r="U56" s="32" t="s">
        <v>67</v>
      </c>
      <c r="V56" s="2"/>
      <c r="W56" s="3"/>
      <c r="X56" s="2" t="s">
        <v>28</v>
      </c>
      <c r="Z56" s="32"/>
      <c r="AA56" s="2"/>
      <c r="AC56" s="32"/>
      <c r="AD56" s="2"/>
      <c r="AE56" s="3"/>
      <c r="AF56" s="2" t="s">
        <v>28</v>
      </c>
      <c r="AG56" t="s">
        <v>66</v>
      </c>
      <c r="AH56" s="32" t="s">
        <v>67</v>
      </c>
      <c r="AI56" s="2"/>
      <c r="AJ56" t="s">
        <v>66</v>
      </c>
      <c r="AK56" s="32" t="s">
        <v>67</v>
      </c>
      <c r="AL56" s="3"/>
      <c r="AM56" s="2"/>
      <c r="AN56" s="2"/>
      <c r="AO56" s="2"/>
      <c r="AP56" s="2"/>
      <c r="AQ56" s="2"/>
      <c r="AR56" s="2"/>
    </row>
    <row r="57" spans="5:44" ht="14.45" customHeight="1" x14ac:dyDescent="0.25">
      <c r="E57" s="2"/>
      <c r="F57" s="125"/>
      <c r="G57" s="2"/>
      <c r="H57" s="2" t="s">
        <v>32</v>
      </c>
      <c r="I57" t="s">
        <v>72</v>
      </c>
      <c r="J57" s="32" t="s">
        <v>70</v>
      </c>
      <c r="K57" s="2"/>
      <c r="L57" t="s">
        <v>72</v>
      </c>
      <c r="M57" s="32" t="s">
        <v>70</v>
      </c>
      <c r="N57" s="2"/>
      <c r="O57" s="3"/>
      <c r="P57" s="2" t="s">
        <v>32</v>
      </c>
      <c r="Q57" t="s">
        <v>66</v>
      </c>
      <c r="R57" s="32" t="s">
        <v>67</v>
      </c>
      <c r="S57" s="2"/>
      <c r="T57" t="s">
        <v>66</v>
      </c>
      <c r="U57" s="32" t="s">
        <v>67</v>
      </c>
      <c r="V57" s="2"/>
      <c r="W57" s="3"/>
      <c r="X57" s="2" t="s">
        <v>32</v>
      </c>
      <c r="Z57" s="32"/>
      <c r="AA57" s="2"/>
      <c r="AC57" s="32"/>
      <c r="AD57" s="2"/>
      <c r="AE57" s="3"/>
      <c r="AF57" s="2" t="s">
        <v>32</v>
      </c>
      <c r="AG57" t="s">
        <v>66</v>
      </c>
      <c r="AH57" s="32" t="s">
        <v>67</v>
      </c>
      <c r="AI57" s="2"/>
      <c r="AJ57" t="s">
        <v>66</v>
      </c>
      <c r="AK57" s="32" t="s">
        <v>67</v>
      </c>
      <c r="AL57" s="3"/>
      <c r="AM57" s="2"/>
      <c r="AN57" s="2"/>
      <c r="AO57" s="2"/>
      <c r="AP57" s="2"/>
      <c r="AQ57" s="2"/>
      <c r="AR57" s="2"/>
    </row>
    <row r="58" spans="5:44" ht="14.45" customHeight="1" x14ac:dyDescent="0.25">
      <c r="E58" s="2"/>
      <c r="F58" s="125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3"/>
      <c r="X58" s="2"/>
      <c r="Y58" s="2"/>
      <c r="Z58" s="2"/>
      <c r="AA58" s="2"/>
      <c r="AB58" s="2"/>
      <c r="AC58" s="2"/>
      <c r="AD58" s="2"/>
      <c r="AE58" s="3"/>
      <c r="AF58" s="2"/>
      <c r="AG58" s="2"/>
      <c r="AH58" s="2"/>
      <c r="AI58" s="2"/>
      <c r="AJ58" s="2"/>
      <c r="AK58" s="2"/>
      <c r="AL58" s="3"/>
      <c r="AM58" s="2"/>
      <c r="AN58" s="2"/>
      <c r="AO58" s="2"/>
      <c r="AP58" s="2"/>
      <c r="AQ58" s="2"/>
      <c r="AR58" s="2"/>
    </row>
    <row r="59" spans="5:44" ht="14.45" customHeight="1" x14ac:dyDescent="0.25">
      <c r="E59" s="2"/>
      <c r="F59" s="125"/>
      <c r="G59" s="2"/>
      <c r="H59" s="2"/>
      <c r="I59" s="36">
        <v>3707</v>
      </c>
      <c r="J59" s="36"/>
      <c r="K59" s="36"/>
      <c r="L59" s="36" t="s">
        <v>63</v>
      </c>
      <c r="M59" s="36"/>
      <c r="N59" s="2"/>
      <c r="O59" s="3"/>
      <c r="P59" s="2"/>
      <c r="Q59" s="25">
        <v>5275</v>
      </c>
      <c r="R59" s="25"/>
      <c r="S59" s="25"/>
      <c r="T59" s="25" t="s">
        <v>63</v>
      </c>
      <c r="U59" s="3"/>
      <c r="V59" s="2"/>
      <c r="W59" s="3"/>
      <c r="X59" s="2"/>
      <c r="Y59" s="2"/>
      <c r="Z59" s="2"/>
      <c r="AA59" s="2"/>
      <c r="AB59" s="2"/>
      <c r="AC59" s="2"/>
      <c r="AD59" s="2"/>
      <c r="AE59" s="3"/>
      <c r="AF59" s="2"/>
      <c r="AG59" s="36">
        <v>1848</v>
      </c>
      <c r="AH59" s="36"/>
      <c r="AI59" s="36"/>
      <c r="AJ59" s="36" t="s">
        <v>63</v>
      </c>
      <c r="AK59" s="37"/>
      <c r="AL59" s="3"/>
      <c r="AM59" s="2"/>
      <c r="AN59" s="2"/>
      <c r="AO59" s="2"/>
      <c r="AP59" s="2"/>
      <c r="AQ59" s="2"/>
      <c r="AR59" s="2"/>
    </row>
    <row r="60" spans="5:44" ht="14.45" customHeight="1" x14ac:dyDescent="0.25">
      <c r="E60" s="2"/>
      <c r="F60" s="125"/>
      <c r="G60" s="2"/>
      <c r="H60" s="2"/>
      <c r="I60" s="26" t="s">
        <v>4</v>
      </c>
      <c r="J60" s="26"/>
      <c r="K60" s="26"/>
      <c r="L60" s="26" t="s">
        <v>5</v>
      </c>
      <c r="M60" s="26"/>
      <c r="N60" s="2"/>
      <c r="O60" s="3"/>
      <c r="P60" s="2"/>
      <c r="Q60" s="26" t="s">
        <v>4</v>
      </c>
      <c r="R60" s="26"/>
      <c r="S60" s="26"/>
      <c r="T60" s="26" t="s">
        <v>5</v>
      </c>
      <c r="U60" s="26"/>
      <c r="V60" s="2"/>
      <c r="W60" s="3"/>
      <c r="X60" s="2"/>
      <c r="Y60" s="2"/>
      <c r="Z60" s="2"/>
      <c r="AA60" s="2"/>
      <c r="AB60" s="2"/>
      <c r="AC60" s="2"/>
      <c r="AD60" s="2"/>
      <c r="AE60" s="3"/>
      <c r="AF60" s="2"/>
      <c r="AG60" s="26" t="s">
        <v>4</v>
      </c>
      <c r="AH60" s="26"/>
      <c r="AI60" s="26"/>
      <c r="AJ60" s="26"/>
      <c r="AK60" s="26" t="s">
        <v>84</v>
      </c>
      <c r="AL60" s="3"/>
      <c r="AM60" s="2"/>
      <c r="AN60" s="2"/>
      <c r="AO60" s="2"/>
      <c r="AP60" s="2"/>
      <c r="AQ60" s="2"/>
      <c r="AR60" s="2"/>
    </row>
    <row r="61" spans="5:44" ht="14.45" customHeight="1" x14ac:dyDescent="0.25">
      <c r="E61" s="2"/>
      <c r="F61" s="125"/>
      <c r="G61" s="2"/>
      <c r="H61" s="2"/>
      <c r="I61" s="27">
        <v>3707</v>
      </c>
      <c r="J61" s="27" t="s">
        <v>7</v>
      </c>
      <c r="K61" s="2"/>
      <c r="L61" s="27">
        <v>3707</v>
      </c>
      <c r="M61" s="27" t="s">
        <v>7</v>
      </c>
      <c r="N61" s="2"/>
      <c r="O61" s="3"/>
      <c r="P61" s="2"/>
      <c r="Q61" s="27">
        <v>5275</v>
      </c>
      <c r="R61" s="27" t="s">
        <v>7</v>
      </c>
      <c r="S61" s="2"/>
      <c r="T61" s="27">
        <v>5275</v>
      </c>
      <c r="U61" s="27" t="s">
        <v>7</v>
      </c>
      <c r="V61" s="2"/>
      <c r="W61" s="3"/>
      <c r="X61" s="2"/>
      <c r="Y61" s="2"/>
      <c r="Z61" s="2"/>
      <c r="AA61" s="2"/>
      <c r="AB61" s="2"/>
      <c r="AC61" s="2"/>
      <c r="AD61" s="2"/>
      <c r="AE61" s="3"/>
      <c r="AF61" s="2"/>
      <c r="AG61" s="27">
        <v>1848</v>
      </c>
      <c r="AH61" s="27" t="s">
        <v>7</v>
      </c>
      <c r="AI61" s="29"/>
      <c r="AJ61" s="27">
        <v>1848</v>
      </c>
      <c r="AK61" s="27" t="s">
        <v>7</v>
      </c>
      <c r="AL61" s="3"/>
      <c r="AM61" s="2"/>
      <c r="AN61" s="2"/>
      <c r="AO61" s="2"/>
      <c r="AP61" s="2"/>
      <c r="AQ61" s="2"/>
      <c r="AR61" s="2"/>
    </row>
    <row r="62" spans="5:44" ht="14.45" customHeight="1" x14ac:dyDescent="0.25">
      <c r="E62" s="2"/>
      <c r="F62" s="125"/>
      <c r="G62" s="2"/>
      <c r="H62" s="2" t="s">
        <v>12</v>
      </c>
      <c r="I62" t="s">
        <v>66</v>
      </c>
      <c r="J62" s="32" t="s">
        <v>67</v>
      </c>
      <c r="K62" s="2"/>
      <c r="L62" t="s">
        <v>66</v>
      </c>
      <c r="M62" s="32" t="s">
        <v>67</v>
      </c>
      <c r="N62" s="2"/>
      <c r="O62" s="3"/>
      <c r="P62" s="2" t="s">
        <v>12</v>
      </c>
      <c r="Q62" t="s">
        <v>66</v>
      </c>
      <c r="R62" s="32" t="s">
        <v>67</v>
      </c>
      <c r="S62" s="2"/>
      <c r="T62" t="s">
        <v>66</v>
      </c>
      <c r="U62" s="32" t="s">
        <v>67</v>
      </c>
      <c r="V62" s="2"/>
      <c r="W62" s="3"/>
      <c r="X62" s="2"/>
      <c r="Y62" s="2"/>
      <c r="Z62" s="2"/>
      <c r="AA62" s="2"/>
      <c r="AB62" s="2"/>
      <c r="AC62" s="2"/>
      <c r="AD62" s="2"/>
      <c r="AE62" s="3"/>
      <c r="AF62" s="2" t="s">
        <v>12</v>
      </c>
      <c r="AG62" s="15" t="s">
        <v>50</v>
      </c>
      <c r="AH62" s="32" t="s">
        <v>70</v>
      </c>
      <c r="AI62" s="2"/>
      <c r="AJ62" s="15" t="s">
        <v>50</v>
      </c>
      <c r="AK62" s="32" t="s">
        <v>70</v>
      </c>
      <c r="AL62" s="3"/>
      <c r="AM62" s="2"/>
      <c r="AN62" s="2"/>
      <c r="AO62" s="2"/>
      <c r="AP62" s="2"/>
      <c r="AQ62" s="2"/>
      <c r="AR62" s="2"/>
    </row>
    <row r="63" spans="5:44" ht="14.45" customHeight="1" x14ac:dyDescent="0.25">
      <c r="E63" s="2"/>
      <c r="F63" s="125"/>
      <c r="G63" s="2"/>
      <c r="H63" s="2" t="s">
        <v>20</v>
      </c>
      <c r="I63" t="s">
        <v>66</v>
      </c>
      <c r="J63" s="32" t="s">
        <v>67</v>
      </c>
      <c r="K63" s="2"/>
      <c r="L63" t="s">
        <v>66</v>
      </c>
      <c r="M63" s="32" t="s">
        <v>67</v>
      </c>
      <c r="N63" s="2"/>
      <c r="O63" s="3"/>
      <c r="P63" s="2" t="s">
        <v>20</v>
      </c>
      <c r="Q63" t="s">
        <v>66</v>
      </c>
      <c r="R63" s="32" t="s">
        <v>67</v>
      </c>
      <c r="S63" s="2"/>
      <c r="T63" t="s">
        <v>66</v>
      </c>
      <c r="U63" s="32" t="s">
        <v>67</v>
      </c>
      <c r="V63" s="2"/>
      <c r="W63" s="3"/>
      <c r="X63" s="2"/>
      <c r="Y63" s="2"/>
      <c r="Z63" s="2"/>
      <c r="AA63" s="2"/>
      <c r="AB63" s="2"/>
      <c r="AC63" s="2"/>
      <c r="AD63" s="2"/>
      <c r="AE63" s="3"/>
      <c r="AF63" s="2" t="s">
        <v>20</v>
      </c>
      <c r="AG63" s="15" t="s">
        <v>50</v>
      </c>
      <c r="AH63" s="32" t="s">
        <v>70</v>
      </c>
      <c r="AI63" s="2"/>
      <c r="AJ63" s="15" t="s">
        <v>50</v>
      </c>
      <c r="AK63" s="32" t="s">
        <v>70</v>
      </c>
      <c r="AL63" s="3"/>
      <c r="AM63" s="2"/>
      <c r="AN63" s="2"/>
      <c r="AO63" s="2"/>
      <c r="AP63" s="2"/>
      <c r="AQ63" s="2"/>
      <c r="AR63" s="2"/>
    </row>
    <row r="64" spans="5:44" ht="14.45" customHeight="1" x14ac:dyDescent="0.25">
      <c r="E64" s="2"/>
      <c r="F64" s="125"/>
      <c r="G64" s="2"/>
      <c r="H64" s="2" t="s">
        <v>24</v>
      </c>
      <c r="I64" t="s">
        <v>66</v>
      </c>
      <c r="J64" s="32" t="s">
        <v>67</v>
      </c>
      <c r="K64" s="2"/>
      <c r="L64" t="s">
        <v>66</v>
      </c>
      <c r="M64" s="32" t="s">
        <v>67</v>
      </c>
      <c r="N64" s="2"/>
      <c r="O64" s="3"/>
      <c r="P64" s="2" t="s">
        <v>24</v>
      </c>
      <c r="Q64" t="s">
        <v>66</v>
      </c>
      <c r="R64" s="32" t="s">
        <v>67</v>
      </c>
      <c r="S64" s="2"/>
      <c r="T64" t="s">
        <v>66</v>
      </c>
      <c r="U64" s="32" t="s">
        <v>67</v>
      </c>
      <c r="V64" s="2"/>
      <c r="W64" s="3"/>
      <c r="X64" s="2"/>
      <c r="Y64" s="2"/>
      <c r="Z64" s="2"/>
      <c r="AA64" s="2"/>
      <c r="AB64" s="2"/>
      <c r="AC64" s="2"/>
      <c r="AD64" s="2"/>
      <c r="AE64" s="3"/>
      <c r="AF64" s="2" t="s">
        <v>24</v>
      </c>
      <c r="AG64" s="15" t="s">
        <v>50</v>
      </c>
      <c r="AH64" s="32" t="s">
        <v>70</v>
      </c>
      <c r="AI64" s="2"/>
      <c r="AJ64" s="15" t="s">
        <v>50</v>
      </c>
      <c r="AK64" s="32" t="s">
        <v>70</v>
      </c>
      <c r="AL64" s="3"/>
      <c r="AM64" s="2"/>
      <c r="AN64" s="2"/>
      <c r="AO64" s="2"/>
      <c r="AP64" s="2"/>
      <c r="AQ64" s="2"/>
      <c r="AR64" s="2"/>
    </row>
    <row r="65" spans="5:44" ht="14.45" customHeight="1" x14ac:dyDescent="0.25">
      <c r="E65" s="2"/>
      <c r="F65" s="125"/>
      <c r="G65" s="2"/>
      <c r="H65" s="2" t="s">
        <v>28</v>
      </c>
      <c r="I65" t="s">
        <v>66</v>
      </c>
      <c r="J65" s="32" t="s">
        <v>67</v>
      </c>
      <c r="K65" s="2"/>
      <c r="L65" t="s">
        <v>66</v>
      </c>
      <c r="M65" s="32" t="s">
        <v>67</v>
      </c>
      <c r="N65" s="2"/>
      <c r="O65" s="3"/>
      <c r="P65" s="2" t="s">
        <v>28</v>
      </c>
      <c r="Q65" t="s">
        <v>66</v>
      </c>
      <c r="R65" s="32" t="s">
        <v>67</v>
      </c>
      <c r="S65" s="2"/>
      <c r="T65" t="s">
        <v>66</v>
      </c>
      <c r="U65" s="32" t="s">
        <v>67</v>
      </c>
      <c r="V65" s="2"/>
      <c r="W65" s="3"/>
      <c r="X65" s="2"/>
      <c r="Y65" s="2"/>
      <c r="Z65" s="2"/>
      <c r="AA65" s="2"/>
      <c r="AB65" s="2"/>
      <c r="AC65" s="2"/>
      <c r="AD65" s="2"/>
      <c r="AE65" s="3"/>
      <c r="AF65" s="2" t="s">
        <v>28</v>
      </c>
      <c r="AG65" s="15" t="s">
        <v>50</v>
      </c>
      <c r="AH65" s="32" t="s">
        <v>70</v>
      </c>
      <c r="AI65" s="2"/>
      <c r="AJ65" s="15" t="s">
        <v>50</v>
      </c>
      <c r="AK65" s="32" t="s">
        <v>70</v>
      </c>
      <c r="AL65" s="3"/>
      <c r="AM65" s="2"/>
      <c r="AN65" s="2"/>
      <c r="AO65" s="2"/>
      <c r="AP65" s="2"/>
      <c r="AQ65" s="2"/>
      <c r="AR65" s="2"/>
    </row>
    <row r="66" spans="5:44" ht="14.45" customHeight="1" x14ac:dyDescent="0.25">
      <c r="E66" s="2"/>
      <c r="F66" s="125"/>
      <c r="G66" s="2"/>
      <c r="H66" s="2" t="s">
        <v>32</v>
      </c>
      <c r="I66" t="s">
        <v>66</v>
      </c>
      <c r="J66" s="32" t="s">
        <v>67</v>
      </c>
      <c r="K66" s="2"/>
      <c r="L66" t="s">
        <v>66</v>
      </c>
      <c r="M66" s="32" t="s">
        <v>67</v>
      </c>
      <c r="N66" s="2"/>
      <c r="O66" s="3"/>
      <c r="P66" s="2" t="s">
        <v>32</v>
      </c>
      <c r="Q66" t="s">
        <v>66</v>
      </c>
      <c r="R66" s="32" t="s">
        <v>67</v>
      </c>
      <c r="S66" s="2"/>
      <c r="T66" t="s">
        <v>66</v>
      </c>
      <c r="U66" s="32" t="s">
        <v>67</v>
      </c>
      <c r="V66" s="2"/>
      <c r="W66" s="3"/>
      <c r="X66" s="2"/>
      <c r="Y66" s="2"/>
      <c r="Z66" s="2"/>
      <c r="AA66" s="2"/>
      <c r="AB66" s="2"/>
      <c r="AC66" s="2"/>
      <c r="AD66" s="2"/>
      <c r="AE66" s="3"/>
      <c r="AF66" s="2" t="s">
        <v>32</v>
      </c>
      <c r="AG66" s="15" t="s">
        <v>50</v>
      </c>
      <c r="AH66" s="32" t="s">
        <v>70</v>
      </c>
      <c r="AI66" s="2"/>
      <c r="AJ66" s="15" t="s">
        <v>50</v>
      </c>
      <c r="AK66" s="32" t="s">
        <v>70</v>
      </c>
      <c r="AL66" s="3"/>
      <c r="AM66" s="2"/>
      <c r="AN66" s="2"/>
      <c r="AO66" s="2"/>
      <c r="AP66" s="2"/>
      <c r="AQ66" s="2"/>
      <c r="AR66" s="2"/>
    </row>
    <row r="67" spans="5:44" ht="14.45" customHeight="1" x14ac:dyDescent="0.25">
      <c r="E67" s="2"/>
      <c r="F67" s="125"/>
      <c r="G67" s="2"/>
      <c r="H67" s="2"/>
      <c r="I67" s="2"/>
      <c r="J67" s="2"/>
      <c r="K67" s="2"/>
      <c r="L67" s="2"/>
      <c r="M67" s="2"/>
      <c r="N67" s="2"/>
      <c r="O67" s="3"/>
      <c r="P67" s="2"/>
      <c r="Q67" s="2"/>
      <c r="R67" s="2"/>
      <c r="S67" s="2"/>
      <c r="T67" s="2"/>
      <c r="U67" s="2"/>
      <c r="V67" s="2"/>
      <c r="W67" s="3"/>
      <c r="X67" s="2"/>
      <c r="Y67" s="2"/>
      <c r="Z67" s="2"/>
      <c r="AA67" s="2"/>
      <c r="AB67" s="2"/>
      <c r="AC67" s="2"/>
      <c r="AD67" s="2"/>
      <c r="AE67" s="3"/>
      <c r="AF67" s="2"/>
      <c r="AG67" s="2"/>
      <c r="AH67" s="2"/>
      <c r="AI67" s="2"/>
      <c r="AJ67" s="2"/>
      <c r="AK67" s="2"/>
      <c r="AL67" s="3"/>
      <c r="AM67" s="2"/>
      <c r="AN67" s="2"/>
      <c r="AO67" s="2"/>
      <c r="AP67" s="2"/>
      <c r="AQ67" s="2"/>
      <c r="AR67" s="2"/>
    </row>
    <row r="68" spans="5:44" ht="14.45" customHeight="1" x14ac:dyDescent="0.25">
      <c r="E68" s="2"/>
      <c r="F68" s="125"/>
      <c r="G68" s="2"/>
      <c r="H68" s="2"/>
      <c r="I68" s="2"/>
      <c r="J68" s="2"/>
      <c r="K68" s="2"/>
      <c r="L68" s="2"/>
      <c r="M68" s="2"/>
      <c r="N68" s="2"/>
      <c r="O68" s="3"/>
      <c r="P68" s="2"/>
      <c r="Q68" s="2"/>
      <c r="R68" s="2"/>
      <c r="S68" s="2"/>
      <c r="T68" s="2"/>
      <c r="U68" s="2"/>
      <c r="V68" s="2"/>
      <c r="W68" s="3"/>
      <c r="X68" s="2"/>
      <c r="Y68" s="2"/>
      <c r="Z68" s="2"/>
      <c r="AA68" s="2"/>
      <c r="AB68" s="2"/>
      <c r="AC68" s="2"/>
      <c r="AD68" s="2"/>
      <c r="AE68" s="3"/>
      <c r="AF68" s="2"/>
      <c r="AG68" s="36" t="s">
        <v>85</v>
      </c>
      <c r="AH68" s="36"/>
      <c r="AI68" s="36"/>
      <c r="AJ68" s="36" t="s">
        <v>63</v>
      </c>
      <c r="AK68" s="37"/>
      <c r="AL68" s="3"/>
      <c r="AM68" s="2"/>
      <c r="AN68" s="2"/>
      <c r="AO68" s="2"/>
      <c r="AP68" s="2"/>
      <c r="AQ68" s="2"/>
      <c r="AR68" s="2"/>
    </row>
    <row r="69" spans="5:44" ht="14.45" customHeight="1" x14ac:dyDescent="0.25">
      <c r="E69" s="2"/>
      <c r="F69" s="125"/>
      <c r="G69" s="2"/>
      <c r="H69" s="2"/>
      <c r="I69" s="2"/>
      <c r="J69" s="2"/>
      <c r="K69" s="2"/>
      <c r="L69" s="2"/>
      <c r="M69" s="2"/>
      <c r="N69" s="2"/>
      <c r="O69" s="3"/>
      <c r="P69" s="2"/>
      <c r="Q69" s="2"/>
      <c r="R69" s="2"/>
      <c r="S69" s="2"/>
      <c r="T69" s="2"/>
      <c r="U69" s="2"/>
      <c r="V69" s="2"/>
      <c r="W69" s="3"/>
      <c r="X69" s="2"/>
      <c r="Y69" s="2"/>
      <c r="Z69" s="2"/>
      <c r="AA69" s="2"/>
      <c r="AB69" s="2"/>
      <c r="AC69" s="2"/>
      <c r="AD69" s="2"/>
      <c r="AE69" s="3"/>
      <c r="AF69" s="2"/>
      <c r="AG69" s="26" t="s">
        <v>4</v>
      </c>
      <c r="AH69" s="26"/>
      <c r="AI69" s="26"/>
      <c r="AJ69" s="26" t="s">
        <v>5</v>
      </c>
      <c r="AK69" s="26"/>
      <c r="AL69" s="3"/>
      <c r="AM69" s="2"/>
      <c r="AN69" s="2"/>
      <c r="AO69" s="2"/>
      <c r="AP69" s="2"/>
      <c r="AQ69" s="2"/>
      <c r="AR69" s="2"/>
    </row>
    <row r="70" spans="5:44" ht="14.45" customHeight="1" x14ac:dyDescent="0.25">
      <c r="E70" s="2"/>
      <c r="F70" s="125"/>
      <c r="G70" s="2"/>
      <c r="H70" s="2"/>
      <c r="I70" s="2"/>
      <c r="J70" s="2"/>
      <c r="K70" s="2"/>
      <c r="L70" s="2"/>
      <c r="M70" s="2"/>
      <c r="N70" s="2"/>
      <c r="O70" s="3"/>
      <c r="P70" s="2"/>
      <c r="Q70" s="2"/>
      <c r="R70" s="2"/>
      <c r="S70" s="2"/>
      <c r="T70" s="2"/>
      <c r="U70" s="2"/>
      <c r="V70" s="2"/>
      <c r="W70" s="3"/>
      <c r="X70" s="2"/>
      <c r="Y70" s="2"/>
      <c r="Z70" s="2"/>
      <c r="AA70" s="2"/>
      <c r="AB70" s="2"/>
      <c r="AC70" s="2"/>
      <c r="AD70" s="2"/>
      <c r="AE70" s="3"/>
      <c r="AF70" s="2"/>
      <c r="AG70" s="27" t="s">
        <v>85</v>
      </c>
      <c r="AH70" s="27" t="s">
        <v>7</v>
      </c>
      <c r="AI70" s="29"/>
      <c r="AJ70" s="27" t="s">
        <v>85</v>
      </c>
      <c r="AK70" s="27" t="s">
        <v>7</v>
      </c>
      <c r="AL70" s="3"/>
      <c r="AM70" s="2"/>
      <c r="AN70" s="2"/>
      <c r="AO70" s="2"/>
      <c r="AP70" s="2"/>
      <c r="AQ70" s="2"/>
      <c r="AR70" s="2"/>
    </row>
    <row r="71" spans="5:44" ht="14.45" customHeight="1" x14ac:dyDescent="0.25">
      <c r="E71" s="2"/>
      <c r="F71" s="125"/>
      <c r="G71" s="2"/>
      <c r="H71" s="2" t="s">
        <v>12</v>
      </c>
      <c r="I71" s="2"/>
      <c r="J71" s="2"/>
      <c r="K71" s="2"/>
      <c r="L71" s="2"/>
      <c r="M71" s="2"/>
      <c r="N71" s="2"/>
      <c r="O71" s="3"/>
      <c r="P71" s="2"/>
      <c r="Q71" s="2"/>
      <c r="R71" s="2"/>
      <c r="S71" s="2"/>
      <c r="T71" s="2"/>
      <c r="U71" s="2"/>
      <c r="V71" s="2"/>
      <c r="W71" s="3"/>
      <c r="X71" s="2"/>
      <c r="Y71" s="2"/>
      <c r="Z71" s="2"/>
      <c r="AA71" s="2"/>
      <c r="AB71" s="2"/>
      <c r="AC71" s="2"/>
      <c r="AD71" s="2"/>
      <c r="AE71" s="3"/>
      <c r="AF71" s="2" t="s">
        <v>12</v>
      </c>
      <c r="AG71" t="s">
        <v>66</v>
      </c>
      <c r="AH71" s="32" t="s">
        <v>79</v>
      </c>
      <c r="AI71" s="2"/>
      <c r="AJ71" t="s">
        <v>66</v>
      </c>
      <c r="AK71" s="32" t="s">
        <v>79</v>
      </c>
      <c r="AL71" s="3"/>
      <c r="AM71" s="2"/>
      <c r="AN71" s="2"/>
      <c r="AO71" s="2"/>
      <c r="AP71" s="2"/>
      <c r="AQ71" s="2"/>
      <c r="AR71" s="2"/>
    </row>
    <row r="72" spans="5:44" ht="14.45" customHeight="1" x14ac:dyDescent="0.25">
      <c r="E72" s="2"/>
      <c r="F72" s="125"/>
      <c r="G72" s="2"/>
      <c r="H72" s="2" t="s">
        <v>20</v>
      </c>
      <c r="I72" s="2"/>
      <c r="J72" s="2"/>
      <c r="K72" s="2"/>
      <c r="L72" s="2"/>
      <c r="M72" s="2"/>
      <c r="N72" s="2"/>
      <c r="O72" s="3"/>
      <c r="P72" s="2"/>
      <c r="Q72" s="2"/>
      <c r="R72" s="2"/>
      <c r="S72" s="2"/>
      <c r="T72" s="2"/>
      <c r="U72" s="2"/>
      <c r="V72" s="2"/>
      <c r="W72" s="3"/>
      <c r="X72" s="2"/>
      <c r="Y72" s="2"/>
      <c r="Z72" s="2"/>
      <c r="AA72" s="2"/>
      <c r="AB72" s="2"/>
      <c r="AC72" s="2"/>
      <c r="AD72" s="2"/>
      <c r="AE72" s="3"/>
      <c r="AF72" s="2" t="s">
        <v>20</v>
      </c>
      <c r="AG72" s="2" t="s">
        <v>59</v>
      </c>
      <c r="AH72" s="32" t="s">
        <v>70</v>
      </c>
      <c r="AI72" s="2"/>
      <c r="AJ72" s="2" t="s">
        <v>59</v>
      </c>
      <c r="AK72" s="32" t="s">
        <v>70</v>
      </c>
      <c r="AL72" s="3"/>
      <c r="AM72" s="2"/>
      <c r="AN72" s="2"/>
      <c r="AO72" s="2"/>
      <c r="AP72" s="2"/>
      <c r="AQ72" s="2"/>
      <c r="AR72" s="2"/>
    </row>
    <row r="73" spans="5:44" ht="14.45" customHeight="1" x14ac:dyDescent="0.25">
      <c r="E73" s="2"/>
      <c r="F73" s="125"/>
      <c r="G73" s="2"/>
      <c r="H73" s="2" t="s">
        <v>24</v>
      </c>
      <c r="I73" s="2"/>
      <c r="J73" s="2"/>
      <c r="K73" s="2"/>
      <c r="L73" s="2"/>
      <c r="M73" s="2"/>
      <c r="N73" s="2"/>
      <c r="O73" s="3"/>
      <c r="P73" s="2"/>
      <c r="Q73" s="2"/>
      <c r="R73" s="2"/>
      <c r="S73" s="2"/>
      <c r="T73" s="2"/>
      <c r="U73" s="2"/>
      <c r="V73" s="2"/>
      <c r="W73" s="3"/>
      <c r="X73" s="2"/>
      <c r="Y73" s="2"/>
      <c r="Z73" s="2"/>
      <c r="AA73" s="2"/>
      <c r="AB73" s="2"/>
      <c r="AC73" s="2"/>
      <c r="AD73" s="2"/>
      <c r="AE73" s="3"/>
      <c r="AF73" s="2" t="s">
        <v>24</v>
      </c>
      <c r="AG73" s="2" t="s">
        <v>61</v>
      </c>
      <c r="AH73" s="32" t="s">
        <v>70</v>
      </c>
      <c r="AI73" s="2"/>
      <c r="AJ73" s="2" t="s">
        <v>61</v>
      </c>
      <c r="AK73" s="32" t="s">
        <v>70</v>
      </c>
      <c r="AL73" s="3"/>
      <c r="AM73" s="2"/>
      <c r="AN73" s="2"/>
      <c r="AO73" s="2"/>
      <c r="AP73" s="2"/>
      <c r="AQ73" s="2"/>
      <c r="AR73" s="2"/>
    </row>
    <row r="74" spans="5:44" ht="14.45" customHeight="1" x14ac:dyDescent="0.25">
      <c r="E74" s="2"/>
      <c r="F74" s="125"/>
      <c r="G74" s="2"/>
      <c r="H74" s="2" t="s">
        <v>28</v>
      </c>
      <c r="I74" s="2"/>
      <c r="J74" s="2"/>
      <c r="K74" s="2"/>
      <c r="L74" s="2"/>
      <c r="M74" s="2"/>
      <c r="N74" s="2"/>
      <c r="O74" s="3"/>
      <c r="P74" s="2"/>
      <c r="Q74" s="2"/>
      <c r="R74" s="2"/>
      <c r="S74" s="2"/>
      <c r="T74" s="2"/>
      <c r="U74" s="2"/>
      <c r="V74" s="2"/>
      <c r="W74" s="3"/>
      <c r="X74" s="2"/>
      <c r="Y74" s="2"/>
      <c r="Z74" s="2"/>
      <c r="AA74" s="2"/>
      <c r="AB74" s="2"/>
      <c r="AC74" s="2"/>
      <c r="AD74" s="2"/>
      <c r="AE74" s="3"/>
      <c r="AF74" s="2" t="s">
        <v>28</v>
      </c>
      <c r="AG74" s="2" t="s">
        <v>61</v>
      </c>
      <c r="AH74" s="32" t="s">
        <v>70</v>
      </c>
      <c r="AI74" s="2"/>
      <c r="AJ74" s="2" t="s">
        <v>61</v>
      </c>
      <c r="AK74" s="32" t="s">
        <v>70</v>
      </c>
      <c r="AL74" s="3"/>
      <c r="AM74" s="2"/>
      <c r="AN74" s="2"/>
      <c r="AO74" s="2"/>
      <c r="AP74" s="2"/>
      <c r="AQ74" s="2"/>
      <c r="AR74" s="2"/>
    </row>
    <row r="75" spans="5:44" ht="14.45" customHeight="1" x14ac:dyDescent="0.25">
      <c r="E75" s="2"/>
      <c r="F75" s="125"/>
      <c r="G75" s="2"/>
      <c r="H75" s="2" t="s">
        <v>32</v>
      </c>
      <c r="I75" s="2"/>
      <c r="J75" s="2"/>
      <c r="K75" s="2"/>
      <c r="L75" s="2"/>
      <c r="M75" s="2"/>
      <c r="N75" s="2"/>
      <c r="O75" s="3"/>
      <c r="P75" s="2"/>
      <c r="Q75" s="2"/>
      <c r="R75" s="2"/>
      <c r="S75" s="2"/>
      <c r="T75" s="2"/>
      <c r="U75" s="2"/>
      <c r="V75" s="2"/>
      <c r="W75" s="3"/>
      <c r="X75" s="2"/>
      <c r="Y75" s="2"/>
      <c r="Z75" s="2"/>
      <c r="AA75" s="2"/>
      <c r="AB75" s="2"/>
      <c r="AC75" s="2"/>
      <c r="AD75" s="2"/>
      <c r="AE75" s="3"/>
      <c r="AF75" s="2" t="s">
        <v>32</v>
      </c>
      <c r="AG75" s="2" t="s">
        <v>61</v>
      </c>
      <c r="AH75" s="32" t="s">
        <v>70</v>
      </c>
      <c r="AI75" s="2"/>
      <c r="AJ75" s="2" t="s">
        <v>61</v>
      </c>
      <c r="AK75" s="32" t="s">
        <v>70</v>
      </c>
      <c r="AL75" s="3"/>
      <c r="AM75" s="2"/>
      <c r="AN75" s="2"/>
      <c r="AO75" s="2"/>
      <c r="AP75" s="2"/>
      <c r="AQ75" s="2"/>
      <c r="AR75" s="2"/>
    </row>
    <row r="76" spans="5:44" ht="14.45" customHeight="1" x14ac:dyDescent="0.25">
      <c r="E76" s="2"/>
      <c r="F76" s="125"/>
      <c r="G76" s="2"/>
      <c r="H76" s="2"/>
      <c r="I76" s="2"/>
      <c r="J76" s="2"/>
      <c r="K76" s="2"/>
      <c r="L76" s="2"/>
      <c r="M76" s="2"/>
      <c r="N76" s="2"/>
      <c r="O76" s="3"/>
      <c r="P76" s="2"/>
      <c r="Q76" s="2"/>
      <c r="R76" s="2"/>
      <c r="S76" s="2"/>
      <c r="T76" s="2"/>
      <c r="U76" s="2"/>
      <c r="V76" s="2"/>
      <c r="W76" s="3"/>
      <c r="X76" s="2"/>
      <c r="Y76" s="2"/>
      <c r="Z76" s="2"/>
      <c r="AA76" s="2"/>
      <c r="AB76" s="2"/>
      <c r="AC76" s="2"/>
      <c r="AD76" s="2"/>
      <c r="AE76" s="3"/>
      <c r="AF76" s="2"/>
      <c r="AG76" s="2"/>
      <c r="AH76" s="2"/>
      <c r="AI76" s="2"/>
      <c r="AJ76" s="2"/>
      <c r="AK76" s="2"/>
      <c r="AL76" s="3"/>
      <c r="AM76" s="2"/>
      <c r="AN76" s="2"/>
      <c r="AO76" s="2"/>
      <c r="AP76" s="2"/>
      <c r="AQ76" s="2"/>
      <c r="AR76" s="2"/>
    </row>
    <row r="77" spans="5:44" ht="14.45" customHeight="1" x14ac:dyDescent="0.25">
      <c r="E77" s="2"/>
      <c r="F77" s="125"/>
      <c r="G77" s="2"/>
      <c r="H77" s="2"/>
      <c r="I77" s="2"/>
      <c r="J77" s="2"/>
      <c r="K77" s="2"/>
      <c r="L77" s="2"/>
      <c r="M77" s="2"/>
      <c r="N77" s="2"/>
      <c r="O77" s="3"/>
      <c r="P77" s="2"/>
      <c r="Q77" s="2"/>
      <c r="R77" s="2"/>
      <c r="S77" s="2"/>
      <c r="T77" s="2"/>
      <c r="U77" s="2"/>
      <c r="V77" s="2"/>
      <c r="W77" s="3"/>
      <c r="X77" s="2"/>
      <c r="Y77" s="25">
        <v>1823</v>
      </c>
      <c r="Z77" s="25"/>
      <c r="AA77" s="25"/>
      <c r="AB77" s="25" t="s">
        <v>63</v>
      </c>
      <c r="AC77" s="3"/>
      <c r="AD77" s="2"/>
      <c r="AE77" s="3"/>
      <c r="AF77" s="2"/>
      <c r="AG77" s="36">
        <v>1878</v>
      </c>
      <c r="AH77" s="36"/>
      <c r="AI77" s="36"/>
      <c r="AJ77" s="36" t="s">
        <v>63</v>
      </c>
      <c r="AK77" s="37"/>
      <c r="AL77" s="3"/>
      <c r="AM77" s="2"/>
      <c r="AN77" s="2"/>
      <c r="AO77" s="2"/>
      <c r="AP77" s="2"/>
      <c r="AQ77" s="2"/>
      <c r="AR77" s="2"/>
    </row>
    <row r="78" spans="5:44" ht="14.45" customHeight="1" x14ac:dyDescent="0.25">
      <c r="E78" s="2"/>
      <c r="F78" s="125"/>
      <c r="G78" s="2"/>
      <c r="H78" s="2"/>
      <c r="I78" s="2"/>
      <c r="J78" s="2"/>
      <c r="K78" s="2"/>
      <c r="L78" s="2"/>
      <c r="M78" s="2"/>
      <c r="N78" s="2"/>
      <c r="O78" s="3"/>
      <c r="P78" s="2"/>
      <c r="Q78" s="2"/>
      <c r="R78" s="2"/>
      <c r="S78" s="2"/>
      <c r="T78" s="2"/>
      <c r="U78" s="2"/>
      <c r="V78" s="2"/>
      <c r="W78" s="3"/>
      <c r="X78" s="2"/>
      <c r="Y78" s="26" t="s">
        <v>4</v>
      </c>
      <c r="Z78" s="26"/>
      <c r="AA78" s="26"/>
      <c r="AB78" s="26" t="s">
        <v>5</v>
      </c>
      <c r="AC78" s="26"/>
      <c r="AD78" s="26"/>
      <c r="AE78" s="3"/>
      <c r="AF78" s="2"/>
      <c r="AG78" s="26" t="s">
        <v>4</v>
      </c>
      <c r="AH78" s="26"/>
      <c r="AI78" s="26"/>
      <c r="AJ78" s="26" t="s">
        <v>5</v>
      </c>
      <c r="AK78" s="26"/>
      <c r="AL78" s="3"/>
      <c r="AM78" s="2"/>
      <c r="AN78" s="2"/>
      <c r="AO78" s="2"/>
      <c r="AP78" s="2"/>
      <c r="AQ78" s="2"/>
      <c r="AR78" s="2"/>
    </row>
    <row r="79" spans="5:44" ht="14.45" customHeight="1" x14ac:dyDescent="0.25">
      <c r="E79" s="2"/>
      <c r="F79" s="125"/>
      <c r="G79" s="2"/>
      <c r="H79" s="2"/>
      <c r="I79" s="2"/>
      <c r="J79" s="2"/>
      <c r="K79" s="2"/>
      <c r="L79" s="2"/>
      <c r="M79" s="2"/>
      <c r="N79" s="2"/>
      <c r="O79" s="3"/>
      <c r="P79" s="2"/>
      <c r="Q79" s="2"/>
      <c r="R79" s="2"/>
      <c r="S79" s="2"/>
      <c r="T79" s="2"/>
      <c r="U79" s="2"/>
      <c r="V79" s="2"/>
      <c r="W79" s="3"/>
      <c r="X79" s="2"/>
      <c r="Y79" s="27">
        <v>1823</v>
      </c>
      <c r="Z79" s="27" t="s">
        <v>7</v>
      </c>
      <c r="AA79" s="29"/>
      <c r="AB79" s="27">
        <v>1823</v>
      </c>
      <c r="AC79" s="27" t="s">
        <v>7</v>
      </c>
      <c r="AD79" s="28"/>
      <c r="AE79" s="3"/>
      <c r="AF79" s="2"/>
      <c r="AG79" s="27">
        <v>1878</v>
      </c>
      <c r="AH79" s="27" t="s">
        <v>7</v>
      </c>
      <c r="AI79" s="29"/>
      <c r="AJ79" s="27">
        <v>1878</v>
      </c>
      <c r="AK79" s="27" t="s">
        <v>7</v>
      </c>
      <c r="AL79" s="3"/>
      <c r="AM79" s="2"/>
      <c r="AN79" s="2"/>
      <c r="AO79" s="2"/>
      <c r="AP79" s="2"/>
      <c r="AQ79" s="2"/>
      <c r="AR79" s="2"/>
    </row>
    <row r="80" spans="5:44" ht="14.45" customHeight="1" x14ac:dyDescent="0.25">
      <c r="E80" s="2"/>
      <c r="F80" s="125"/>
      <c r="G80" s="2"/>
      <c r="H80" s="2" t="s">
        <v>12</v>
      </c>
      <c r="I80" s="2"/>
      <c r="J80" s="2"/>
      <c r="K80" s="2"/>
      <c r="L80" s="2"/>
      <c r="M80" s="2"/>
      <c r="N80" s="2"/>
      <c r="O80" s="3"/>
      <c r="P80" s="2"/>
      <c r="Q80" s="2"/>
      <c r="R80" s="2"/>
      <c r="S80" s="2"/>
      <c r="T80" s="2"/>
      <c r="U80" s="2"/>
      <c r="V80" s="2"/>
      <c r="W80" s="3"/>
      <c r="X80" s="2" t="s">
        <v>12</v>
      </c>
      <c r="Y80" s="34" t="s">
        <v>86</v>
      </c>
      <c r="Z80" s="32" t="s">
        <v>70</v>
      </c>
      <c r="AA80" s="2"/>
      <c r="AB80" s="34" t="s">
        <v>86</v>
      </c>
      <c r="AC80" s="32" t="s">
        <v>70</v>
      </c>
      <c r="AD80" s="2"/>
      <c r="AE80" s="3"/>
      <c r="AF80" s="2" t="s">
        <v>12</v>
      </c>
      <c r="AG80" t="s">
        <v>50</v>
      </c>
      <c r="AH80" s="32" t="s">
        <v>70</v>
      </c>
      <c r="AI80" s="2"/>
      <c r="AJ80" t="s">
        <v>50</v>
      </c>
      <c r="AK80" s="32" t="s">
        <v>70</v>
      </c>
      <c r="AL80" s="3"/>
      <c r="AM80" s="2"/>
      <c r="AN80" s="2"/>
      <c r="AO80" s="2"/>
      <c r="AP80" s="2"/>
      <c r="AQ80" s="2"/>
      <c r="AR80" s="2"/>
    </row>
    <row r="81" spans="5:44" ht="14.45" customHeight="1" x14ac:dyDescent="0.25">
      <c r="E81" s="2"/>
      <c r="F81" s="125"/>
      <c r="G81" s="2"/>
      <c r="H81" s="2" t="s">
        <v>20</v>
      </c>
      <c r="I81" s="2"/>
      <c r="J81" s="2"/>
      <c r="K81" s="2"/>
      <c r="L81" s="2"/>
      <c r="M81" s="2"/>
      <c r="N81" s="2"/>
      <c r="O81" s="3"/>
      <c r="P81" s="2"/>
      <c r="Q81" s="2"/>
      <c r="R81" s="2"/>
      <c r="S81" s="2"/>
      <c r="T81" s="2"/>
      <c r="U81" s="2"/>
      <c r="V81" s="2"/>
      <c r="W81" s="3"/>
      <c r="X81" s="2" t="s">
        <v>20</v>
      </c>
      <c r="Y81" s="34" t="s">
        <v>86</v>
      </c>
      <c r="Z81" s="32" t="s">
        <v>70</v>
      </c>
      <c r="AA81" s="2"/>
      <c r="AB81" s="34" t="s">
        <v>86</v>
      </c>
      <c r="AC81" s="32" t="s">
        <v>70</v>
      </c>
      <c r="AD81" s="2"/>
      <c r="AE81" s="3"/>
      <c r="AF81" s="2" t="s">
        <v>20</v>
      </c>
      <c r="AG81" t="s">
        <v>50</v>
      </c>
      <c r="AH81" s="32" t="s">
        <v>70</v>
      </c>
      <c r="AI81" s="2"/>
      <c r="AJ81" t="s">
        <v>50</v>
      </c>
      <c r="AK81" s="32" t="s">
        <v>70</v>
      </c>
      <c r="AL81" s="3"/>
      <c r="AM81" s="2"/>
      <c r="AN81" s="2"/>
      <c r="AO81" s="2"/>
      <c r="AP81" s="2"/>
      <c r="AQ81" s="2"/>
      <c r="AR81" s="2"/>
    </row>
    <row r="82" spans="5:44" ht="14.45" customHeight="1" x14ac:dyDescent="0.25">
      <c r="E82" s="2"/>
      <c r="F82" s="125"/>
      <c r="G82" s="2"/>
      <c r="H82" s="2" t="s">
        <v>24</v>
      </c>
      <c r="I82" s="2"/>
      <c r="J82" s="2"/>
      <c r="K82" s="2"/>
      <c r="L82" s="2"/>
      <c r="M82" s="2"/>
      <c r="N82" s="2"/>
      <c r="O82" s="3"/>
      <c r="P82" s="2"/>
      <c r="Q82" s="2"/>
      <c r="R82" s="2"/>
      <c r="S82" s="2"/>
      <c r="T82" s="2"/>
      <c r="U82" s="2"/>
      <c r="V82" s="2"/>
      <c r="W82" s="3"/>
      <c r="X82" s="2" t="s">
        <v>24</v>
      </c>
      <c r="Y82" s="34" t="s">
        <v>87</v>
      </c>
      <c r="Z82" s="32" t="s">
        <v>70</v>
      </c>
      <c r="AA82" s="2"/>
      <c r="AB82" s="34" t="s">
        <v>87</v>
      </c>
      <c r="AC82" s="32" t="s">
        <v>70</v>
      </c>
      <c r="AD82" s="2"/>
      <c r="AE82" s="3"/>
      <c r="AF82" s="2" t="s">
        <v>24</v>
      </c>
      <c r="AG82" t="s">
        <v>50</v>
      </c>
      <c r="AH82" s="32" t="s">
        <v>70</v>
      </c>
      <c r="AI82" s="2"/>
      <c r="AJ82" t="s">
        <v>50</v>
      </c>
      <c r="AK82" s="32" t="s">
        <v>70</v>
      </c>
      <c r="AL82" s="3"/>
      <c r="AM82" s="2"/>
      <c r="AN82" s="2"/>
      <c r="AO82" s="2"/>
      <c r="AP82" s="2"/>
      <c r="AQ82" s="2"/>
      <c r="AR82" s="2"/>
    </row>
    <row r="83" spans="5:44" ht="14.45" customHeight="1" x14ac:dyDescent="0.25">
      <c r="E83" s="2"/>
      <c r="F83" s="125"/>
      <c r="G83" s="2"/>
      <c r="H83" s="2" t="s">
        <v>28</v>
      </c>
      <c r="I83" s="2"/>
      <c r="J83" s="2"/>
      <c r="K83" s="2"/>
      <c r="L83" s="2"/>
      <c r="M83" s="2"/>
      <c r="N83" s="2"/>
      <c r="O83" s="3"/>
      <c r="P83" s="2"/>
      <c r="Q83" s="2"/>
      <c r="R83" s="2"/>
      <c r="S83" s="2"/>
      <c r="T83" s="2"/>
      <c r="U83" s="2"/>
      <c r="V83" s="2"/>
      <c r="W83" s="3"/>
      <c r="X83" s="2" t="s">
        <v>28</v>
      </c>
      <c r="Y83" s="34" t="s">
        <v>87</v>
      </c>
      <c r="Z83" s="32" t="s">
        <v>70</v>
      </c>
      <c r="AA83" s="2"/>
      <c r="AB83" s="34" t="s">
        <v>87</v>
      </c>
      <c r="AC83" s="32" t="s">
        <v>70</v>
      </c>
      <c r="AD83" s="2"/>
      <c r="AE83" s="3"/>
      <c r="AF83" s="2" t="s">
        <v>28</v>
      </c>
      <c r="AG83" t="s">
        <v>50</v>
      </c>
      <c r="AH83" s="32" t="s">
        <v>70</v>
      </c>
      <c r="AI83" s="2"/>
      <c r="AJ83" t="s">
        <v>50</v>
      </c>
      <c r="AK83" s="32" t="s">
        <v>70</v>
      </c>
      <c r="AL83" s="3"/>
      <c r="AM83" s="2"/>
      <c r="AN83" s="2"/>
      <c r="AO83" s="2"/>
      <c r="AP83" s="2"/>
      <c r="AQ83" s="2"/>
      <c r="AR83" s="2"/>
    </row>
    <row r="84" spans="5:44" ht="14.45" customHeight="1" x14ac:dyDescent="0.25">
      <c r="E84" s="2"/>
      <c r="F84" s="125"/>
      <c r="G84" s="2"/>
      <c r="H84" s="2" t="s">
        <v>32</v>
      </c>
      <c r="I84" s="2"/>
      <c r="J84" s="2"/>
      <c r="K84" s="2"/>
      <c r="L84" s="2"/>
      <c r="M84" s="2"/>
      <c r="N84" s="2"/>
      <c r="O84" s="3"/>
      <c r="P84" s="2"/>
      <c r="Q84" s="2"/>
      <c r="R84" s="2"/>
      <c r="S84" s="2"/>
      <c r="T84" s="2"/>
      <c r="U84" s="2"/>
      <c r="V84" s="2"/>
      <c r="W84" s="3"/>
      <c r="X84" s="2" t="s">
        <v>32</v>
      </c>
      <c r="Y84" s="34" t="s">
        <v>87</v>
      </c>
      <c r="Z84" s="32" t="s">
        <v>70</v>
      </c>
      <c r="AA84" s="2"/>
      <c r="AB84" s="34" t="s">
        <v>87</v>
      </c>
      <c r="AC84" s="32" t="s">
        <v>70</v>
      </c>
      <c r="AD84" s="2"/>
      <c r="AE84" s="3"/>
      <c r="AF84" s="2" t="s">
        <v>32</v>
      </c>
      <c r="AG84" t="s">
        <v>50</v>
      </c>
      <c r="AH84" s="32" t="s">
        <v>70</v>
      </c>
      <c r="AI84" s="2"/>
      <c r="AJ84" t="s">
        <v>50</v>
      </c>
      <c r="AK84" s="32" t="s">
        <v>70</v>
      </c>
      <c r="AL84" s="3"/>
      <c r="AM84" s="2"/>
      <c r="AN84" s="2"/>
      <c r="AO84" s="2"/>
      <c r="AP84" s="2"/>
      <c r="AQ84" s="2"/>
      <c r="AR84" s="2"/>
    </row>
    <row r="85" spans="5:44" ht="14.45" customHeight="1" x14ac:dyDescent="0.25">
      <c r="E85" s="2"/>
      <c r="F85" s="125"/>
      <c r="G85" s="2"/>
      <c r="H85" s="2"/>
      <c r="I85" s="2"/>
      <c r="J85" s="2"/>
      <c r="K85" s="2"/>
      <c r="L85" s="2"/>
      <c r="M85" s="2"/>
      <c r="N85" s="2"/>
      <c r="O85" s="3"/>
      <c r="P85" s="2"/>
      <c r="Q85" s="2"/>
      <c r="R85" s="2"/>
      <c r="S85" s="2"/>
      <c r="T85" s="2"/>
      <c r="U85" s="2"/>
      <c r="V85" s="2"/>
      <c r="W85" s="3"/>
      <c r="X85" s="2"/>
      <c r="Y85" s="2"/>
      <c r="Z85" s="2"/>
      <c r="AA85" s="2"/>
      <c r="AB85" s="2"/>
      <c r="AC85" s="2"/>
      <c r="AD85" s="2"/>
      <c r="AE85" s="3"/>
      <c r="AF85" s="2"/>
      <c r="AG85" s="2"/>
      <c r="AH85" s="2"/>
      <c r="AI85" s="2"/>
      <c r="AJ85" s="2"/>
      <c r="AK85" s="2"/>
      <c r="AL85" s="3"/>
      <c r="AM85" s="2"/>
      <c r="AN85" s="2"/>
      <c r="AO85" s="2"/>
      <c r="AP85" s="2"/>
      <c r="AQ85" s="2"/>
      <c r="AR85" s="2"/>
    </row>
    <row r="86" spans="5:44" ht="14.45" customHeight="1" x14ac:dyDescent="0.25">
      <c r="E86" s="2"/>
      <c r="F86" s="125"/>
      <c r="G86" s="2"/>
      <c r="H86" s="2"/>
      <c r="I86" s="2"/>
      <c r="J86" s="2"/>
      <c r="K86" s="2"/>
      <c r="L86" s="2"/>
      <c r="M86" s="2"/>
      <c r="N86" s="2"/>
      <c r="O86" s="3"/>
      <c r="P86" s="2"/>
      <c r="Q86" s="2"/>
      <c r="R86" s="2"/>
      <c r="S86" s="2"/>
      <c r="T86" s="2"/>
      <c r="U86" s="2"/>
      <c r="V86" s="2"/>
      <c r="W86" s="3"/>
      <c r="X86" s="2"/>
      <c r="Y86" s="25" t="s">
        <v>88</v>
      </c>
      <c r="Z86" s="25"/>
      <c r="AA86" s="25"/>
      <c r="AB86" s="25" t="s">
        <v>89</v>
      </c>
      <c r="AC86" s="3"/>
      <c r="AD86" s="2"/>
      <c r="AE86" s="3"/>
      <c r="AF86" s="2"/>
      <c r="AG86" s="2"/>
      <c r="AH86" s="2"/>
      <c r="AI86" s="2"/>
      <c r="AJ86" s="2"/>
      <c r="AK86" s="2"/>
      <c r="AL86" s="3"/>
      <c r="AM86" s="2"/>
      <c r="AN86" s="2"/>
      <c r="AO86" s="2"/>
      <c r="AP86" s="2"/>
      <c r="AQ86" s="2"/>
      <c r="AR86" s="2"/>
    </row>
    <row r="87" spans="5:44" ht="14.45" customHeight="1" x14ac:dyDescent="0.25">
      <c r="E87" s="2"/>
      <c r="F87" s="125"/>
      <c r="G87" s="2"/>
      <c r="H87" s="2"/>
      <c r="I87" s="2"/>
      <c r="J87" s="2"/>
      <c r="K87" s="2"/>
      <c r="L87" s="2"/>
      <c r="M87" s="2"/>
      <c r="N87" s="2"/>
      <c r="O87" s="3"/>
      <c r="P87" s="2"/>
      <c r="Q87" s="2"/>
      <c r="R87" s="2"/>
      <c r="S87" s="2"/>
      <c r="T87" s="2"/>
      <c r="U87" s="2"/>
      <c r="V87" s="2"/>
      <c r="W87" s="3"/>
      <c r="X87" s="2"/>
      <c r="Y87" s="26" t="s">
        <v>4</v>
      </c>
      <c r="Z87" s="26"/>
      <c r="AA87" s="26"/>
      <c r="AB87" s="26" t="s">
        <v>5</v>
      </c>
      <c r="AC87" s="26"/>
      <c r="AD87" s="2"/>
      <c r="AE87" s="3"/>
      <c r="AF87" s="2"/>
      <c r="AG87" s="2"/>
      <c r="AH87" s="2"/>
      <c r="AI87" s="2"/>
      <c r="AJ87" s="2"/>
      <c r="AK87" s="2"/>
      <c r="AL87" s="3"/>
      <c r="AM87" s="2"/>
      <c r="AN87" s="2"/>
      <c r="AO87" s="2"/>
      <c r="AP87" s="2"/>
      <c r="AQ87" s="2"/>
      <c r="AR87" s="2"/>
    </row>
    <row r="88" spans="5:44" ht="14.45" customHeight="1" x14ac:dyDescent="0.25">
      <c r="E88" s="2"/>
      <c r="F88" s="125"/>
      <c r="G88" s="2"/>
      <c r="H88" s="2"/>
      <c r="I88" s="2"/>
      <c r="J88" s="2"/>
      <c r="K88" s="2"/>
      <c r="L88" s="2"/>
      <c r="M88" s="2"/>
      <c r="N88" s="2"/>
      <c r="O88" s="3"/>
      <c r="P88" s="2"/>
      <c r="Q88" s="2"/>
      <c r="R88" s="2"/>
      <c r="S88" s="2"/>
      <c r="T88" s="2"/>
      <c r="U88" s="2"/>
      <c r="V88" s="2"/>
      <c r="W88" s="3"/>
      <c r="X88" s="2"/>
      <c r="Y88" s="27" t="s">
        <v>90</v>
      </c>
      <c r="Z88" s="27" t="s">
        <v>7</v>
      </c>
      <c r="AA88" s="29"/>
      <c r="AB88" s="27" t="s">
        <v>90</v>
      </c>
      <c r="AC88" s="27" t="s">
        <v>7</v>
      </c>
      <c r="AD88" s="2"/>
      <c r="AE88" s="3"/>
      <c r="AF88" s="2"/>
      <c r="AG88" s="2"/>
      <c r="AH88" s="2"/>
      <c r="AI88" s="2"/>
      <c r="AJ88" s="2"/>
      <c r="AK88" s="2"/>
      <c r="AL88" s="3"/>
      <c r="AM88" s="2"/>
      <c r="AN88" s="2"/>
      <c r="AO88" s="2"/>
      <c r="AP88" s="2"/>
      <c r="AQ88" s="2"/>
      <c r="AR88" s="2"/>
    </row>
    <row r="89" spans="5:44" ht="14.45" customHeight="1" x14ac:dyDescent="0.25">
      <c r="E89" s="2"/>
      <c r="F89" s="125"/>
      <c r="G89" s="2"/>
      <c r="H89" s="2" t="s">
        <v>12</v>
      </c>
      <c r="I89" s="2"/>
      <c r="J89" s="2"/>
      <c r="K89" s="2"/>
      <c r="L89" s="2"/>
      <c r="M89" s="2"/>
      <c r="N89" s="2"/>
      <c r="O89" s="3"/>
      <c r="P89" s="2"/>
      <c r="Q89" s="2"/>
      <c r="R89" s="2"/>
      <c r="S89" s="2"/>
      <c r="T89" s="2"/>
      <c r="U89" s="2"/>
      <c r="V89" s="2"/>
      <c r="W89" s="3"/>
      <c r="X89" s="2" t="s">
        <v>12</v>
      </c>
      <c r="Y89" t="s">
        <v>19</v>
      </c>
      <c r="Z89" s="32" t="s">
        <v>79</v>
      </c>
      <c r="AA89" s="2"/>
      <c r="AB89" t="s">
        <v>19</v>
      </c>
      <c r="AC89" s="32" t="s">
        <v>79</v>
      </c>
      <c r="AD89" s="2"/>
      <c r="AE89" s="3"/>
      <c r="AF89" s="2"/>
      <c r="AG89" s="2"/>
      <c r="AH89" s="2"/>
      <c r="AI89" s="2"/>
      <c r="AJ89" s="2"/>
      <c r="AK89" s="2"/>
      <c r="AL89" s="3"/>
      <c r="AM89" s="2"/>
      <c r="AN89" s="2"/>
      <c r="AO89" s="2"/>
      <c r="AP89" s="2"/>
      <c r="AQ89" s="2"/>
      <c r="AR89" s="2"/>
    </row>
    <row r="90" spans="5:44" ht="14.45" customHeight="1" x14ac:dyDescent="0.25">
      <c r="E90" s="2"/>
      <c r="F90" s="125"/>
      <c r="G90" s="2"/>
      <c r="H90" s="2" t="s">
        <v>20</v>
      </c>
      <c r="I90" s="2"/>
      <c r="J90" s="2"/>
      <c r="K90" s="2"/>
      <c r="L90" s="2"/>
      <c r="M90" s="2"/>
      <c r="N90" s="2"/>
      <c r="O90" s="3"/>
      <c r="P90" s="2"/>
      <c r="Q90" s="2"/>
      <c r="R90" s="2"/>
      <c r="S90" s="2"/>
      <c r="T90" s="2"/>
      <c r="U90" s="2"/>
      <c r="V90" s="2"/>
      <c r="W90" s="3"/>
      <c r="X90" s="2" t="s">
        <v>20</v>
      </c>
      <c r="Y90" t="s">
        <v>66</v>
      </c>
      <c r="Z90" s="32" t="s">
        <v>79</v>
      </c>
      <c r="AA90" s="2"/>
      <c r="AB90" t="s">
        <v>66</v>
      </c>
      <c r="AC90" s="32" t="s">
        <v>79</v>
      </c>
      <c r="AD90" s="2"/>
      <c r="AE90" s="3"/>
      <c r="AF90" s="2"/>
      <c r="AG90" s="2"/>
      <c r="AH90" s="2"/>
      <c r="AI90" s="2"/>
      <c r="AJ90" s="2"/>
      <c r="AK90" s="2"/>
      <c r="AL90" s="3"/>
      <c r="AM90" s="2"/>
      <c r="AN90" s="2"/>
      <c r="AO90" s="2"/>
      <c r="AP90" s="2"/>
      <c r="AQ90" s="2"/>
      <c r="AR90" s="2"/>
    </row>
    <row r="91" spans="5:44" ht="14.45" customHeight="1" x14ac:dyDescent="0.25">
      <c r="E91" s="2"/>
      <c r="F91" s="125"/>
      <c r="G91" s="2"/>
      <c r="H91" s="2" t="s">
        <v>24</v>
      </c>
      <c r="I91" s="2"/>
      <c r="J91" s="2"/>
      <c r="K91" s="2"/>
      <c r="L91" s="2"/>
      <c r="M91" s="2"/>
      <c r="N91" s="2"/>
      <c r="O91" s="3"/>
      <c r="P91" s="2"/>
      <c r="Q91" s="2"/>
      <c r="R91" s="2"/>
      <c r="S91" s="2"/>
      <c r="T91" s="2"/>
      <c r="U91" s="2"/>
      <c r="V91" s="2"/>
      <c r="W91" s="3"/>
      <c r="X91" s="2" t="s">
        <v>24</v>
      </c>
      <c r="Y91" s="19" t="s">
        <v>44</v>
      </c>
      <c r="Z91" s="32" t="s">
        <v>70</v>
      </c>
      <c r="AA91" s="2"/>
      <c r="AB91" s="19" t="s">
        <v>44</v>
      </c>
      <c r="AC91" s="32" t="s">
        <v>70</v>
      </c>
      <c r="AD91" s="2"/>
      <c r="AE91" s="3"/>
      <c r="AF91" s="2"/>
      <c r="AG91" s="2"/>
      <c r="AH91" s="2"/>
      <c r="AI91" s="2"/>
      <c r="AJ91" s="2"/>
      <c r="AK91" s="2"/>
      <c r="AL91" s="3"/>
      <c r="AM91" s="2"/>
      <c r="AN91" s="2"/>
      <c r="AO91" s="2"/>
      <c r="AP91" s="2"/>
      <c r="AQ91" s="2"/>
      <c r="AR91" s="2"/>
    </row>
    <row r="92" spans="5:44" ht="14.45" customHeight="1" x14ac:dyDescent="0.25">
      <c r="E92" s="2"/>
      <c r="F92" s="125"/>
      <c r="G92" s="2"/>
      <c r="H92" s="2" t="s">
        <v>28</v>
      </c>
      <c r="I92" s="2"/>
      <c r="J92" s="2"/>
      <c r="K92" s="2"/>
      <c r="L92" s="2"/>
      <c r="M92" s="2"/>
      <c r="N92" s="2"/>
      <c r="O92" s="3"/>
      <c r="P92" s="2"/>
      <c r="Q92" s="2"/>
      <c r="R92" s="2"/>
      <c r="S92" s="2"/>
      <c r="T92" s="2"/>
      <c r="U92" s="2"/>
      <c r="V92" s="2"/>
      <c r="W92" s="3"/>
      <c r="X92" s="2" t="s">
        <v>28</v>
      </c>
      <c r="Y92" s="14" t="s">
        <v>34</v>
      </c>
      <c r="Z92" s="32" t="s">
        <v>70</v>
      </c>
      <c r="AA92" s="2"/>
      <c r="AB92" s="14" t="s">
        <v>34</v>
      </c>
      <c r="AC92" s="32" t="s">
        <v>70</v>
      </c>
      <c r="AD92" s="2"/>
      <c r="AE92" s="3"/>
      <c r="AF92" s="2"/>
      <c r="AG92" s="2"/>
      <c r="AH92" s="2"/>
      <c r="AI92" s="2"/>
      <c r="AJ92" s="2"/>
      <c r="AK92" s="2"/>
      <c r="AL92" s="3"/>
      <c r="AM92" s="2"/>
      <c r="AN92" s="2"/>
      <c r="AO92" s="2"/>
      <c r="AP92" s="2"/>
      <c r="AQ92" s="2"/>
      <c r="AR92" s="2"/>
    </row>
    <row r="93" spans="5:44" ht="14.45" customHeight="1" x14ac:dyDescent="0.25">
      <c r="E93" s="2"/>
      <c r="F93" s="125"/>
      <c r="G93" s="2"/>
      <c r="H93" s="2" t="s">
        <v>32</v>
      </c>
      <c r="I93" s="2"/>
      <c r="J93" s="2"/>
      <c r="K93" s="2"/>
      <c r="L93" s="2"/>
      <c r="M93" s="2"/>
      <c r="N93" s="2"/>
      <c r="O93" s="3"/>
      <c r="P93" s="2"/>
      <c r="Q93" s="2"/>
      <c r="R93" s="2"/>
      <c r="S93" s="2"/>
      <c r="T93" s="2"/>
      <c r="U93" s="2"/>
      <c r="V93" s="2"/>
      <c r="W93" s="3"/>
      <c r="X93" s="2" t="s">
        <v>32</v>
      </c>
      <c r="Y93" s="8" t="s">
        <v>36</v>
      </c>
      <c r="Z93" s="32" t="s">
        <v>91</v>
      </c>
      <c r="AA93" s="2"/>
      <c r="AB93" s="8" t="s">
        <v>36</v>
      </c>
      <c r="AC93" s="32" t="s">
        <v>91</v>
      </c>
      <c r="AD93" s="2"/>
      <c r="AE93" s="3"/>
      <c r="AF93" s="2"/>
      <c r="AG93" s="2"/>
      <c r="AH93" s="2"/>
      <c r="AI93" s="2"/>
      <c r="AJ93" s="2"/>
      <c r="AK93" s="2"/>
      <c r="AL93" s="3"/>
      <c r="AM93" s="2"/>
      <c r="AN93" s="2"/>
      <c r="AO93" s="2"/>
      <c r="AP93" s="2"/>
      <c r="AQ93" s="2"/>
      <c r="AR93" s="2"/>
    </row>
    <row r="94" spans="5:44" ht="14.45" customHeight="1" x14ac:dyDescent="0.25">
      <c r="E94" s="2"/>
      <c r="F94" s="12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5:44" ht="14.45" customHeight="1" x14ac:dyDescent="0.25">
      <c r="E95" s="2"/>
      <c r="F95" s="12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spans="5:44" ht="14.45" customHeight="1" x14ac:dyDescent="0.25">
      <c r="E96" s="2"/>
      <c r="F96" s="12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spans="5:44" x14ac:dyDescent="0.25"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9" spans="5:44" ht="14.45" customHeight="1" x14ac:dyDescent="0.25"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124"/>
      <c r="V99" s="124"/>
      <c r="W99" s="124"/>
      <c r="X99" s="124"/>
      <c r="Y99" s="124" t="s">
        <v>1</v>
      </c>
      <c r="Z99" s="124"/>
      <c r="AA99" s="124"/>
      <c r="AB99" s="124"/>
      <c r="AC99" s="124"/>
      <c r="AD99" s="26"/>
      <c r="AE99" s="3"/>
      <c r="AF99" s="2"/>
      <c r="AG99" s="36" t="s">
        <v>2</v>
      </c>
      <c r="AH99" s="36"/>
      <c r="AI99" s="36"/>
      <c r="AJ99" s="36" t="s">
        <v>3</v>
      </c>
      <c r="AK99" s="37"/>
      <c r="AL99" s="3"/>
      <c r="AM99" s="2"/>
      <c r="AN99" s="2"/>
      <c r="AO99" s="2"/>
      <c r="AP99" s="2"/>
      <c r="AQ99" s="2"/>
      <c r="AR99" s="2"/>
    </row>
    <row r="100" spans="5:44" ht="14.45" customHeight="1" x14ac:dyDescent="0.25">
      <c r="E100" s="2"/>
      <c r="F100" s="125" t="str">
        <f>"ww"&amp;IF(LEFT($F$1,2)&lt;10,"0"&amp;LEFT($F$1,2),LEFT($F$1,2))&amp;".5"</f>
        <v>ww16.5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6" t="s">
        <v>4</v>
      </c>
      <c r="Z100" s="26"/>
      <c r="AA100" s="26"/>
      <c r="AB100" s="26" t="s">
        <v>5</v>
      </c>
      <c r="AC100" s="26"/>
      <c r="AD100" s="26"/>
      <c r="AE100" s="3"/>
      <c r="AF100" s="2"/>
      <c r="AG100" s="26" t="s">
        <v>4</v>
      </c>
      <c r="AH100" s="26"/>
      <c r="AI100" s="26"/>
      <c r="AJ100" s="26" t="s">
        <v>5</v>
      </c>
      <c r="AK100" s="26"/>
      <c r="AL100" s="3"/>
      <c r="AM100" s="2"/>
      <c r="AN100" s="2"/>
      <c r="AO100" s="2"/>
      <c r="AP100" s="2"/>
      <c r="AQ100" s="2"/>
      <c r="AR100" s="2"/>
    </row>
    <row r="101" spans="5:44" ht="14.45" customHeight="1" x14ac:dyDescent="0.25">
      <c r="E101" s="2"/>
      <c r="F101" s="12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7" t="s">
        <v>6</v>
      </c>
      <c r="Z101" s="27" t="s">
        <v>7</v>
      </c>
      <c r="AA101" s="2"/>
      <c r="AB101" s="27" t="s">
        <v>6</v>
      </c>
      <c r="AC101" s="27" t="s">
        <v>7</v>
      </c>
      <c r="AD101" s="28"/>
      <c r="AE101" s="3"/>
      <c r="AF101" s="2"/>
      <c r="AG101" s="27" t="s">
        <v>2</v>
      </c>
      <c r="AH101" s="27" t="s">
        <v>7</v>
      </c>
      <c r="AI101" s="29"/>
      <c r="AJ101" s="27" t="s">
        <v>2</v>
      </c>
      <c r="AK101" s="27" t="s">
        <v>7</v>
      </c>
      <c r="AL101" s="3"/>
      <c r="AM101" s="2"/>
      <c r="AN101" s="6" t="s">
        <v>8</v>
      </c>
      <c r="AO101" s="6" t="s">
        <v>9</v>
      </c>
      <c r="AP101" s="7" t="s">
        <v>10</v>
      </c>
      <c r="AQ101" s="7" t="s">
        <v>11</v>
      </c>
      <c r="AR101" s="2"/>
    </row>
    <row r="102" spans="5:44" ht="14.45" customHeight="1" x14ac:dyDescent="0.25">
      <c r="E102" s="2"/>
      <c r="F102" s="125"/>
      <c r="G102" s="2"/>
      <c r="H102" s="2" t="s">
        <v>12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30" t="s">
        <v>13</v>
      </c>
      <c r="V102" s="30" t="s">
        <v>14</v>
      </c>
      <c r="W102" s="30"/>
      <c r="X102" s="31"/>
      <c r="Z102" t="s">
        <v>15</v>
      </c>
      <c r="AA102" s="2"/>
      <c r="AC102" t="s">
        <v>15</v>
      </c>
      <c r="AD102" s="2"/>
      <c r="AE102" s="3"/>
      <c r="AF102" s="2" t="s">
        <v>12</v>
      </c>
      <c r="AG102" s="70" t="s">
        <v>16</v>
      </c>
      <c r="AH102" s="32" t="s">
        <v>17</v>
      </c>
      <c r="AI102" s="2"/>
      <c r="AJ102" s="70" t="s">
        <v>16</v>
      </c>
      <c r="AK102" s="32" t="s">
        <v>17</v>
      </c>
      <c r="AL102" s="3"/>
      <c r="AM102" s="2"/>
      <c r="AN102" s="9" t="s">
        <v>18</v>
      </c>
      <c r="AO102" s="9" t="s">
        <v>19</v>
      </c>
      <c r="AP102" s="5">
        <f>(COUNTIF($I$99:$I$193,"=*"&amp;AO102&amp;"*")+COUNTIF($Q$99:$Q$193,"=*"&amp;AO102&amp;"*")+COUNTIF($AG$99:$AG$193,"=*"&amp;AO102&amp;"*")+COUNTIF($Y$99:$Y$193,"=*"&amp;AO102&amp;"*"))*2</f>
        <v>2</v>
      </c>
      <c r="AQ102" s="5">
        <f>(COUNTIF($I$99:$I$193,"=*"&amp;AO102&amp;"*")+COUNTIF($Q$99:$Q$193,"=*"&amp;AO102&amp;"*")+COUNTIF($AG$99:$AG$193,"=*"&amp;AO102&amp;"*")+COUNTIF($Y$99:$Y$193,"=*"&amp;AO102&amp;"*"))*2</f>
        <v>2</v>
      </c>
      <c r="AR102" s="2"/>
    </row>
    <row r="103" spans="5:44" ht="14.45" customHeight="1" x14ac:dyDescent="0.25">
      <c r="E103" s="2"/>
      <c r="F103" s="125"/>
      <c r="G103" s="2"/>
      <c r="H103" s="2" t="s">
        <v>20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30" t="s">
        <v>21</v>
      </c>
      <c r="V103" s="30" t="s">
        <v>14</v>
      </c>
      <c r="W103" s="30"/>
      <c r="X103" s="31"/>
      <c r="AA103" s="2"/>
      <c r="AD103" s="2"/>
      <c r="AE103" s="3"/>
      <c r="AF103" s="2" t="s">
        <v>20</v>
      </c>
      <c r="AG103" s="70" t="s">
        <v>16</v>
      </c>
      <c r="AH103" s="32" t="s">
        <v>17</v>
      </c>
      <c r="AI103" s="2"/>
      <c r="AJ103" s="70" t="s">
        <v>16</v>
      </c>
      <c r="AK103" s="32" t="s">
        <v>17</v>
      </c>
      <c r="AL103" s="3"/>
      <c r="AM103" s="2"/>
      <c r="AN103" s="10" t="s">
        <v>22</v>
      </c>
      <c r="AO103" s="10" t="s">
        <v>23</v>
      </c>
      <c r="AP103" s="5">
        <f t="shared" ref="AP103:AP129" si="6">(COUNTIF($I$99:$I$193,"=*"&amp;AO103&amp;"*")+COUNTIF($Q$99:$Q$193,"=*"&amp;AO103&amp;"*")+COUNTIF($AG$99:$AG$193,"=*"&amp;AO103&amp;"*")+COUNTIF($Y$99:$Y$193,"=*"&amp;AO103&amp;"*"))*2</f>
        <v>0</v>
      </c>
      <c r="AQ103" s="5">
        <f t="shared" ref="AQ103:AQ129" si="7">(COUNTIF($I$99:$I$193,"=*"&amp;AO103&amp;"*")+COUNTIF($Q$99:$Q$193,"=*"&amp;AO103&amp;"*")+COUNTIF($AG$99:$AG$193,"=*"&amp;AO103&amp;"*")+COUNTIF($Y$99:$Y$193,"=*"&amp;AO103&amp;"*"))*2</f>
        <v>0</v>
      </c>
      <c r="AR103" s="2"/>
    </row>
    <row r="104" spans="5:44" ht="14.45" customHeight="1" x14ac:dyDescent="0.25">
      <c r="E104" s="2"/>
      <c r="F104" s="125"/>
      <c r="G104" s="2"/>
      <c r="H104" s="2" t="s">
        <v>24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30" t="s">
        <v>25</v>
      </c>
      <c r="V104" s="30" t="s">
        <v>14</v>
      </c>
      <c r="W104" s="30"/>
      <c r="X104" s="31"/>
      <c r="Z104" t="s">
        <v>15</v>
      </c>
      <c r="AA104" s="2"/>
      <c r="AC104" t="s">
        <v>15</v>
      </c>
      <c r="AD104" s="2"/>
      <c r="AE104" s="3"/>
      <c r="AF104" s="2" t="s">
        <v>24</v>
      </c>
      <c r="AG104" s="70" t="s">
        <v>16</v>
      </c>
      <c r="AH104" s="32" t="s">
        <v>17</v>
      </c>
      <c r="AI104" s="2"/>
      <c r="AJ104" s="70" t="s">
        <v>16</v>
      </c>
      <c r="AK104" s="32" t="s">
        <v>17</v>
      </c>
      <c r="AL104" s="3"/>
      <c r="AM104" s="2"/>
      <c r="AN104" s="11" t="s">
        <v>26</v>
      </c>
      <c r="AO104" s="11" t="s">
        <v>27</v>
      </c>
      <c r="AP104" s="5">
        <f t="shared" si="6"/>
        <v>14</v>
      </c>
      <c r="AQ104" s="5">
        <f t="shared" si="7"/>
        <v>14</v>
      </c>
      <c r="AR104" s="2"/>
    </row>
    <row r="105" spans="5:44" ht="14.45" customHeight="1" x14ac:dyDescent="0.25">
      <c r="E105" s="2"/>
      <c r="F105" s="125"/>
      <c r="G105" s="2"/>
      <c r="H105" s="2" t="s">
        <v>28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30" t="s">
        <v>29</v>
      </c>
      <c r="V105" s="30" t="s">
        <v>14</v>
      </c>
      <c r="W105" s="30"/>
      <c r="X105" s="31"/>
      <c r="Z105" t="s">
        <v>15</v>
      </c>
      <c r="AA105" s="2"/>
      <c r="AC105" t="s">
        <v>15</v>
      </c>
      <c r="AD105" s="2"/>
      <c r="AE105" s="3"/>
      <c r="AF105" s="2" t="s">
        <v>28</v>
      </c>
      <c r="AG105" s="70" t="s">
        <v>16</v>
      </c>
      <c r="AH105" s="32" t="s">
        <v>17</v>
      </c>
      <c r="AI105" s="2"/>
      <c r="AJ105" s="70" t="s">
        <v>16</v>
      </c>
      <c r="AK105" s="32" t="s">
        <v>17</v>
      </c>
      <c r="AL105" s="3"/>
      <c r="AM105" s="2"/>
      <c r="AN105" s="12" t="s">
        <v>30</v>
      </c>
      <c r="AO105" s="12" t="s">
        <v>31</v>
      </c>
      <c r="AP105" s="5">
        <f t="shared" si="6"/>
        <v>6</v>
      </c>
      <c r="AQ105" s="5">
        <f t="shared" si="7"/>
        <v>6</v>
      </c>
      <c r="AR105" s="2"/>
    </row>
    <row r="106" spans="5:44" ht="14.45" customHeight="1" x14ac:dyDescent="0.25">
      <c r="E106" s="2"/>
      <c r="F106" s="125"/>
      <c r="G106" s="2"/>
      <c r="H106" s="2" t="s">
        <v>32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31"/>
      <c r="V106" s="31"/>
      <c r="W106" s="31"/>
      <c r="X106" s="31"/>
      <c r="AA106" s="2"/>
      <c r="AD106" s="2"/>
      <c r="AE106" s="3"/>
      <c r="AF106" s="2" t="s">
        <v>32</v>
      </c>
      <c r="AG106" s="70" t="s">
        <v>16</v>
      </c>
      <c r="AH106" s="32" t="s">
        <v>17</v>
      </c>
      <c r="AI106" s="2"/>
      <c r="AJ106" s="70" t="s">
        <v>16</v>
      </c>
      <c r="AK106" s="32" t="s">
        <v>17</v>
      </c>
      <c r="AL106" s="3"/>
      <c r="AM106" s="2"/>
      <c r="AN106" s="14" t="s">
        <v>33</v>
      </c>
      <c r="AO106" s="14" t="s">
        <v>34</v>
      </c>
      <c r="AP106" s="5">
        <f t="shared" si="6"/>
        <v>2</v>
      </c>
      <c r="AQ106" s="5">
        <f t="shared" si="7"/>
        <v>2</v>
      </c>
      <c r="AR106" s="2"/>
    </row>
    <row r="107" spans="5:44" ht="14.45" customHeight="1" x14ac:dyDescent="0.25">
      <c r="E107" s="2"/>
      <c r="F107" s="12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3"/>
      <c r="AF107" s="2"/>
      <c r="AG107" s="2"/>
      <c r="AH107" s="2"/>
      <c r="AI107" s="2"/>
      <c r="AJ107" s="2"/>
      <c r="AK107" s="2"/>
      <c r="AL107" s="3"/>
      <c r="AM107" s="2"/>
      <c r="AN107" s="8" t="s">
        <v>35</v>
      </c>
      <c r="AO107" s="8" t="s">
        <v>36</v>
      </c>
      <c r="AP107" s="5">
        <f t="shared" si="6"/>
        <v>2</v>
      </c>
      <c r="AQ107" s="5">
        <f t="shared" si="7"/>
        <v>2</v>
      </c>
      <c r="AR107" s="2"/>
    </row>
    <row r="108" spans="5:44" ht="14.45" customHeight="1" x14ac:dyDescent="0.25">
      <c r="E108" s="2"/>
      <c r="F108" s="12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36">
        <v>2117</v>
      </c>
      <c r="Z108" s="36"/>
      <c r="AA108" s="36"/>
      <c r="AB108" s="36" t="s">
        <v>3</v>
      </c>
      <c r="AC108" s="37"/>
      <c r="AD108" s="2"/>
      <c r="AE108" s="3"/>
      <c r="AF108" s="2"/>
      <c r="AG108" s="25">
        <v>2207</v>
      </c>
      <c r="AH108" s="25"/>
      <c r="AI108" s="25"/>
      <c r="AJ108" s="25" t="s">
        <v>3</v>
      </c>
      <c r="AK108" s="3"/>
      <c r="AL108" s="3"/>
      <c r="AM108" s="2"/>
      <c r="AN108" s="16" t="s">
        <v>37</v>
      </c>
      <c r="AO108" s="16" t="s">
        <v>38</v>
      </c>
      <c r="AP108" s="5">
        <f t="shared" si="6"/>
        <v>0</v>
      </c>
      <c r="AQ108" s="5">
        <f t="shared" si="7"/>
        <v>0</v>
      </c>
      <c r="AR108" s="2"/>
    </row>
    <row r="109" spans="5:44" ht="14.45" customHeight="1" x14ac:dyDescent="0.25">
      <c r="E109" s="2"/>
      <c r="F109" s="12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6" t="s">
        <v>4</v>
      </c>
      <c r="Z109" s="26"/>
      <c r="AA109" s="26"/>
      <c r="AB109" s="26" t="s">
        <v>5</v>
      </c>
      <c r="AC109" s="26"/>
      <c r="AD109" s="26"/>
      <c r="AE109" s="3"/>
      <c r="AF109" s="2"/>
      <c r="AG109" s="26" t="s">
        <v>4</v>
      </c>
      <c r="AH109" s="26"/>
      <c r="AI109" s="26"/>
      <c r="AJ109" s="26" t="s">
        <v>5</v>
      </c>
      <c r="AK109" s="26"/>
      <c r="AL109" s="3"/>
      <c r="AM109" s="2"/>
      <c r="AN109" s="17" t="s">
        <v>39</v>
      </c>
      <c r="AO109" s="17" t="s">
        <v>40</v>
      </c>
      <c r="AP109" s="5">
        <f t="shared" si="6"/>
        <v>0</v>
      </c>
      <c r="AQ109" s="5">
        <f t="shared" si="7"/>
        <v>0</v>
      </c>
      <c r="AR109" s="2"/>
    </row>
    <row r="110" spans="5:44" ht="14.45" customHeight="1" x14ac:dyDescent="0.25">
      <c r="E110" s="2"/>
      <c r="F110" s="12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3"/>
      <c r="R110" s="33"/>
      <c r="S110" s="33"/>
      <c r="T110" s="33"/>
      <c r="U110" s="2"/>
      <c r="V110" s="2"/>
      <c r="W110" s="2"/>
      <c r="X110" s="2"/>
      <c r="Y110" s="27">
        <v>2117</v>
      </c>
      <c r="Z110" s="27" t="s">
        <v>7</v>
      </c>
      <c r="AA110" s="2"/>
      <c r="AB110" s="27">
        <v>2117</v>
      </c>
      <c r="AC110" s="27" t="s">
        <v>7</v>
      </c>
      <c r="AD110" s="28"/>
      <c r="AE110" s="3"/>
      <c r="AF110" s="2"/>
      <c r="AG110" s="27">
        <v>2207</v>
      </c>
      <c r="AH110" s="27" t="s">
        <v>7</v>
      </c>
      <c r="AI110" s="29"/>
      <c r="AJ110" s="27">
        <v>2207</v>
      </c>
      <c r="AK110" s="27" t="s">
        <v>7</v>
      </c>
      <c r="AL110" s="3"/>
      <c r="AM110" s="2"/>
      <c r="AN110" s="18" t="s">
        <v>41</v>
      </c>
      <c r="AO110" s="18" t="s">
        <v>42</v>
      </c>
      <c r="AP110" s="5">
        <f t="shared" si="6"/>
        <v>0</v>
      </c>
      <c r="AQ110" s="5">
        <f t="shared" si="7"/>
        <v>0</v>
      </c>
      <c r="AR110" s="2"/>
    </row>
    <row r="111" spans="5:44" ht="14.45" customHeight="1" x14ac:dyDescent="0.25">
      <c r="E111" s="2"/>
      <c r="F111" s="125"/>
      <c r="G111" s="2"/>
      <c r="H111" s="2" t="s">
        <v>12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12</v>
      </c>
      <c r="Y111" s="70" t="s">
        <v>16</v>
      </c>
      <c r="Z111" s="32" t="s">
        <v>17</v>
      </c>
      <c r="AA111" s="2"/>
      <c r="AB111" s="70" t="s">
        <v>16</v>
      </c>
      <c r="AC111" s="32" t="s">
        <v>17</v>
      </c>
      <c r="AD111" s="2"/>
      <c r="AE111" s="3"/>
      <c r="AF111" s="2" t="s">
        <v>12</v>
      </c>
      <c r="AG111" s="70" t="s">
        <v>16</v>
      </c>
      <c r="AH111" s="32" t="s">
        <v>17</v>
      </c>
      <c r="AI111" s="2"/>
      <c r="AJ111" s="70" t="s">
        <v>16</v>
      </c>
      <c r="AK111" s="32" t="s">
        <v>17</v>
      </c>
      <c r="AL111" s="3"/>
      <c r="AM111" s="2"/>
      <c r="AN111" s="19" t="s">
        <v>43</v>
      </c>
      <c r="AO111" s="19" t="s">
        <v>44</v>
      </c>
      <c r="AP111" s="5">
        <f t="shared" si="6"/>
        <v>2</v>
      </c>
      <c r="AQ111" s="5">
        <f t="shared" si="7"/>
        <v>2</v>
      </c>
      <c r="AR111" s="2"/>
    </row>
    <row r="112" spans="5:44" ht="14.45" customHeight="1" x14ac:dyDescent="0.25">
      <c r="E112" s="2"/>
      <c r="F112" s="125"/>
      <c r="G112" s="2"/>
      <c r="H112" s="2" t="s">
        <v>20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20</v>
      </c>
      <c r="Y112" s="70" t="s">
        <v>16</v>
      </c>
      <c r="Z112" s="32" t="s">
        <v>17</v>
      </c>
      <c r="AA112" s="2"/>
      <c r="AB112" s="70" t="s">
        <v>16</v>
      </c>
      <c r="AC112" s="32" t="s">
        <v>17</v>
      </c>
      <c r="AD112" s="2"/>
      <c r="AE112" s="3"/>
      <c r="AF112" s="2" t="s">
        <v>20</v>
      </c>
      <c r="AG112" s="70" t="s">
        <v>16</v>
      </c>
      <c r="AH112" s="32" t="s">
        <v>17</v>
      </c>
      <c r="AI112" s="2"/>
      <c r="AJ112" s="70" t="s">
        <v>16</v>
      </c>
      <c r="AK112" s="32" t="s">
        <v>17</v>
      </c>
      <c r="AL112" s="3"/>
      <c r="AM112" s="2"/>
      <c r="AN112" s="20" t="s">
        <v>45</v>
      </c>
      <c r="AO112" s="20" t="s">
        <v>46</v>
      </c>
      <c r="AP112" s="5">
        <f t="shared" si="6"/>
        <v>0</v>
      </c>
      <c r="AQ112" s="5">
        <f t="shared" si="7"/>
        <v>0</v>
      </c>
      <c r="AR112" s="2"/>
    </row>
    <row r="113" spans="5:44" ht="14.45" customHeight="1" x14ac:dyDescent="0.25">
      <c r="E113" s="2"/>
      <c r="F113" s="125"/>
      <c r="G113" s="2"/>
      <c r="H113" s="2" t="s">
        <v>24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24</v>
      </c>
      <c r="Y113" s="70" t="s">
        <v>16</v>
      </c>
      <c r="Z113" s="32" t="s">
        <v>17</v>
      </c>
      <c r="AA113" s="2"/>
      <c r="AB113" s="70" t="s">
        <v>16</v>
      </c>
      <c r="AC113" s="32" t="s">
        <v>17</v>
      </c>
      <c r="AD113" s="2"/>
      <c r="AE113" s="3"/>
      <c r="AF113" s="2" t="s">
        <v>24</v>
      </c>
      <c r="AG113" s="70" t="s">
        <v>16</v>
      </c>
      <c r="AH113" s="32" t="s">
        <v>17</v>
      </c>
      <c r="AI113" s="2"/>
      <c r="AJ113" s="70" t="s">
        <v>16</v>
      </c>
      <c r="AK113" s="32" t="s">
        <v>17</v>
      </c>
      <c r="AL113" s="3"/>
      <c r="AM113" s="2"/>
      <c r="AN113" s="21" t="s">
        <v>47</v>
      </c>
      <c r="AO113" s="21" t="s">
        <v>48</v>
      </c>
      <c r="AP113" s="5">
        <f t="shared" si="6"/>
        <v>0</v>
      </c>
      <c r="AQ113" s="5">
        <f t="shared" si="7"/>
        <v>0</v>
      </c>
      <c r="AR113" s="2"/>
    </row>
    <row r="114" spans="5:44" ht="14.45" customHeight="1" x14ac:dyDescent="0.25">
      <c r="E114" s="2"/>
      <c r="F114" s="125"/>
      <c r="G114" s="2"/>
      <c r="H114" s="2" t="s">
        <v>28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28</v>
      </c>
      <c r="Y114" s="70" t="s">
        <v>16</v>
      </c>
      <c r="Z114" s="32" t="s">
        <v>17</v>
      </c>
      <c r="AA114" s="2"/>
      <c r="AB114" s="70" t="s">
        <v>16</v>
      </c>
      <c r="AC114" s="32" t="s">
        <v>17</v>
      </c>
      <c r="AD114" s="2"/>
      <c r="AE114" s="3"/>
      <c r="AF114" s="2" t="s">
        <v>28</v>
      </c>
      <c r="AG114" s="70" t="s">
        <v>16</v>
      </c>
      <c r="AH114" s="32" t="s">
        <v>17</v>
      </c>
      <c r="AI114" s="2"/>
      <c r="AJ114" s="70" t="s">
        <v>16</v>
      </c>
      <c r="AK114" s="32" t="s">
        <v>17</v>
      </c>
      <c r="AL114" s="3"/>
      <c r="AM114" s="2"/>
      <c r="AN114" s="13" t="s">
        <v>49</v>
      </c>
      <c r="AO114" s="13" t="s">
        <v>50</v>
      </c>
      <c r="AP114" s="5">
        <f t="shared" si="6"/>
        <v>20</v>
      </c>
      <c r="AQ114" s="5">
        <f t="shared" si="7"/>
        <v>20</v>
      </c>
      <c r="AR114" s="2"/>
    </row>
    <row r="115" spans="5:44" ht="14.45" customHeight="1" x14ac:dyDescent="0.25">
      <c r="E115" s="2"/>
      <c r="F115" s="125"/>
      <c r="G115" s="2"/>
      <c r="H115" s="2" t="s">
        <v>32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32</v>
      </c>
      <c r="Y115" s="70" t="s">
        <v>16</v>
      </c>
      <c r="Z115" s="32" t="s">
        <v>17</v>
      </c>
      <c r="AA115" s="2"/>
      <c r="AB115" s="70" t="s">
        <v>16</v>
      </c>
      <c r="AC115" s="32" t="s">
        <v>17</v>
      </c>
      <c r="AD115" s="2"/>
      <c r="AE115" s="3"/>
      <c r="AF115" s="2" t="s">
        <v>32</v>
      </c>
      <c r="AG115" s="70" t="s">
        <v>16</v>
      </c>
      <c r="AH115" s="32" t="s">
        <v>17</v>
      </c>
      <c r="AI115" s="2"/>
      <c r="AJ115" s="70" t="s">
        <v>16</v>
      </c>
      <c r="AK115" s="32" t="s">
        <v>17</v>
      </c>
      <c r="AL115" s="3"/>
      <c r="AM115" s="2"/>
      <c r="AN115" s="4" t="s">
        <v>51</v>
      </c>
      <c r="AO115" s="4" t="s">
        <v>52</v>
      </c>
      <c r="AP115" s="5">
        <f t="shared" si="6"/>
        <v>0</v>
      </c>
      <c r="AQ115" s="5">
        <f t="shared" si="7"/>
        <v>0</v>
      </c>
      <c r="AR115" s="2"/>
    </row>
    <row r="116" spans="5:44" ht="14.45" customHeight="1" x14ac:dyDescent="0.25">
      <c r="E116" s="2"/>
      <c r="F116" s="12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3"/>
      <c r="AF116" s="2"/>
      <c r="AG116" s="2"/>
      <c r="AH116" s="2"/>
      <c r="AI116" s="2"/>
      <c r="AJ116" s="2"/>
      <c r="AK116" s="2"/>
      <c r="AL116" s="3"/>
      <c r="AM116" s="2"/>
      <c r="AN116" s="22" t="s">
        <v>53</v>
      </c>
      <c r="AO116" s="22" t="s">
        <v>54</v>
      </c>
      <c r="AP116" s="5">
        <f t="shared" si="6"/>
        <v>0</v>
      </c>
      <c r="AQ116" s="5">
        <f t="shared" si="7"/>
        <v>0</v>
      </c>
      <c r="AR116" s="2"/>
    </row>
    <row r="117" spans="5:44" ht="14.45" customHeight="1" x14ac:dyDescent="0.25">
      <c r="E117" s="2"/>
      <c r="F117" s="12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36">
        <v>1701</v>
      </c>
      <c r="Z117" s="36"/>
      <c r="AA117" s="36"/>
      <c r="AB117" s="36" t="s">
        <v>3</v>
      </c>
      <c r="AC117" s="37"/>
      <c r="AD117" s="2"/>
      <c r="AE117" s="3"/>
      <c r="AF117" s="2"/>
      <c r="AG117" s="36">
        <v>1785</v>
      </c>
      <c r="AH117" s="36"/>
      <c r="AI117" s="36"/>
      <c r="AJ117" s="36" t="s">
        <v>3</v>
      </c>
      <c r="AK117" s="37"/>
      <c r="AL117" s="3"/>
      <c r="AM117" s="2"/>
      <c r="AN117" s="24" t="s">
        <v>55</v>
      </c>
      <c r="AO117" s="24" t="s">
        <v>56</v>
      </c>
      <c r="AP117" s="5">
        <f t="shared" si="6"/>
        <v>0</v>
      </c>
      <c r="AQ117" s="5">
        <f t="shared" si="7"/>
        <v>0</v>
      </c>
      <c r="AR117" s="2"/>
    </row>
    <row r="118" spans="5:44" ht="14.45" customHeight="1" x14ac:dyDescent="0.25">
      <c r="E118" s="2"/>
      <c r="F118" s="12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6" t="s">
        <v>4</v>
      </c>
      <c r="Z118" s="26"/>
      <c r="AA118" s="26"/>
      <c r="AB118" s="26" t="s">
        <v>5</v>
      </c>
      <c r="AC118" s="26"/>
      <c r="AD118" s="26"/>
      <c r="AE118" s="3"/>
      <c r="AF118" s="2"/>
      <c r="AG118" s="26" t="s">
        <v>4</v>
      </c>
      <c r="AH118" s="26"/>
      <c r="AI118" s="26"/>
      <c r="AJ118" s="26" t="s">
        <v>5</v>
      </c>
      <c r="AK118" s="26"/>
      <c r="AL118" s="3"/>
      <c r="AM118" s="2"/>
      <c r="AN118" s="35" t="s">
        <v>57</v>
      </c>
      <c r="AO118" s="35" t="s">
        <v>16</v>
      </c>
      <c r="AP118" s="5">
        <f t="shared" si="6"/>
        <v>50</v>
      </c>
      <c r="AQ118" s="5">
        <f t="shared" si="7"/>
        <v>50</v>
      </c>
      <c r="AR118" s="2"/>
    </row>
    <row r="119" spans="5:44" ht="14.45" customHeight="1" x14ac:dyDescent="0.25">
      <c r="E119" s="2"/>
      <c r="F119" s="12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7">
        <v>1701</v>
      </c>
      <c r="Z119" s="27" t="s">
        <v>7</v>
      </c>
      <c r="AA119" s="2"/>
      <c r="AB119" s="27">
        <v>1701</v>
      </c>
      <c r="AC119" s="27" t="s">
        <v>7</v>
      </c>
      <c r="AD119" s="28"/>
      <c r="AE119" s="3"/>
      <c r="AF119" s="2"/>
      <c r="AG119" s="27">
        <v>1785</v>
      </c>
      <c r="AH119" s="27" t="s">
        <v>7</v>
      </c>
      <c r="AI119" s="29"/>
      <c r="AJ119" s="27">
        <v>1785</v>
      </c>
      <c r="AK119" s="27" t="s">
        <v>7</v>
      </c>
      <c r="AL119" s="3"/>
      <c r="AM119" s="2"/>
      <c r="AN119" s="4" t="s">
        <v>58</v>
      </c>
      <c r="AO119" s="4" t="s">
        <v>59</v>
      </c>
      <c r="AP119" s="5">
        <f t="shared" si="6"/>
        <v>2</v>
      </c>
      <c r="AQ119" s="5">
        <f t="shared" si="7"/>
        <v>2</v>
      </c>
      <c r="AR119" s="2"/>
    </row>
    <row r="120" spans="5:44" ht="14.45" customHeight="1" x14ac:dyDescent="0.25">
      <c r="E120" s="2"/>
      <c r="F120" s="125"/>
      <c r="G120" s="2"/>
      <c r="H120" s="2" t="s">
        <v>12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12</v>
      </c>
      <c r="Y120" s="70" t="s">
        <v>16</v>
      </c>
      <c r="Z120" s="32" t="s">
        <v>17</v>
      </c>
      <c r="AA120" s="2"/>
      <c r="AB120" s="70" t="s">
        <v>16</v>
      </c>
      <c r="AC120" s="32" t="s">
        <v>17</v>
      </c>
      <c r="AD120" s="2"/>
      <c r="AE120" s="3"/>
      <c r="AF120" s="2" t="s">
        <v>12</v>
      </c>
      <c r="AG120" s="70" t="s">
        <v>16</v>
      </c>
      <c r="AH120" s="32" t="s">
        <v>17</v>
      </c>
      <c r="AI120" s="2"/>
      <c r="AJ120" s="70" t="s">
        <v>16</v>
      </c>
      <c r="AK120" s="32" t="s">
        <v>17</v>
      </c>
      <c r="AL120" s="3"/>
      <c r="AM120" s="2"/>
      <c r="AN120" s="4" t="s">
        <v>60</v>
      </c>
      <c r="AO120" s="4" t="s">
        <v>61</v>
      </c>
      <c r="AP120" s="5">
        <f t="shared" si="6"/>
        <v>6</v>
      </c>
      <c r="AQ120" s="5">
        <f t="shared" si="7"/>
        <v>6</v>
      </c>
      <c r="AR120" s="2"/>
    </row>
    <row r="121" spans="5:44" ht="14.45" customHeight="1" x14ac:dyDescent="0.25">
      <c r="E121" s="2"/>
      <c r="F121" s="125"/>
      <c r="G121" s="2"/>
      <c r="H121" s="2" t="s">
        <v>20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20</v>
      </c>
      <c r="Y121" s="70" t="s">
        <v>16</v>
      </c>
      <c r="Z121" s="32" t="s">
        <v>17</v>
      </c>
      <c r="AA121" s="2"/>
      <c r="AB121" s="70" t="s">
        <v>16</v>
      </c>
      <c r="AC121" s="32" t="s">
        <v>17</v>
      </c>
      <c r="AD121" s="2"/>
      <c r="AE121" s="3"/>
      <c r="AF121" s="2" t="s">
        <v>20</v>
      </c>
      <c r="AG121" s="70" t="s">
        <v>16</v>
      </c>
      <c r="AH121" s="32" t="s">
        <v>17</v>
      </c>
      <c r="AI121" s="2"/>
      <c r="AJ121" s="70" t="s">
        <v>16</v>
      </c>
      <c r="AK121" s="32" t="s">
        <v>17</v>
      </c>
      <c r="AL121" s="3"/>
      <c r="AM121" s="2"/>
      <c r="AN121" s="4" t="s">
        <v>62</v>
      </c>
      <c r="AO121" s="4" t="s">
        <v>62</v>
      </c>
      <c r="AP121" s="5">
        <f t="shared" si="6"/>
        <v>0</v>
      </c>
      <c r="AQ121" s="5">
        <f t="shared" si="7"/>
        <v>0</v>
      </c>
      <c r="AR121" s="2"/>
    </row>
    <row r="122" spans="5:44" ht="14.45" customHeight="1" x14ac:dyDescent="0.25">
      <c r="E122" s="2"/>
      <c r="F122" s="125"/>
      <c r="G122" s="2"/>
      <c r="H122" s="2" t="s">
        <v>24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24</v>
      </c>
      <c r="Y122" s="70" t="s">
        <v>16</v>
      </c>
      <c r="Z122" s="32" t="s">
        <v>17</v>
      </c>
      <c r="AA122" s="2"/>
      <c r="AB122" s="70" t="s">
        <v>16</v>
      </c>
      <c r="AC122" s="32" t="s">
        <v>17</v>
      </c>
      <c r="AD122" s="2"/>
      <c r="AE122" s="3"/>
      <c r="AF122" s="2" t="s">
        <v>24</v>
      </c>
      <c r="AG122" s="70" t="s">
        <v>16</v>
      </c>
      <c r="AH122" s="32" t="s">
        <v>17</v>
      </c>
      <c r="AI122" s="2"/>
      <c r="AJ122" s="70" t="s">
        <v>16</v>
      </c>
      <c r="AK122" s="32" t="s">
        <v>17</v>
      </c>
      <c r="AL122" s="3"/>
      <c r="AM122" s="2"/>
      <c r="AN122" s="4" t="s">
        <v>62</v>
      </c>
      <c r="AO122" s="4" t="s">
        <v>62</v>
      </c>
      <c r="AP122" s="5">
        <f t="shared" si="6"/>
        <v>0</v>
      </c>
      <c r="AQ122" s="5">
        <f t="shared" si="7"/>
        <v>0</v>
      </c>
      <c r="AR122" s="2"/>
    </row>
    <row r="123" spans="5:44" ht="14.45" customHeight="1" x14ac:dyDescent="0.25">
      <c r="E123" s="2"/>
      <c r="F123" s="125"/>
      <c r="G123" s="2"/>
      <c r="H123" s="2" t="s">
        <v>28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28</v>
      </c>
      <c r="Y123" s="70" t="s">
        <v>16</v>
      </c>
      <c r="Z123" s="32" t="s">
        <v>17</v>
      </c>
      <c r="AA123" s="2"/>
      <c r="AB123" s="70" t="s">
        <v>16</v>
      </c>
      <c r="AC123" s="32" t="s">
        <v>17</v>
      </c>
      <c r="AD123" s="2"/>
      <c r="AE123" s="3"/>
      <c r="AF123" s="2" t="s">
        <v>28</v>
      </c>
      <c r="AG123" s="70" t="s">
        <v>16</v>
      </c>
      <c r="AH123" s="32" t="s">
        <v>17</v>
      </c>
      <c r="AI123" s="2"/>
      <c r="AJ123" s="70" t="s">
        <v>16</v>
      </c>
      <c r="AK123" s="32" t="s">
        <v>17</v>
      </c>
      <c r="AL123" s="3"/>
      <c r="AM123" s="2"/>
      <c r="AN123" s="4" t="s">
        <v>62</v>
      </c>
      <c r="AO123" s="4" t="s">
        <v>62</v>
      </c>
      <c r="AP123" s="5">
        <f t="shared" si="6"/>
        <v>0</v>
      </c>
      <c r="AQ123" s="5">
        <f t="shared" si="7"/>
        <v>0</v>
      </c>
      <c r="AR123" s="2"/>
    </row>
    <row r="124" spans="5:44" ht="14.45" customHeight="1" x14ac:dyDescent="0.25">
      <c r="E124" s="2"/>
      <c r="F124" s="125"/>
      <c r="G124" s="2"/>
      <c r="H124" s="2" t="s">
        <v>32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32</v>
      </c>
      <c r="Y124" s="70" t="s">
        <v>16</v>
      </c>
      <c r="Z124" s="32" t="s">
        <v>17</v>
      </c>
      <c r="AA124" s="2"/>
      <c r="AB124" s="70" t="s">
        <v>16</v>
      </c>
      <c r="AC124" s="32" t="s">
        <v>17</v>
      </c>
      <c r="AD124" s="2"/>
      <c r="AE124" s="3"/>
      <c r="AF124" s="2" t="s">
        <v>32</v>
      </c>
      <c r="AG124" s="70" t="s">
        <v>16</v>
      </c>
      <c r="AH124" s="32" t="s">
        <v>17</v>
      </c>
      <c r="AI124" s="2"/>
      <c r="AJ124" s="70" t="s">
        <v>16</v>
      </c>
      <c r="AK124" s="32" t="s">
        <v>17</v>
      </c>
      <c r="AL124" s="3"/>
      <c r="AM124" s="2"/>
      <c r="AN124" s="4" t="s">
        <v>62</v>
      </c>
      <c r="AO124" s="4" t="s">
        <v>62</v>
      </c>
      <c r="AP124" s="5">
        <f t="shared" si="6"/>
        <v>0</v>
      </c>
      <c r="AQ124" s="5">
        <f t="shared" si="7"/>
        <v>0</v>
      </c>
      <c r="AR124" s="2"/>
    </row>
    <row r="125" spans="5:44" ht="14.45" customHeight="1" x14ac:dyDescent="0.25">
      <c r="E125" s="2"/>
      <c r="F125" s="12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3"/>
      <c r="AF125" s="2"/>
      <c r="AG125" s="2"/>
      <c r="AH125" s="2"/>
      <c r="AI125" s="2"/>
      <c r="AJ125" s="2"/>
      <c r="AK125" s="2"/>
      <c r="AL125" s="3"/>
      <c r="AM125" s="2"/>
      <c r="AN125" s="4" t="s">
        <v>62</v>
      </c>
      <c r="AO125" s="4" t="s">
        <v>62</v>
      </c>
      <c r="AP125" s="5">
        <f t="shared" si="6"/>
        <v>0</v>
      </c>
      <c r="AQ125" s="5">
        <f t="shared" si="7"/>
        <v>0</v>
      </c>
      <c r="AR125" s="2"/>
    </row>
    <row r="126" spans="5:44" ht="14.45" customHeight="1" x14ac:dyDescent="0.25">
      <c r="E126" s="2"/>
      <c r="F126" s="12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36">
        <v>1439</v>
      </c>
      <c r="Z126" s="36"/>
      <c r="AA126" s="36"/>
      <c r="AB126" s="36" t="s">
        <v>63</v>
      </c>
      <c r="AC126" s="37"/>
      <c r="AD126" s="2"/>
      <c r="AE126" s="3"/>
      <c r="AF126" s="2"/>
      <c r="AG126" s="25">
        <v>1455</v>
      </c>
      <c r="AH126" s="25"/>
      <c r="AI126" s="25"/>
      <c r="AJ126" s="25" t="s">
        <v>63</v>
      </c>
      <c r="AK126" s="3"/>
      <c r="AL126" s="3"/>
      <c r="AM126" s="2"/>
      <c r="AN126" s="4" t="s">
        <v>62</v>
      </c>
      <c r="AO126" s="4" t="s">
        <v>62</v>
      </c>
      <c r="AP126" s="5">
        <f t="shared" si="6"/>
        <v>0</v>
      </c>
      <c r="AQ126" s="5">
        <f t="shared" si="7"/>
        <v>0</v>
      </c>
      <c r="AR126" s="2"/>
    </row>
    <row r="127" spans="5:44" ht="14.45" customHeight="1" x14ac:dyDescent="0.25">
      <c r="E127" s="2"/>
      <c r="F127" s="12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6" t="s">
        <v>4</v>
      </c>
      <c r="Z127" s="26"/>
      <c r="AA127" s="26"/>
      <c r="AB127" s="26" t="s">
        <v>5</v>
      </c>
      <c r="AC127" s="26"/>
      <c r="AD127" s="26"/>
      <c r="AE127" s="3"/>
      <c r="AF127" s="2"/>
      <c r="AG127" s="26" t="s">
        <v>4</v>
      </c>
      <c r="AH127" s="26"/>
      <c r="AI127" s="26"/>
      <c r="AJ127" s="26" t="s">
        <v>5</v>
      </c>
      <c r="AK127" s="26"/>
      <c r="AL127" s="3"/>
      <c r="AM127" s="2"/>
      <c r="AN127" s="4" t="s">
        <v>64</v>
      </c>
      <c r="AO127" s="4" t="s">
        <v>64</v>
      </c>
      <c r="AP127" s="5">
        <f t="shared" si="6"/>
        <v>8</v>
      </c>
      <c r="AQ127" s="5">
        <f t="shared" si="7"/>
        <v>8</v>
      </c>
      <c r="AR127" s="2"/>
    </row>
    <row r="128" spans="5:44" ht="14.45" customHeight="1" x14ac:dyDescent="0.25">
      <c r="E128" s="2"/>
      <c r="F128" s="12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7">
        <v>1439</v>
      </c>
      <c r="Z128" s="27" t="s">
        <v>7</v>
      </c>
      <c r="AA128" s="2"/>
      <c r="AB128" s="27">
        <v>1439</v>
      </c>
      <c r="AC128" s="27" t="s">
        <v>7</v>
      </c>
      <c r="AD128" s="28"/>
      <c r="AE128" s="3"/>
      <c r="AF128" s="2"/>
      <c r="AG128" s="27">
        <v>1455</v>
      </c>
      <c r="AH128" s="27" t="s">
        <v>7</v>
      </c>
      <c r="AI128" s="29"/>
      <c r="AJ128" s="27">
        <v>1455</v>
      </c>
      <c r="AK128" s="27" t="s">
        <v>7</v>
      </c>
      <c r="AL128" s="3"/>
      <c r="AM128" s="2"/>
      <c r="AN128" s="4" t="s">
        <v>65</v>
      </c>
      <c r="AO128" s="4" t="s">
        <v>66</v>
      </c>
      <c r="AP128" s="5">
        <f t="shared" si="6"/>
        <v>66</v>
      </c>
      <c r="AQ128" s="5">
        <f t="shared" si="7"/>
        <v>66</v>
      </c>
      <c r="AR128" s="2"/>
    </row>
    <row r="129" spans="5:44" ht="14.45" customHeight="1" x14ac:dyDescent="0.25">
      <c r="E129" s="2"/>
      <c r="F129" s="125"/>
      <c r="G129" s="2"/>
      <c r="H129" s="2" t="s">
        <v>12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12</v>
      </c>
      <c r="Y129" s="121" t="s">
        <v>66</v>
      </c>
      <c r="Z129" s="121" t="s">
        <v>67</v>
      </c>
      <c r="AA129" s="122" t="s">
        <v>92</v>
      </c>
      <c r="AB129" s="121" t="s">
        <v>66</v>
      </c>
      <c r="AC129" s="121" t="s">
        <v>67</v>
      </c>
      <c r="AD129" s="2"/>
      <c r="AE129" s="3"/>
      <c r="AF129" s="2" t="s">
        <v>12</v>
      </c>
      <c r="AG129" t="s">
        <v>66</v>
      </c>
      <c r="AH129" s="32" t="s">
        <v>67</v>
      </c>
      <c r="AI129" s="2"/>
      <c r="AJ129" t="s">
        <v>66</v>
      </c>
      <c r="AK129" s="32" t="s">
        <v>67</v>
      </c>
      <c r="AL129" s="3"/>
      <c r="AM129" s="2"/>
      <c r="AN129" s="4" t="s">
        <v>68</v>
      </c>
      <c r="AO129" s="4" t="s">
        <v>68</v>
      </c>
      <c r="AP129" s="5">
        <f t="shared" si="6"/>
        <v>0</v>
      </c>
      <c r="AQ129" s="5">
        <f t="shared" si="7"/>
        <v>0</v>
      </c>
      <c r="AR129" s="2"/>
    </row>
    <row r="130" spans="5:44" ht="14.45" customHeight="1" x14ac:dyDescent="0.25">
      <c r="E130" s="2"/>
      <c r="F130" s="125"/>
      <c r="G130" s="2"/>
      <c r="H130" s="2" t="s">
        <v>20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20</v>
      </c>
      <c r="Y130" s="121" t="s">
        <v>66</v>
      </c>
      <c r="Z130" s="121" t="s">
        <v>67</v>
      </c>
      <c r="AA130" s="122" t="s">
        <v>92</v>
      </c>
      <c r="AB130" s="121" t="s">
        <v>66</v>
      </c>
      <c r="AC130" s="121" t="s">
        <v>67</v>
      </c>
      <c r="AD130" s="2"/>
      <c r="AE130" s="3"/>
      <c r="AF130" s="2" t="s">
        <v>20</v>
      </c>
      <c r="AG130" t="s">
        <v>66</v>
      </c>
      <c r="AH130" s="32" t="s">
        <v>67</v>
      </c>
      <c r="AI130" s="2"/>
      <c r="AJ130" t="s">
        <v>66</v>
      </c>
      <c r="AK130" s="32" t="s">
        <v>67</v>
      </c>
      <c r="AL130" s="3"/>
      <c r="AM130" s="2"/>
      <c r="AN130" s="4"/>
      <c r="AO130" s="4" t="s">
        <v>69</v>
      </c>
      <c r="AP130" s="5">
        <f>+SUM(AP102:AP129)</f>
        <v>180</v>
      </c>
      <c r="AQ130" s="5">
        <f>+SUM(AQ102:AQ129)</f>
        <v>180</v>
      </c>
      <c r="AR130" s="2"/>
    </row>
    <row r="131" spans="5:44" ht="14.45" customHeight="1" x14ac:dyDescent="0.25">
      <c r="E131" s="2"/>
      <c r="F131" s="125"/>
      <c r="G131" s="2"/>
      <c r="H131" s="2" t="s">
        <v>24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24</v>
      </c>
      <c r="Y131" s="121" t="s">
        <v>66</v>
      </c>
      <c r="Z131" s="121" t="s">
        <v>67</v>
      </c>
      <c r="AA131" s="122" t="s">
        <v>92</v>
      </c>
      <c r="AB131" s="121" t="s">
        <v>66</v>
      </c>
      <c r="AC131" s="121" t="s">
        <v>67</v>
      </c>
      <c r="AD131" s="2"/>
      <c r="AE131" s="3"/>
      <c r="AF131" s="2" t="s">
        <v>24</v>
      </c>
      <c r="AG131" t="s">
        <v>66</v>
      </c>
      <c r="AH131" s="32" t="s">
        <v>67</v>
      </c>
      <c r="AI131" s="2"/>
      <c r="AJ131" t="s">
        <v>66</v>
      </c>
      <c r="AK131" s="32" t="s">
        <v>67</v>
      </c>
      <c r="AL131" s="3"/>
      <c r="AM131" s="2"/>
      <c r="AN131" s="2"/>
      <c r="AO131" s="2"/>
      <c r="AP131" s="2"/>
      <c r="AQ131" s="2"/>
      <c r="AR131" s="2"/>
    </row>
    <row r="132" spans="5:44" ht="14.45" customHeight="1" x14ac:dyDescent="0.25">
      <c r="E132" s="2"/>
      <c r="F132" s="125"/>
      <c r="G132" s="2"/>
      <c r="H132" s="2" t="s">
        <v>28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28</v>
      </c>
      <c r="Y132" s="121" t="s">
        <v>66</v>
      </c>
      <c r="Z132" s="121" t="s">
        <v>67</v>
      </c>
      <c r="AA132" s="122" t="s">
        <v>92</v>
      </c>
      <c r="AB132" s="121" t="s">
        <v>66</v>
      </c>
      <c r="AC132" s="121" t="s">
        <v>67</v>
      </c>
      <c r="AD132" s="2"/>
      <c r="AE132" s="3"/>
      <c r="AF132" s="2" t="s">
        <v>28</v>
      </c>
      <c r="AG132" t="s">
        <v>66</v>
      </c>
      <c r="AH132" s="32" t="s">
        <v>67</v>
      </c>
      <c r="AI132" s="2"/>
      <c r="AJ132" t="s">
        <v>66</v>
      </c>
      <c r="AK132" s="32" t="s">
        <v>67</v>
      </c>
      <c r="AL132" s="3"/>
      <c r="AM132" s="2"/>
      <c r="AN132" s="2"/>
      <c r="AO132" s="2"/>
      <c r="AP132" s="2"/>
      <c r="AQ132" s="2"/>
      <c r="AR132" s="2"/>
    </row>
    <row r="133" spans="5:44" ht="14.45" customHeight="1" x14ac:dyDescent="0.25">
      <c r="E133" s="2"/>
      <c r="F133" s="125"/>
      <c r="G133" s="2"/>
      <c r="H133" s="2" t="s">
        <v>32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32</v>
      </c>
      <c r="Y133" s="121" t="s">
        <v>66</v>
      </c>
      <c r="Z133" s="121" t="s">
        <v>67</v>
      </c>
      <c r="AA133" s="122" t="s">
        <v>92</v>
      </c>
      <c r="AB133" s="121" t="s">
        <v>66</v>
      </c>
      <c r="AC133" s="121" t="s">
        <v>67</v>
      </c>
      <c r="AD133" s="2"/>
      <c r="AE133" s="3"/>
      <c r="AF133" s="2" t="s">
        <v>32</v>
      </c>
      <c r="AG133" t="s">
        <v>66</v>
      </c>
      <c r="AH133" s="32" t="s">
        <v>67</v>
      </c>
      <c r="AI133" s="2"/>
      <c r="AJ133" t="s">
        <v>66</v>
      </c>
      <c r="AK133" s="32" t="s">
        <v>67</v>
      </c>
      <c r="AL133" s="3"/>
      <c r="AM133" s="2"/>
      <c r="AN133" s="2"/>
      <c r="AO133" s="2"/>
      <c r="AP133" s="2"/>
      <c r="AQ133" s="2"/>
      <c r="AR133" s="2"/>
    </row>
    <row r="134" spans="5:44" ht="14.45" customHeight="1" x14ac:dyDescent="0.25">
      <c r="E134" s="2"/>
      <c r="F134" s="12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3"/>
      <c r="AF134" s="2"/>
      <c r="AG134" s="2"/>
      <c r="AH134" s="2"/>
      <c r="AI134" s="2"/>
      <c r="AJ134" s="2"/>
      <c r="AK134" s="2"/>
      <c r="AL134" s="3"/>
      <c r="AM134" s="2"/>
      <c r="AN134" s="2"/>
      <c r="AO134" s="2"/>
      <c r="AP134" s="2"/>
      <c r="AQ134" s="2"/>
      <c r="AR134" s="2"/>
    </row>
    <row r="135" spans="5:44" ht="14.45" customHeight="1" x14ac:dyDescent="0.25">
      <c r="E135" s="2"/>
      <c r="F135" s="125"/>
      <c r="G135" s="2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2"/>
      <c r="AN135" s="2"/>
      <c r="AO135" s="2"/>
      <c r="AP135" s="2"/>
      <c r="AQ135" s="2"/>
      <c r="AR135" s="2"/>
    </row>
    <row r="136" spans="5:44" ht="14.45" customHeight="1" x14ac:dyDescent="0.25">
      <c r="E136" s="2"/>
      <c r="F136" s="125"/>
      <c r="G136" s="2"/>
      <c r="H136" s="2"/>
      <c r="I136" s="2"/>
      <c r="J136" s="2"/>
      <c r="K136" s="2"/>
      <c r="L136" s="2"/>
      <c r="M136" s="2"/>
      <c r="N136" s="2"/>
      <c r="O136" s="3"/>
      <c r="P136" s="2"/>
      <c r="Q136" s="2"/>
      <c r="R136" s="2"/>
      <c r="S136" s="2"/>
      <c r="T136" s="2"/>
      <c r="U136" s="2"/>
      <c r="V136" s="2"/>
      <c r="W136" s="3"/>
      <c r="X136" s="2"/>
      <c r="Y136" s="2"/>
      <c r="Z136" s="2"/>
      <c r="AA136" s="2"/>
      <c r="AB136" s="2"/>
      <c r="AC136" s="2"/>
      <c r="AD136" s="2"/>
      <c r="AE136" s="3"/>
      <c r="AF136" s="2"/>
      <c r="AG136" s="2"/>
      <c r="AH136" s="2"/>
      <c r="AI136" s="2"/>
      <c r="AJ136" s="2"/>
      <c r="AK136" s="2"/>
      <c r="AL136" s="3"/>
      <c r="AM136" s="2"/>
      <c r="AN136" s="2"/>
      <c r="AO136" s="2"/>
      <c r="AP136" s="2"/>
      <c r="AQ136" s="2"/>
      <c r="AR136" s="2"/>
    </row>
    <row r="137" spans="5:44" ht="14.45" customHeight="1" x14ac:dyDescent="0.25">
      <c r="E137" s="2"/>
      <c r="F137" s="125"/>
      <c r="G137" s="2"/>
      <c r="H137" s="2"/>
      <c r="I137" s="25">
        <v>2930</v>
      </c>
      <c r="J137" s="25"/>
      <c r="K137" s="25"/>
      <c r="L137" s="25" t="s">
        <v>63</v>
      </c>
      <c r="M137" s="3"/>
      <c r="N137" s="2"/>
      <c r="O137" s="3"/>
      <c r="P137" s="2"/>
      <c r="Q137" s="25"/>
      <c r="R137" s="25"/>
      <c r="S137" s="25"/>
      <c r="T137" s="25"/>
      <c r="U137" s="3"/>
      <c r="V137" s="2"/>
      <c r="W137" s="3"/>
      <c r="X137" s="2"/>
      <c r="Y137" s="25"/>
      <c r="Z137" s="25"/>
      <c r="AA137" s="25"/>
      <c r="AB137" s="25"/>
      <c r="AC137" s="3"/>
      <c r="AD137" s="2"/>
      <c r="AE137" s="3"/>
      <c r="AF137" s="2"/>
      <c r="AG137" s="25"/>
      <c r="AH137" s="25"/>
      <c r="AI137" s="25"/>
      <c r="AJ137" s="25"/>
      <c r="AK137" s="3"/>
      <c r="AL137" s="3"/>
      <c r="AM137" s="2"/>
      <c r="AN137" s="2"/>
      <c r="AO137" s="2"/>
      <c r="AP137" s="2"/>
      <c r="AQ137" s="2"/>
      <c r="AR137" s="2"/>
    </row>
    <row r="138" spans="5:44" ht="14.45" customHeight="1" x14ac:dyDescent="0.25">
      <c r="E138" s="2"/>
      <c r="F138" s="125"/>
      <c r="G138" s="2"/>
      <c r="H138" s="2"/>
      <c r="I138" s="26" t="s">
        <v>4</v>
      </c>
      <c r="J138" s="26"/>
      <c r="K138" s="26"/>
      <c r="L138" s="26" t="s">
        <v>5</v>
      </c>
      <c r="M138" s="26"/>
      <c r="N138" s="2"/>
      <c r="O138" s="3"/>
      <c r="P138" s="2"/>
      <c r="Q138" s="26"/>
      <c r="R138" s="26"/>
      <c r="S138" s="26"/>
      <c r="T138" s="26"/>
      <c r="U138" s="26"/>
      <c r="V138" s="2"/>
      <c r="W138" s="3"/>
      <c r="X138" s="2"/>
      <c r="Y138" s="26"/>
      <c r="Z138" s="26"/>
      <c r="AA138" s="26"/>
      <c r="AB138" s="26"/>
      <c r="AC138" s="26"/>
      <c r="AD138" s="26"/>
      <c r="AE138" s="3"/>
      <c r="AF138" s="2"/>
      <c r="AG138" s="26"/>
      <c r="AH138" s="26"/>
      <c r="AI138" s="26"/>
      <c r="AJ138" s="26"/>
      <c r="AK138" s="26"/>
      <c r="AL138" s="3"/>
      <c r="AM138" s="2"/>
      <c r="AN138" s="2"/>
      <c r="AO138" s="2"/>
      <c r="AP138" s="2"/>
      <c r="AQ138" s="2"/>
      <c r="AR138" s="2"/>
    </row>
    <row r="139" spans="5:44" ht="14.45" customHeight="1" x14ac:dyDescent="0.25">
      <c r="E139" s="2"/>
      <c r="F139" s="125"/>
      <c r="G139" s="2"/>
      <c r="H139" s="2"/>
      <c r="I139" s="27">
        <v>2930</v>
      </c>
      <c r="J139" s="27" t="s">
        <v>7</v>
      </c>
      <c r="K139" s="2"/>
      <c r="L139" s="27">
        <v>2930</v>
      </c>
      <c r="M139" s="27" t="s">
        <v>7</v>
      </c>
      <c r="N139" s="2"/>
      <c r="O139" s="3"/>
      <c r="P139" s="2"/>
      <c r="Q139" s="27"/>
      <c r="R139" s="27"/>
      <c r="S139" s="2"/>
      <c r="T139" s="27"/>
      <c r="U139" s="27"/>
      <c r="V139" s="2"/>
      <c r="W139" s="3"/>
      <c r="X139" s="2"/>
      <c r="Y139" s="27"/>
      <c r="Z139" s="27"/>
      <c r="AA139" s="2"/>
      <c r="AB139" s="27"/>
      <c r="AC139" s="27"/>
      <c r="AD139" s="28"/>
      <c r="AE139" s="3"/>
      <c r="AF139" s="2"/>
      <c r="AG139" s="27"/>
      <c r="AH139" s="27"/>
      <c r="AI139" s="29"/>
      <c r="AJ139" s="27"/>
      <c r="AK139" s="27"/>
      <c r="AL139" s="3"/>
      <c r="AM139" s="2"/>
      <c r="AN139" s="2"/>
      <c r="AO139" s="2"/>
      <c r="AP139" s="2"/>
      <c r="AQ139" s="2"/>
      <c r="AR139" s="2"/>
    </row>
    <row r="140" spans="5:44" ht="14.45" customHeight="1" x14ac:dyDescent="0.25">
      <c r="E140" s="2"/>
      <c r="F140" s="125"/>
      <c r="G140" s="2"/>
      <c r="H140" s="2" t="s">
        <v>12</v>
      </c>
      <c r="I140" s="81" t="s">
        <v>31</v>
      </c>
      <c r="J140" s="32" t="s">
        <v>70</v>
      </c>
      <c r="K140" s="2"/>
      <c r="L140" s="81" t="s">
        <v>31</v>
      </c>
      <c r="M140" s="32" t="s">
        <v>70</v>
      </c>
      <c r="N140" s="2"/>
      <c r="O140" s="3"/>
      <c r="P140" s="2" t="s">
        <v>12</v>
      </c>
      <c r="R140" s="32"/>
      <c r="S140" s="2"/>
      <c r="U140" s="32"/>
      <c r="V140" s="2"/>
      <c r="W140" s="3"/>
      <c r="X140" s="2" t="s">
        <v>12</v>
      </c>
      <c r="Z140" s="32"/>
      <c r="AA140" s="2"/>
      <c r="AC140" s="32"/>
      <c r="AD140" s="2"/>
      <c r="AE140" s="3"/>
      <c r="AF140" s="2" t="s">
        <v>12</v>
      </c>
      <c r="AH140" s="32"/>
      <c r="AI140" s="2"/>
      <c r="AK140" s="32"/>
      <c r="AL140" s="3"/>
      <c r="AM140" s="2"/>
      <c r="AN140" s="2"/>
      <c r="AO140" s="2"/>
      <c r="AP140" s="2"/>
      <c r="AQ140" s="2"/>
      <c r="AR140" s="2"/>
    </row>
    <row r="141" spans="5:44" ht="14.45" customHeight="1" x14ac:dyDescent="0.25">
      <c r="E141" s="2"/>
      <c r="F141" s="125"/>
      <c r="G141" s="2"/>
      <c r="H141" s="2" t="s">
        <v>20</v>
      </c>
      <c r="I141" s="81" t="s">
        <v>31</v>
      </c>
      <c r="J141" s="32" t="s">
        <v>70</v>
      </c>
      <c r="K141" s="2"/>
      <c r="L141" s="81" t="s">
        <v>31</v>
      </c>
      <c r="M141" s="32" t="s">
        <v>70</v>
      </c>
      <c r="N141" s="2"/>
      <c r="O141" s="3"/>
      <c r="P141" s="2" t="s">
        <v>20</v>
      </c>
      <c r="R141" s="32"/>
      <c r="S141" s="2"/>
      <c r="U141" s="32"/>
      <c r="V141" s="2"/>
      <c r="W141" s="3"/>
      <c r="X141" s="2" t="s">
        <v>20</v>
      </c>
      <c r="Z141" s="32"/>
      <c r="AA141" s="2"/>
      <c r="AC141" s="32"/>
      <c r="AD141" s="2"/>
      <c r="AE141" s="3"/>
      <c r="AF141" s="2" t="s">
        <v>20</v>
      </c>
      <c r="AH141" s="32"/>
      <c r="AI141" s="2"/>
      <c r="AK141" s="32"/>
      <c r="AL141" s="3"/>
      <c r="AM141" s="2"/>
      <c r="AN141" s="2"/>
      <c r="AO141" s="12" t="s">
        <v>71</v>
      </c>
      <c r="AP141" s="5">
        <f>(COUNTIF($I$102:$I$189,"=*"&amp;AO141&amp;"*")+COUNTIF($Q$102:$Q$189,"=*"&amp;AO141&amp;"*")+COUNTIF($AG$102:$AG$189,"=*"&amp;AO141&amp;"*")+COUNTIF($Y$102:$Y$189,"=*"&amp;AO141&amp;"*"))*2</f>
        <v>6</v>
      </c>
      <c r="AQ141" s="2"/>
      <c r="AR141" s="2"/>
    </row>
    <row r="142" spans="5:44" ht="14.45" customHeight="1" x14ac:dyDescent="0.25">
      <c r="E142" s="2"/>
      <c r="F142" s="125"/>
      <c r="G142" s="2"/>
      <c r="H142" s="2" t="s">
        <v>24</v>
      </c>
      <c r="I142" s="81" t="s">
        <v>31</v>
      </c>
      <c r="J142" s="32" t="s">
        <v>70</v>
      </c>
      <c r="K142" s="2"/>
      <c r="L142" s="81" t="s">
        <v>31</v>
      </c>
      <c r="M142" s="32" t="s">
        <v>70</v>
      </c>
      <c r="N142" s="2"/>
      <c r="O142" s="3"/>
      <c r="P142" s="2" t="s">
        <v>24</v>
      </c>
      <c r="R142" s="32"/>
      <c r="S142" s="2"/>
      <c r="U142" s="32"/>
      <c r="V142" s="2"/>
      <c r="W142" s="3"/>
      <c r="X142" s="2" t="s">
        <v>24</v>
      </c>
      <c r="Z142" s="32"/>
      <c r="AA142" s="2"/>
      <c r="AC142" s="32"/>
      <c r="AD142" s="2"/>
      <c r="AE142" s="3"/>
      <c r="AF142" s="2" t="s">
        <v>24</v>
      </c>
      <c r="AH142" s="32"/>
      <c r="AI142" s="2"/>
      <c r="AK142" s="32"/>
      <c r="AL142" s="3"/>
      <c r="AM142" s="2"/>
      <c r="AN142" s="2"/>
      <c r="AO142" s="12" t="s">
        <v>72</v>
      </c>
      <c r="AP142" s="5">
        <f t="shared" ref="AP142:AP151" si="8">(COUNTIF($I$102:$I$189,"=*"&amp;AO142&amp;"*")+COUNTIF($Q$102:$Q$189,"=*"&amp;AO142&amp;"*")+COUNTIF($AG$102:$AG$189,"=*"&amp;AO142&amp;"*")+COUNTIF($Y$102:$Y$189,"=*"&amp;AO142&amp;"*"))*2</f>
        <v>2</v>
      </c>
      <c r="AQ142" s="2"/>
      <c r="AR142" s="2"/>
    </row>
    <row r="143" spans="5:44" ht="14.45" customHeight="1" x14ac:dyDescent="0.25">
      <c r="E143" s="2"/>
      <c r="F143" s="125"/>
      <c r="G143" s="2"/>
      <c r="H143" s="2" t="s">
        <v>28</v>
      </c>
      <c r="I143" s="34" t="s">
        <v>73</v>
      </c>
      <c r="J143" s="32" t="s">
        <v>70</v>
      </c>
      <c r="K143" s="2"/>
      <c r="L143" s="34" t="s">
        <v>73</v>
      </c>
      <c r="M143" s="32" t="s">
        <v>70</v>
      </c>
      <c r="N143" s="2"/>
      <c r="O143" s="3"/>
      <c r="P143" s="2" t="s">
        <v>28</v>
      </c>
      <c r="R143" s="32"/>
      <c r="S143" s="2"/>
      <c r="U143" s="32"/>
      <c r="V143" s="2"/>
      <c r="W143" s="3"/>
      <c r="X143" s="2" t="s">
        <v>28</v>
      </c>
      <c r="Z143" s="32"/>
      <c r="AA143" s="2"/>
      <c r="AC143" s="32"/>
      <c r="AD143" s="2"/>
      <c r="AE143" s="3"/>
      <c r="AF143" s="2" t="s">
        <v>28</v>
      </c>
      <c r="AH143" s="32"/>
      <c r="AI143" s="2"/>
      <c r="AK143" s="32"/>
      <c r="AL143" s="3"/>
      <c r="AM143" s="2"/>
      <c r="AN143" s="2"/>
      <c r="AO143" s="23" t="s">
        <v>74</v>
      </c>
      <c r="AP143" s="5">
        <f t="shared" si="8"/>
        <v>0</v>
      </c>
      <c r="AQ143" s="2"/>
      <c r="AR143" s="2"/>
    </row>
    <row r="144" spans="5:44" ht="14.45" customHeight="1" x14ac:dyDescent="0.25">
      <c r="E144" s="2"/>
      <c r="F144" s="125"/>
      <c r="G144" s="2"/>
      <c r="H144" s="2" t="s">
        <v>32</v>
      </c>
      <c r="I144" s="34" t="s">
        <v>73</v>
      </c>
      <c r="J144" s="32" t="s">
        <v>70</v>
      </c>
      <c r="K144" s="2"/>
      <c r="L144" s="34" t="s">
        <v>73</v>
      </c>
      <c r="M144" s="32" t="s">
        <v>70</v>
      </c>
      <c r="N144" s="2"/>
      <c r="O144" s="3"/>
      <c r="P144" s="2" t="s">
        <v>32</v>
      </c>
      <c r="R144" s="32"/>
      <c r="S144" s="2"/>
      <c r="U144" s="32"/>
      <c r="V144" s="2"/>
      <c r="W144" s="3"/>
      <c r="X144" s="2" t="s">
        <v>32</v>
      </c>
      <c r="Z144" s="32"/>
      <c r="AA144" s="2"/>
      <c r="AC144" s="32"/>
      <c r="AD144" s="2"/>
      <c r="AE144" s="3"/>
      <c r="AF144" s="2" t="s">
        <v>32</v>
      </c>
      <c r="AH144" s="32"/>
      <c r="AI144" s="2"/>
      <c r="AK144" s="32"/>
      <c r="AL144" s="3"/>
      <c r="AM144" s="2"/>
      <c r="AN144" s="2"/>
      <c r="AO144" s="8" t="s">
        <v>93</v>
      </c>
      <c r="AP144" s="5">
        <f t="shared" si="8"/>
        <v>0</v>
      </c>
      <c r="AQ144" s="2"/>
      <c r="AR144" s="2"/>
    </row>
    <row r="145" spans="5:44" ht="14.45" customHeight="1" x14ac:dyDescent="0.25">
      <c r="E145" s="2"/>
      <c r="F145" s="125"/>
      <c r="G145" s="2"/>
      <c r="H145" s="2"/>
      <c r="I145" s="2"/>
      <c r="J145" s="2"/>
      <c r="K145" s="2"/>
      <c r="L145" s="2"/>
      <c r="M145" s="2"/>
      <c r="N145" s="2"/>
      <c r="O145" s="3"/>
      <c r="P145" s="2"/>
      <c r="Q145" s="2"/>
      <c r="R145" s="2"/>
      <c r="S145" s="2"/>
      <c r="T145" s="2"/>
      <c r="U145" s="2"/>
      <c r="V145" s="2"/>
      <c r="W145" s="3"/>
      <c r="X145" s="2"/>
      <c r="Y145" s="2"/>
      <c r="Z145" s="2"/>
      <c r="AA145" s="2"/>
      <c r="AB145" s="2"/>
      <c r="AC145" s="2"/>
      <c r="AD145" s="2"/>
      <c r="AE145" s="3"/>
      <c r="AF145" s="2"/>
      <c r="AG145" s="2"/>
      <c r="AH145" s="2"/>
      <c r="AI145" s="2"/>
      <c r="AJ145" s="2"/>
      <c r="AK145" s="2"/>
      <c r="AL145" s="3"/>
      <c r="AM145" s="2"/>
      <c r="AN145" s="2"/>
      <c r="AO145" s="10" t="s">
        <v>75</v>
      </c>
      <c r="AP145" s="5">
        <f t="shared" si="8"/>
        <v>0</v>
      </c>
      <c r="AQ145" s="2"/>
      <c r="AR145" s="2"/>
    </row>
    <row r="146" spans="5:44" ht="14.45" customHeight="1" x14ac:dyDescent="0.25">
      <c r="E146" s="2"/>
      <c r="F146" s="125"/>
      <c r="G146" s="2"/>
      <c r="H146" s="2"/>
      <c r="I146" s="25">
        <v>3415</v>
      </c>
      <c r="J146" s="25"/>
      <c r="K146" s="25"/>
      <c r="L146" s="25" t="s">
        <v>63</v>
      </c>
      <c r="M146" s="3"/>
      <c r="N146" s="2"/>
      <c r="O146" s="3"/>
      <c r="P146" s="2"/>
      <c r="Q146" s="36">
        <v>2989</v>
      </c>
      <c r="R146" s="36"/>
      <c r="S146" s="36"/>
      <c r="T146" s="36" t="s">
        <v>3</v>
      </c>
      <c r="U146" s="37"/>
      <c r="V146" s="2"/>
      <c r="W146" s="3"/>
      <c r="X146" s="2"/>
      <c r="Y146" s="25"/>
      <c r="Z146" s="25"/>
      <c r="AA146" s="25"/>
      <c r="AB146" s="25"/>
      <c r="AC146" s="3"/>
      <c r="AD146" s="2"/>
      <c r="AE146" s="3"/>
      <c r="AF146" s="2"/>
      <c r="AG146" s="36">
        <v>1852</v>
      </c>
      <c r="AH146" s="36"/>
      <c r="AI146" s="36"/>
      <c r="AJ146" s="36" t="s">
        <v>63</v>
      </c>
      <c r="AK146" s="37"/>
      <c r="AL146" s="3"/>
      <c r="AM146" s="2"/>
      <c r="AN146" s="2"/>
      <c r="AO146" s="10" t="s">
        <v>76</v>
      </c>
      <c r="AP146" s="5">
        <f t="shared" si="8"/>
        <v>0</v>
      </c>
      <c r="AQ146" s="2"/>
      <c r="AR146" s="2"/>
    </row>
    <row r="147" spans="5:44" ht="14.45" customHeight="1" x14ac:dyDescent="0.25">
      <c r="E147" s="2"/>
      <c r="F147" s="125"/>
      <c r="G147" s="2"/>
      <c r="H147" s="2"/>
      <c r="I147" s="26" t="s">
        <v>4</v>
      </c>
      <c r="J147" s="26"/>
      <c r="K147" s="26"/>
      <c r="L147" s="26" t="s">
        <v>5</v>
      </c>
      <c r="M147" s="26"/>
      <c r="N147" s="2"/>
      <c r="O147" s="3"/>
      <c r="P147" s="2"/>
      <c r="Q147" s="26" t="s">
        <v>4</v>
      </c>
      <c r="R147" s="26"/>
      <c r="S147" s="26"/>
      <c r="T147" s="26" t="s">
        <v>5</v>
      </c>
      <c r="U147" s="26"/>
      <c r="V147" s="2"/>
      <c r="W147" s="3"/>
      <c r="X147" s="2"/>
      <c r="Y147" s="26"/>
      <c r="Z147" s="26"/>
      <c r="AA147" s="26"/>
      <c r="AB147" s="26"/>
      <c r="AC147" s="26"/>
      <c r="AD147" s="26"/>
      <c r="AE147" s="3"/>
      <c r="AF147" s="2"/>
      <c r="AG147" s="26" t="s">
        <v>4</v>
      </c>
      <c r="AH147" s="26"/>
      <c r="AI147" s="26"/>
      <c r="AJ147" s="26" t="s">
        <v>5</v>
      </c>
      <c r="AK147" s="26"/>
      <c r="AL147" s="3"/>
      <c r="AM147" s="2"/>
      <c r="AN147" s="2"/>
      <c r="AO147" s="19" t="s">
        <v>77</v>
      </c>
      <c r="AP147" s="5">
        <f t="shared" si="8"/>
        <v>0</v>
      </c>
      <c r="AQ147" s="2"/>
      <c r="AR147" s="2"/>
    </row>
    <row r="148" spans="5:44" ht="14.45" customHeight="1" x14ac:dyDescent="0.25">
      <c r="E148" s="2"/>
      <c r="F148" s="125"/>
      <c r="G148" s="2"/>
      <c r="H148" s="2"/>
      <c r="I148" s="27">
        <v>3415</v>
      </c>
      <c r="J148" s="27" t="s">
        <v>7</v>
      </c>
      <c r="K148" s="2"/>
      <c r="L148" s="27">
        <v>3415</v>
      </c>
      <c r="M148" s="27" t="s">
        <v>7</v>
      </c>
      <c r="N148" s="2"/>
      <c r="O148" s="3"/>
      <c r="P148" s="2"/>
      <c r="Q148" s="27">
        <v>2989</v>
      </c>
      <c r="R148" s="27" t="s">
        <v>7</v>
      </c>
      <c r="S148" s="2"/>
      <c r="T148" s="27">
        <v>2989</v>
      </c>
      <c r="U148" s="27" t="s">
        <v>7</v>
      </c>
      <c r="V148" s="2"/>
      <c r="W148" s="3"/>
      <c r="X148" s="2"/>
      <c r="Y148" s="27"/>
      <c r="Z148" s="27"/>
      <c r="AA148" s="2"/>
      <c r="AB148" s="27"/>
      <c r="AC148" s="27"/>
      <c r="AD148" s="28"/>
      <c r="AE148" s="3"/>
      <c r="AF148" s="2"/>
      <c r="AG148" s="27">
        <v>1852</v>
      </c>
      <c r="AH148" s="27" t="s">
        <v>7</v>
      </c>
      <c r="AI148" s="29"/>
      <c r="AJ148" s="27">
        <v>1852</v>
      </c>
      <c r="AK148" s="27" t="s">
        <v>7</v>
      </c>
      <c r="AL148" s="3"/>
      <c r="AM148" s="2"/>
      <c r="AN148" s="2"/>
      <c r="AO148" s="16" t="s">
        <v>78</v>
      </c>
      <c r="AP148" s="5">
        <f t="shared" si="8"/>
        <v>0</v>
      </c>
      <c r="AQ148" s="2"/>
      <c r="AR148" s="2"/>
    </row>
    <row r="149" spans="5:44" ht="14.45" customHeight="1" x14ac:dyDescent="0.25">
      <c r="E149" s="2"/>
      <c r="F149" s="125"/>
      <c r="G149" s="2"/>
      <c r="H149" s="2" t="s">
        <v>12</v>
      </c>
      <c r="I149" t="s">
        <v>66</v>
      </c>
      <c r="J149" s="32" t="s">
        <v>79</v>
      </c>
      <c r="K149" s="2"/>
      <c r="L149" t="s">
        <v>66</v>
      </c>
      <c r="M149" s="32" t="s">
        <v>79</v>
      </c>
      <c r="N149" s="2"/>
      <c r="O149" s="3"/>
      <c r="P149" s="2" t="s">
        <v>12</v>
      </c>
      <c r="Q149" t="s">
        <v>66</v>
      </c>
      <c r="R149" s="32" t="s">
        <v>67</v>
      </c>
      <c r="S149" s="2"/>
      <c r="T149" t="s">
        <v>66</v>
      </c>
      <c r="U149" s="32" t="s">
        <v>67</v>
      </c>
      <c r="V149" s="2"/>
      <c r="W149" s="3"/>
      <c r="X149" s="2" t="s">
        <v>12</v>
      </c>
      <c r="Z149" s="32"/>
      <c r="AA149" s="2"/>
      <c r="AC149" s="32"/>
      <c r="AD149" s="2"/>
      <c r="AE149" s="3"/>
      <c r="AF149" s="2" t="s">
        <v>12</v>
      </c>
      <c r="AG149" t="s">
        <v>66</v>
      </c>
      <c r="AH149" s="32" t="s">
        <v>67</v>
      </c>
      <c r="AI149" s="2"/>
      <c r="AJ149" t="s">
        <v>66</v>
      </c>
      <c r="AK149" s="32" t="s">
        <v>67</v>
      </c>
      <c r="AL149" s="3"/>
      <c r="AM149" s="2"/>
      <c r="AN149" s="2"/>
      <c r="AO149" s="8" t="s">
        <v>80</v>
      </c>
      <c r="AP149" s="5">
        <f t="shared" si="8"/>
        <v>0</v>
      </c>
      <c r="AQ149" s="2"/>
      <c r="AR149" s="2"/>
    </row>
    <row r="150" spans="5:44" ht="14.45" customHeight="1" x14ac:dyDescent="0.25">
      <c r="E150" s="2"/>
      <c r="F150" s="125"/>
      <c r="G150" s="2"/>
      <c r="H150" s="2" t="s">
        <v>20</v>
      </c>
      <c r="I150" s="81" t="s">
        <v>71</v>
      </c>
      <c r="J150" s="32" t="s">
        <v>70</v>
      </c>
      <c r="K150" s="2"/>
      <c r="L150" s="81" t="s">
        <v>71</v>
      </c>
      <c r="M150" s="32" t="s">
        <v>70</v>
      </c>
      <c r="N150" s="2"/>
      <c r="O150" s="3"/>
      <c r="P150" s="2" t="s">
        <v>20</v>
      </c>
      <c r="Q150" t="s">
        <v>66</v>
      </c>
      <c r="R150" s="32" t="s">
        <v>67</v>
      </c>
      <c r="S150" s="2"/>
      <c r="T150" t="s">
        <v>66</v>
      </c>
      <c r="U150" s="32" t="s">
        <v>67</v>
      </c>
      <c r="V150" s="2"/>
      <c r="W150" s="3"/>
      <c r="X150" s="2" t="s">
        <v>20</v>
      </c>
      <c r="Z150" s="32"/>
      <c r="AA150" s="2"/>
      <c r="AC150" s="32"/>
      <c r="AD150" s="2"/>
      <c r="AE150" s="3"/>
      <c r="AF150" s="2" t="s">
        <v>20</v>
      </c>
      <c r="AG150" t="s">
        <v>66</v>
      </c>
      <c r="AH150" s="32" t="s">
        <v>67</v>
      </c>
      <c r="AI150" s="2"/>
      <c r="AJ150" t="s">
        <v>66</v>
      </c>
      <c r="AK150" s="32" t="s">
        <v>67</v>
      </c>
      <c r="AL150" s="3"/>
      <c r="AM150" s="2"/>
      <c r="AN150" s="2"/>
      <c r="AO150" s="8" t="s">
        <v>80</v>
      </c>
      <c r="AP150" s="5">
        <f t="shared" si="8"/>
        <v>0</v>
      </c>
      <c r="AQ150" s="2"/>
      <c r="AR150" s="2"/>
    </row>
    <row r="151" spans="5:44" ht="14.45" customHeight="1" x14ac:dyDescent="0.25">
      <c r="E151" s="2"/>
      <c r="F151" s="125"/>
      <c r="G151" s="2"/>
      <c r="H151" s="2" t="s">
        <v>24</v>
      </c>
      <c r="I151" s="81" t="s">
        <v>71</v>
      </c>
      <c r="J151" s="32" t="s">
        <v>70</v>
      </c>
      <c r="K151" s="2"/>
      <c r="L151" s="81" t="s">
        <v>71</v>
      </c>
      <c r="M151" s="32" t="s">
        <v>70</v>
      </c>
      <c r="N151" s="2"/>
      <c r="O151" s="3"/>
      <c r="P151" s="2" t="s">
        <v>24</v>
      </c>
      <c r="Q151" t="s">
        <v>66</v>
      </c>
      <c r="R151" s="32" t="s">
        <v>67</v>
      </c>
      <c r="S151" s="2"/>
      <c r="T151" t="s">
        <v>66</v>
      </c>
      <c r="U151" s="32" t="s">
        <v>67</v>
      </c>
      <c r="V151" s="2"/>
      <c r="W151" s="3"/>
      <c r="X151" s="2" t="s">
        <v>24</v>
      </c>
      <c r="Z151" s="32"/>
      <c r="AA151" s="2"/>
      <c r="AC151" s="32"/>
      <c r="AD151" s="2"/>
      <c r="AE151" s="3"/>
      <c r="AF151" s="2" t="s">
        <v>24</v>
      </c>
      <c r="AG151" t="s">
        <v>66</v>
      </c>
      <c r="AH151" s="32" t="s">
        <v>67</v>
      </c>
      <c r="AI151" s="2"/>
      <c r="AJ151" t="s">
        <v>66</v>
      </c>
      <c r="AK151" s="32" t="s">
        <v>67</v>
      </c>
      <c r="AL151" s="3"/>
      <c r="AM151" s="2"/>
      <c r="AN151" s="2"/>
      <c r="AO151" s="18" t="s">
        <v>82</v>
      </c>
      <c r="AP151" s="5">
        <f t="shared" si="8"/>
        <v>0</v>
      </c>
      <c r="AQ151" s="2"/>
      <c r="AR151" s="2"/>
    </row>
    <row r="152" spans="5:44" ht="14.45" customHeight="1" x14ac:dyDescent="0.25">
      <c r="E152" s="2"/>
      <c r="F152" s="125"/>
      <c r="G152" s="2"/>
      <c r="H152" s="2" t="s">
        <v>28</v>
      </c>
      <c r="I152" s="81" t="s">
        <v>71</v>
      </c>
      <c r="J152" s="32" t="s">
        <v>83</v>
      </c>
      <c r="K152" s="2"/>
      <c r="L152" s="81" t="s">
        <v>71</v>
      </c>
      <c r="M152" s="32" t="s">
        <v>83</v>
      </c>
      <c r="N152" s="2"/>
      <c r="O152" s="3"/>
      <c r="P152" s="2" t="s">
        <v>28</v>
      </c>
      <c r="Q152" t="s">
        <v>66</v>
      </c>
      <c r="R152" s="32" t="s">
        <v>67</v>
      </c>
      <c r="S152" s="2"/>
      <c r="T152" t="s">
        <v>66</v>
      </c>
      <c r="U152" s="32" t="s">
        <v>67</v>
      </c>
      <c r="V152" s="2"/>
      <c r="W152" s="3"/>
      <c r="X152" s="2" t="s">
        <v>28</v>
      </c>
      <c r="Z152" s="32"/>
      <c r="AA152" s="2"/>
      <c r="AC152" s="32"/>
      <c r="AD152" s="2"/>
      <c r="AE152" s="3"/>
      <c r="AF152" s="2" t="s">
        <v>28</v>
      </c>
      <c r="AG152" t="s">
        <v>66</v>
      </c>
      <c r="AH152" s="32" t="s">
        <v>67</v>
      </c>
      <c r="AI152" s="2"/>
      <c r="AJ152" t="s">
        <v>66</v>
      </c>
      <c r="AK152" s="32" t="s">
        <v>67</v>
      </c>
      <c r="AL152" s="3"/>
      <c r="AM152" s="2"/>
      <c r="AN152" s="2"/>
      <c r="AO152" s="2"/>
      <c r="AP152" s="2"/>
      <c r="AQ152" s="2"/>
      <c r="AR152" s="2"/>
    </row>
    <row r="153" spans="5:44" ht="14.45" customHeight="1" x14ac:dyDescent="0.25">
      <c r="E153" s="2"/>
      <c r="F153" s="125"/>
      <c r="G153" s="2"/>
      <c r="H153" s="2" t="s">
        <v>32</v>
      </c>
      <c r="I153" t="s">
        <v>72</v>
      </c>
      <c r="J153" s="32" t="s">
        <v>70</v>
      </c>
      <c r="K153" s="2"/>
      <c r="L153" t="s">
        <v>72</v>
      </c>
      <c r="M153" s="32" t="s">
        <v>70</v>
      </c>
      <c r="N153" s="2"/>
      <c r="O153" s="3"/>
      <c r="P153" s="2" t="s">
        <v>32</v>
      </c>
      <c r="Q153" t="s">
        <v>66</v>
      </c>
      <c r="R153" s="32" t="s">
        <v>67</v>
      </c>
      <c r="S153" s="2"/>
      <c r="T153" t="s">
        <v>66</v>
      </c>
      <c r="U153" s="32" t="s">
        <v>67</v>
      </c>
      <c r="V153" s="2"/>
      <c r="W153" s="3"/>
      <c r="X153" s="2" t="s">
        <v>32</v>
      </c>
      <c r="Z153" s="32"/>
      <c r="AA153" s="2"/>
      <c r="AC153" s="32"/>
      <c r="AD153" s="2"/>
      <c r="AE153" s="3"/>
      <c r="AF153" s="2" t="s">
        <v>32</v>
      </c>
      <c r="AG153" t="s">
        <v>66</v>
      </c>
      <c r="AH153" s="32" t="s">
        <v>67</v>
      </c>
      <c r="AI153" s="2"/>
      <c r="AJ153" t="s">
        <v>66</v>
      </c>
      <c r="AK153" s="32" t="s">
        <v>67</v>
      </c>
      <c r="AL153" s="3"/>
      <c r="AM153" s="2"/>
      <c r="AN153" s="2"/>
      <c r="AO153" s="2"/>
      <c r="AP153" s="2"/>
      <c r="AQ153" s="2"/>
      <c r="AR153" s="2"/>
    </row>
    <row r="154" spans="5:44" ht="14.45" customHeight="1" x14ac:dyDescent="0.25">
      <c r="E154" s="2"/>
      <c r="F154" s="125"/>
      <c r="G154" s="2"/>
      <c r="H154" s="2"/>
      <c r="I154" s="2"/>
      <c r="J154" s="2"/>
      <c r="K154" s="2"/>
      <c r="L154" s="2"/>
      <c r="M154" s="2"/>
      <c r="N154" s="2"/>
      <c r="O154" s="3"/>
      <c r="P154" s="2"/>
      <c r="Q154" s="2"/>
      <c r="R154" s="2"/>
      <c r="S154" s="2"/>
      <c r="T154" s="2"/>
      <c r="U154" s="2"/>
      <c r="V154" s="2"/>
      <c r="W154" s="3"/>
      <c r="X154" s="2"/>
      <c r="Y154" s="2"/>
      <c r="Z154" s="2"/>
      <c r="AA154" s="2"/>
      <c r="AB154" s="2"/>
      <c r="AC154" s="2"/>
      <c r="AD154" s="2"/>
      <c r="AE154" s="3"/>
      <c r="AF154" s="2"/>
      <c r="AG154" s="2"/>
      <c r="AH154" s="2"/>
      <c r="AI154" s="2"/>
      <c r="AJ154" s="2"/>
      <c r="AK154" s="2"/>
      <c r="AL154" s="3"/>
      <c r="AM154" s="2"/>
      <c r="AN154" s="2"/>
      <c r="AO154" s="2"/>
      <c r="AP154" s="2"/>
      <c r="AQ154" s="2"/>
      <c r="AR154" s="2"/>
    </row>
    <row r="155" spans="5:44" ht="14.45" customHeight="1" x14ac:dyDescent="0.25">
      <c r="E155" s="2"/>
      <c r="F155" s="125"/>
      <c r="G155" s="2"/>
      <c r="H155" s="2"/>
      <c r="I155" s="25">
        <v>3707</v>
      </c>
      <c r="J155" s="25"/>
      <c r="K155" s="25"/>
      <c r="L155" s="25" t="s">
        <v>63</v>
      </c>
      <c r="M155" s="3"/>
      <c r="N155" s="2"/>
      <c r="O155" s="3"/>
      <c r="P155" s="2"/>
      <c r="Q155" s="25">
        <v>5275</v>
      </c>
      <c r="R155" s="25"/>
      <c r="S155" s="25"/>
      <c r="T155" s="25" t="s">
        <v>63</v>
      </c>
      <c r="U155" s="3"/>
      <c r="V155" s="2"/>
      <c r="W155" s="3"/>
      <c r="X155" s="2"/>
      <c r="Y155" s="2"/>
      <c r="Z155" s="2"/>
      <c r="AA155" s="2"/>
      <c r="AB155" s="2"/>
      <c r="AC155" s="2"/>
      <c r="AD155" s="2"/>
      <c r="AE155" s="3"/>
      <c r="AF155" s="2"/>
      <c r="AG155" s="36">
        <v>1848</v>
      </c>
      <c r="AH155" s="36"/>
      <c r="AI155" s="36"/>
      <c r="AJ155" s="36" t="s">
        <v>63</v>
      </c>
      <c r="AK155" s="37"/>
      <c r="AL155" s="3"/>
      <c r="AM155" s="2"/>
      <c r="AN155" s="2"/>
      <c r="AO155" s="2"/>
      <c r="AP155" s="2"/>
      <c r="AQ155" s="2"/>
      <c r="AR155" s="2"/>
    </row>
    <row r="156" spans="5:44" ht="14.45" customHeight="1" x14ac:dyDescent="0.25">
      <c r="E156" s="2"/>
      <c r="F156" s="125"/>
      <c r="G156" s="2"/>
      <c r="H156" s="2"/>
      <c r="I156" s="26" t="s">
        <v>4</v>
      </c>
      <c r="J156" s="26"/>
      <c r="K156" s="26"/>
      <c r="L156" s="26" t="s">
        <v>5</v>
      </c>
      <c r="M156" s="26"/>
      <c r="N156" s="2"/>
      <c r="O156" s="3"/>
      <c r="P156" s="2"/>
      <c r="Q156" s="26" t="s">
        <v>4</v>
      </c>
      <c r="R156" s="26"/>
      <c r="S156" s="26"/>
      <c r="T156" s="26" t="s">
        <v>5</v>
      </c>
      <c r="U156" s="26"/>
      <c r="V156" s="2"/>
      <c r="W156" s="3"/>
      <c r="X156" s="2"/>
      <c r="Y156" s="2"/>
      <c r="Z156" s="2"/>
      <c r="AA156" s="2"/>
      <c r="AB156" s="2"/>
      <c r="AC156" s="2"/>
      <c r="AD156" s="2"/>
      <c r="AE156" s="3"/>
      <c r="AF156" s="2"/>
      <c r="AG156" s="26" t="s">
        <v>4</v>
      </c>
      <c r="AH156" s="26"/>
      <c r="AI156" s="26"/>
      <c r="AJ156" s="26"/>
      <c r="AK156" s="26" t="s">
        <v>84</v>
      </c>
      <c r="AL156" s="3"/>
      <c r="AM156" s="2"/>
      <c r="AN156" s="2"/>
      <c r="AO156" s="2"/>
      <c r="AP156" s="2"/>
      <c r="AQ156" s="2"/>
      <c r="AR156" s="2"/>
    </row>
    <row r="157" spans="5:44" ht="14.45" customHeight="1" x14ac:dyDescent="0.25">
      <c r="E157" s="2"/>
      <c r="F157" s="125"/>
      <c r="G157" s="2"/>
      <c r="H157" s="2"/>
      <c r="I157" s="27">
        <v>3707</v>
      </c>
      <c r="J157" s="27" t="s">
        <v>7</v>
      </c>
      <c r="K157" s="2"/>
      <c r="L157" s="27">
        <v>3707</v>
      </c>
      <c r="M157" s="27" t="s">
        <v>7</v>
      </c>
      <c r="N157" s="2"/>
      <c r="O157" s="3"/>
      <c r="P157" s="2"/>
      <c r="Q157" s="27">
        <v>5275</v>
      </c>
      <c r="R157" s="27" t="s">
        <v>7</v>
      </c>
      <c r="S157" s="2"/>
      <c r="T157" s="27">
        <v>5275</v>
      </c>
      <c r="U157" s="27" t="s">
        <v>7</v>
      </c>
      <c r="V157" s="2"/>
      <c r="W157" s="3"/>
      <c r="X157" s="2"/>
      <c r="Y157" s="2"/>
      <c r="Z157" s="2"/>
      <c r="AA157" s="2"/>
      <c r="AB157" s="2"/>
      <c r="AC157" s="2"/>
      <c r="AD157" s="2"/>
      <c r="AE157" s="3"/>
      <c r="AF157" s="2"/>
      <c r="AG157" s="27">
        <v>1848</v>
      </c>
      <c r="AH157" s="27" t="s">
        <v>7</v>
      </c>
      <c r="AI157" s="29"/>
      <c r="AJ157" s="27">
        <v>1848</v>
      </c>
      <c r="AK157" s="27" t="s">
        <v>7</v>
      </c>
      <c r="AL157" s="3"/>
      <c r="AM157" s="2"/>
      <c r="AN157" s="2"/>
      <c r="AO157" s="2"/>
      <c r="AP157" s="2"/>
      <c r="AQ157" s="2"/>
      <c r="AR157" s="2"/>
    </row>
    <row r="158" spans="5:44" ht="14.45" customHeight="1" x14ac:dyDescent="0.25">
      <c r="E158" s="2"/>
      <c r="F158" s="125"/>
      <c r="G158" s="2"/>
      <c r="H158" s="2" t="s">
        <v>12</v>
      </c>
      <c r="I158" t="s">
        <v>66</v>
      </c>
      <c r="J158" s="32" t="s">
        <v>67</v>
      </c>
      <c r="K158" s="2"/>
      <c r="L158" t="s">
        <v>66</v>
      </c>
      <c r="M158" s="32" t="s">
        <v>67</v>
      </c>
      <c r="N158" s="2"/>
      <c r="O158" s="3"/>
      <c r="P158" s="2" t="s">
        <v>12</v>
      </c>
      <c r="Q158" t="s">
        <v>66</v>
      </c>
      <c r="R158" s="32" t="s">
        <v>67</v>
      </c>
      <c r="S158" s="2"/>
      <c r="T158" t="s">
        <v>66</v>
      </c>
      <c r="U158" s="32" t="s">
        <v>67</v>
      </c>
      <c r="V158" s="2"/>
      <c r="W158" s="3"/>
      <c r="X158" s="2"/>
      <c r="Y158" s="2"/>
      <c r="Z158" s="2"/>
      <c r="AA158" s="2"/>
      <c r="AB158" s="2"/>
      <c r="AC158" s="2"/>
      <c r="AD158" s="2"/>
      <c r="AE158" s="3"/>
      <c r="AF158" s="2" t="s">
        <v>12</v>
      </c>
      <c r="AG158" s="15" t="s">
        <v>50</v>
      </c>
      <c r="AH158" s="32" t="s">
        <v>70</v>
      </c>
      <c r="AI158" s="2"/>
      <c r="AJ158" s="15" t="s">
        <v>50</v>
      </c>
      <c r="AK158" s="32" t="s">
        <v>70</v>
      </c>
      <c r="AL158" s="3"/>
      <c r="AM158" s="2"/>
      <c r="AN158" s="2"/>
      <c r="AO158" s="2"/>
      <c r="AP158" s="2"/>
      <c r="AQ158" s="2"/>
      <c r="AR158" s="2"/>
    </row>
    <row r="159" spans="5:44" ht="14.45" customHeight="1" x14ac:dyDescent="0.25">
      <c r="E159" s="2"/>
      <c r="F159" s="125"/>
      <c r="G159" s="2"/>
      <c r="H159" s="2" t="s">
        <v>20</v>
      </c>
      <c r="I159" t="s">
        <v>66</v>
      </c>
      <c r="J159" s="32" t="s">
        <v>67</v>
      </c>
      <c r="K159" s="2"/>
      <c r="L159" t="s">
        <v>66</v>
      </c>
      <c r="M159" s="32" t="s">
        <v>67</v>
      </c>
      <c r="N159" s="2"/>
      <c r="O159" s="3"/>
      <c r="P159" s="2" t="s">
        <v>20</v>
      </c>
      <c r="Q159" t="s">
        <v>66</v>
      </c>
      <c r="R159" s="32" t="s">
        <v>67</v>
      </c>
      <c r="S159" s="2"/>
      <c r="T159" t="s">
        <v>66</v>
      </c>
      <c r="U159" s="32" t="s">
        <v>67</v>
      </c>
      <c r="V159" s="2"/>
      <c r="W159" s="3"/>
      <c r="X159" s="2"/>
      <c r="Y159" s="2"/>
      <c r="Z159" s="2"/>
      <c r="AA159" s="2"/>
      <c r="AB159" s="2"/>
      <c r="AC159" s="2"/>
      <c r="AD159" s="2"/>
      <c r="AE159" s="3"/>
      <c r="AF159" s="2" t="s">
        <v>20</v>
      </c>
      <c r="AG159" s="15" t="s">
        <v>50</v>
      </c>
      <c r="AH159" s="32" t="s">
        <v>70</v>
      </c>
      <c r="AI159" s="2"/>
      <c r="AJ159" s="15" t="s">
        <v>50</v>
      </c>
      <c r="AK159" s="32" t="s">
        <v>70</v>
      </c>
      <c r="AL159" s="3"/>
      <c r="AM159" s="2"/>
      <c r="AN159" s="2"/>
      <c r="AO159" s="2"/>
      <c r="AP159" s="2"/>
      <c r="AQ159" s="2"/>
      <c r="AR159" s="2"/>
    </row>
    <row r="160" spans="5:44" ht="14.45" customHeight="1" x14ac:dyDescent="0.25">
      <c r="E160" s="2"/>
      <c r="F160" s="125"/>
      <c r="G160" s="2"/>
      <c r="H160" s="2" t="s">
        <v>24</v>
      </c>
      <c r="I160" t="s">
        <v>66</v>
      </c>
      <c r="J160" s="32" t="s">
        <v>67</v>
      </c>
      <c r="K160" s="2"/>
      <c r="L160" t="s">
        <v>66</v>
      </c>
      <c r="M160" s="32" t="s">
        <v>67</v>
      </c>
      <c r="N160" s="2"/>
      <c r="O160" s="3"/>
      <c r="P160" s="2" t="s">
        <v>24</v>
      </c>
      <c r="Q160" t="s">
        <v>66</v>
      </c>
      <c r="R160" s="32" t="s">
        <v>67</v>
      </c>
      <c r="S160" s="2"/>
      <c r="T160" t="s">
        <v>66</v>
      </c>
      <c r="U160" s="32" t="s">
        <v>67</v>
      </c>
      <c r="V160" s="2"/>
      <c r="W160" s="3"/>
      <c r="X160" s="2"/>
      <c r="Y160" s="2"/>
      <c r="Z160" s="2"/>
      <c r="AA160" s="2"/>
      <c r="AB160" s="2"/>
      <c r="AC160" s="2"/>
      <c r="AD160" s="2"/>
      <c r="AE160" s="3"/>
      <c r="AF160" s="2" t="s">
        <v>24</v>
      </c>
      <c r="AG160" s="15" t="s">
        <v>50</v>
      </c>
      <c r="AH160" s="32" t="s">
        <v>70</v>
      </c>
      <c r="AI160" s="2"/>
      <c r="AJ160" s="15" t="s">
        <v>50</v>
      </c>
      <c r="AK160" s="32" t="s">
        <v>70</v>
      </c>
      <c r="AL160" s="3"/>
      <c r="AM160" s="2"/>
      <c r="AN160" s="2"/>
      <c r="AO160" s="2"/>
      <c r="AP160" s="2"/>
      <c r="AQ160" s="2"/>
      <c r="AR160" s="2"/>
    </row>
    <row r="161" spans="5:44" ht="14.45" customHeight="1" x14ac:dyDescent="0.25">
      <c r="E161" s="2"/>
      <c r="F161" s="125"/>
      <c r="G161" s="2"/>
      <c r="H161" s="2" t="s">
        <v>28</v>
      </c>
      <c r="I161" t="s">
        <v>66</v>
      </c>
      <c r="J161" s="32" t="s">
        <v>67</v>
      </c>
      <c r="K161" s="2"/>
      <c r="L161" t="s">
        <v>66</v>
      </c>
      <c r="M161" s="32" t="s">
        <v>67</v>
      </c>
      <c r="N161" s="2"/>
      <c r="O161" s="3"/>
      <c r="P161" s="2" t="s">
        <v>28</v>
      </c>
      <c r="Q161" t="s">
        <v>66</v>
      </c>
      <c r="R161" s="32" t="s">
        <v>67</v>
      </c>
      <c r="S161" s="2"/>
      <c r="T161" t="s">
        <v>66</v>
      </c>
      <c r="U161" s="32" t="s">
        <v>67</v>
      </c>
      <c r="V161" s="2"/>
      <c r="W161" s="3"/>
      <c r="X161" s="2"/>
      <c r="Y161" s="2"/>
      <c r="Z161" s="2"/>
      <c r="AA161" s="2"/>
      <c r="AB161" s="2"/>
      <c r="AC161" s="2"/>
      <c r="AD161" s="2"/>
      <c r="AE161" s="3"/>
      <c r="AF161" s="2" t="s">
        <v>28</v>
      </c>
      <c r="AG161" s="15" t="s">
        <v>50</v>
      </c>
      <c r="AH161" s="32" t="s">
        <v>70</v>
      </c>
      <c r="AI161" s="2"/>
      <c r="AJ161" s="15" t="s">
        <v>50</v>
      </c>
      <c r="AK161" s="32" t="s">
        <v>70</v>
      </c>
      <c r="AL161" s="3"/>
      <c r="AM161" s="2"/>
      <c r="AN161" s="2"/>
      <c r="AO161" s="2"/>
      <c r="AP161" s="2"/>
      <c r="AQ161" s="2"/>
      <c r="AR161" s="2"/>
    </row>
    <row r="162" spans="5:44" ht="14.45" customHeight="1" x14ac:dyDescent="0.25">
      <c r="E162" s="2"/>
      <c r="F162" s="125"/>
      <c r="G162" s="2"/>
      <c r="H162" s="2" t="s">
        <v>32</v>
      </c>
      <c r="I162" t="s">
        <v>66</v>
      </c>
      <c r="J162" s="32" t="s">
        <v>67</v>
      </c>
      <c r="K162" s="2"/>
      <c r="L162" t="s">
        <v>66</v>
      </c>
      <c r="M162" s="32" t="s">
        <v>67</v>
      </c>
      <c r="N162" s="2"/>
      <c r="O162" s="3"/>
      <c r="P162" s="2" t="s">
        <v>32</v>
      </c>
      <c r="Q162" t="s">
        <v>66</v>
      </c>
      <c r="R162" s="32" t="s">
        <v>67</v>
      </c>
      <c r="S162" s="2"/>
      <c r="T162" t="s">
        <v>66</v>
      </c>
      <c r="U162" s="32" t="s">
        <v>67</v>
      </c>
      <c r="V162" s="2"/>
      <c r="W162" s="3"/>
      <c r="X162" s="2"/>
      <c r="Y162" s="2"/>
      <c r="Z162" s="2"/>
      <c r="AA162" s="2"/>
      <c r="AB162" s="2"/>
      <c r="AC162" s="2"/>
      <c r="AD162" s="2"/>
      <c r="AE162" s="3"/>
      <c r="AF162" s="2" t="s">
        <v>32</v>
      </c>
      <c r="AG162" s="15" t="s">
        <v>50</v>
      </c>
      <c r="AH162" s="32" t="s">
        <v>70</v>
      </c>
      <c r="AI162" s="2"/>
      <c r="AJ162" s="15" t="s">
        <v>50</v>
      </c>
      <c r="AK162" s="32" t="s">
        <v>70</v>
      </c>
      <c r="AL162" s="3"/>
      <c r="AM162" s="2"/>
      <c r="AN162" s="2"/>
      <c r="AO162" s="2"/>
      <c r="AP162" s="2"/>
      <c r="AQ162" s="2"/>
      <c r="AR162" s="2"/>
    </row>
    <row r="163" spans="5:44" ht="14.45" customHeight="1" x14ac:dyDescent="0.25">
      <c r="E163" s="2"/>
      <c r="F163" s="125"/>
      <c r="G163" s="2"/>
      <c r="H163" s="2"/>
      <c r="I163" s="2"/>
      <c r="J163" s="2"/>
      <c r="K163" s="2"/>
      <c r="L163" s="2"/>
      <c r="M163" s="2"/>
      <c r="N163" s="2"/>
      <c r="O163" s="3"/>
      <c r="P163" s="2"/>
      <c r="Q163" s="2"/>
      <c r="R163" s="2"/>
      <c r="S163" s="2"/>
      <c r="T163" s="2"/>
      <c r="U163" s="2"/>
      <c r="V163" s="2"/>
      <c r="W163" s="3"/>
      <c r="X163" s="2"/>
      <c r="Y163" s="2"/>
      <c r="Z163" s="2"/>
      <c r="AA163" s="2"/>
      <c r="AB163" s="2"/>
      <c r="AC163" s="2"/>
      <c r="AD163" s="2"/>
      <c r="AE163" s="3"/>
      <c r="AF163" s="2"/>
      <c r="AG163" s="2"/>
      <c r="AH163" s="2"/>
      <c r="AI163" s="2"/>
      <c r="AJ163" s="2"/>
      <c r="AK163" s="2"/>
      <c r="AL163" s="3"/>
      <c r="AM163" s="2"/>
      <c r="AN163" s="2"/>
      <c r="AO163" s="2"/>
      <c r="AP163" s="2"/>
      <c r="AQ163" s="2"/>
      <c r="AR163" s="2"/>
    </row>
    <row r="164" spans="5:44" ht="14.45" customHeight="1" x14ac:dyDescent="0.25">
      <c r="E164" s="2"/>
      <c r="F164" s="125"/>
      <c r="G164" s="2"/>
      <c r="H164" s="2"/>
      <c r="I164" s="2"/>
      <c r="J164" s="2"/>
      <c r="K164" s="2"/>
      <c r="L164" s="2"/>
      <c r="M164" s="2"/>
      <c r="N164" s="2"/>
      <c r="O164" s="3"/>
      <c r="P164" s="2"/>
      <c r="Q164" s="2"/>
      <c r="R164" s="2"/>
      <c r="S164" s="2"/>
      <c r="T164" s="2"/>
      <c r="U164" s="2"/>
      <c r="V164" s="2"/>
      <c r="W164" s="3"/>
      <c r="X164" s="2"/>
      <c r="Y164" s="2"/>
      <c r="Z164" s="2"/>
      <c r="AA164" s="2"/>
      <c r="AB164" s="2"/>
      <c r="AC164" s="2"/>
      <c r="AD164" s="2"/>
      <c r="AE164" s="3"/>
      <c r="AF164" s="2"/>
      <c r="AG164" s="36" t="s">
        <v>85</v>
      </c>
      <c r="AH164" s="36"/>
      <c r="AI164" s="36"/>
      <c r="AJ164" s="36" t="s">
        <v>63</v>
      </c>
      <c r="AK164" s="37"/>
      <c r="AL164" s="3"/>
      <c r="AM164" s="2"/>
      <c r="AN164" s="2"/>
      <c r="AO164" s="2"/>
      <c r="AP164" s="2"/>
      <c r="AQ164" s="2"/>
      <c r="AR164" s="2"/>
    </row>
    <row r="165" spans="5:44" ht="14.45" customHeight="1" x14ac:dyDescent="0.25">
      <c r="E165" s="2"/>
      <c r="F165" s="125"/>
      <c r="G165" s="2"/>
      <c r="H165" s="2"/>
      <c r="I165" s="2"/>
      <c r="J165" s="2"/>
      <c r="K165" s="2"/>
      <c r="L165" s="2"/>
      <c r="M165" s="2"/>
      <c r="N165" s="2"/>
      <c r="O165" s="3"/>
      <c r="P165" s="2"/>
      <c r="Q165" s="2"/>
      <c r="R165" s="2"/>
      <c r="S165" s="2"/>
      <c r="T165" s="2"/>
      <c r="U165" s="2"/>
      <c r="V165" s="2"/>
      <c r="W165" s="3"/>
      <c r="X165" s="2"/>
      <c r="Y165" s="2"/>
      <c r="Z165" s="2"/>
      <c r="AA165" s="2"/>
      <c r="AB165" s="2"/>
      <c r="AC165" s="2"/>
      <c r="AD165" s="2"/>
      <c r="AE165" s="3"/>
      <c r="AF165" s="2"/>
      <c r="AG165" s="26" t="s">
        <v>4</v>
      </c>
      <c r="AH165" s="26"/>
      <c r="AI165" s="26"/>
      <c r="AJ165" s="26" t="s">
        <v>5</v>
      </c>
      <c r="AK165" s="26"/>
      <c r="AL165" s="3"/>
      <c r="AM165" s="2"/>
      <c r="AN165" s="2"/>
      <c r="AO165" s="2"/>
      <c r="AP165" s="2"/>
      <c r="AQ165" s="2"/>
      <c r="AR165" s="2"/>
    </row>
    <row r="166" spans="5:44" ht="14.45" customHeight="1" x14ac:dyDescent="0.25">
      <c r="E166" s="2"/>
      <c r="F166" s="125"/>
      <c r="G166" s="2"/>
      <c r="H166" s="2"/>
      <c r="I166" s="2"/>
      <c r="J166" s="2"/>
      <c r="K166" s="2"/>
      <c r="L166" s="2"/>
      <c r="M166" s="2"/>
      <c r="N166" s="2"/>
      <c r="O166" s="3"/>
      <c r="P166" s="2"/>
      <c r="Q166" s="2"/>
      <c r="R166" s="2"/>
      <c r="S166" s="2"/>
      <c r="T166" s="2"/>
      <c r="U166" s="2"/>
      <c r="V166" s="2"/>
      <c r="W166" s="3"/>
      <c r="X166" s="2"/>
      <c r="Y166" s="2"/>
      <c r="Z166" s="2"/>
      <c r="AA166" s="2"/>
      <c r="AB166" s="2"/>
      <c r="AC166" s="2"/>
      <c r="AD166" s="2"/>
      <c r="AE166" s="3"/>
      <c r="AF166" s="2"/>
      <c r="AG166" s="27" t="s">
        <v>85</v>
      </c>
      <c r="AH166" s="27" t="s">
        <v>7</v>
      </c>
      <c r="AI166" s="29"/>
      <c r="AJ166" s="27" t="s">
        <v>85</v>
      </c>
      <c r="AK166" s="27" t="s">
        <v>7</v>
      </c>
      <c r="AL166" s="3"/>
      <c r="AM166" s="2"/>
      <c r="AN166" s="2"/>
      <c r="AO166" s="2"/>
      <c r="AP166" s="2"/>
      <c r="AQ166" s="2"/>
      <c r="AR166" s="2"/>
    </row>
    <row r="167" spans="5:44" ht="14.45" customHeight="1" x14ac:dyDescent="0.25">
      <c r="E167" s="2"/>
      <c r="F167" s="125"/>
      <c r="G167" s="2"/>
      <c r="H167" s="2" t="s">
        <v>12</v>
      </c>
      <c r="I167" s="2"/>
      <c r="J167" s="2"/>
      <c r="K167" s="2"/>
      <c r="L167" s="2"/>
      <c r="M167" s="2"/>
      <c r="N167" s="2"/>
      <c r="O167" s="3"/>
      <c r="P167" s="2"/>
      <c r="Q167" s="2"/>
      <c r="R167" s="2"/>
      <c r="S167" s="2"/>
      <c r="T167" s="2"/>
      <c r="U167" s="2"/>
      <c r="V167" s="2"/>
      <c r="W167" s="3"/>
      <c r="X167" s="2"/>
      <c r="Y167" s="2"/>
      <c r="Z167" s="2"/>
      <c r="AA167" s="2"/>
      <c r="AB167" s="2"/>
      <c r="AC167" s="2"/>
      <c r="AD167" s="2"/>
      <c r="AE167" s="3"/>
      <c r="AF167" s="2" t="s">
        <v>12</v>
      </c>
      <c r="AG167" t="s">
        <v>66</v>
      </c>
      <c r="AH167" s="32" t="s">
        <v>79</v>
      </c>
      <c r="AI167" s="2"/>
      <c r="AJ167" t="s">
        <v>66</v>
      </c>
      <c r="AK167" s="32" t="s">
        <v>79</v>
      </c>
      <c r="AL167" s="3"/>
      <c r="AM167" s="2"/>
      <c r="AN167" s="2"/>
      <c r="AO167" s="2"/>
      <c r="AP167" s="2"/>
      <c r="AQ167" s="2"/>
      <c r="AR167" s="2"/>
    </row>
    <row r="168" spans="5:44" ht="14.45" customHeight="1" x14ac:dyDescent="0.25">
      <c r="E168" s="2"/>
      <c r="F168" s="125"/>
      <c r="G168" s="2"/>
      <c r="H168" s="2" t="s">
        <v>20</v>
      </c>
      <c r="I168" s="2"/>
      <c r="J168" s="2"/>
      <c r="K168" s="2"/>
      <c r="L168" s="2"/>
      <c r="M168" s="2"/>
      <c r="N168" s="2"/>
      <c r="O168" s="3"/>
      <c r="P168" s="2"/>
      <c r="Q168" s="2"/>
      <c r="R168" s="2"/>
      <c r="S168" s="2"/>
      <c r="T168" s="2"/>
      <c r="U168" s="2"/>
      <c r="V168" s="2"/>
      <c r="W168" s="3"/>
      <c r="X168" s="2"/>
      <c r="Y168" s="2"/>
      <c r="Z168" s="2"/>
      <c r="AA168" s="2"/>
      <c r="AB168" s="2"/>
      <c r="AC168" s="2"/>
      <c r="AD168" s="2"/>
      <c r="AE168" s="3"/>
      <c r="AF168" s="2" t="s">
        <v>20</v>
      </c>
      <c r="AG168" s="2" t="s">
        <v>59</v>
      </c>
      <c r="AH168" s="32" t="s">
        <v>70</v>
      </c>
      <c r="AI168" s="2"/>
      <c r="AJ168" s="2" t="s">
        <v>59</v>
      </c>
      <c r="AK168" s="32" t="s">
        <v>70</v>
      </c>
      <c r="AL168" s="3"/>
      <c r="AM168" s="2"/>
      <c r="AN168" s="2"/>
      <c r="AO168" s="2"/>
      <c r="AP168" s="2"/>
      <c r="AQ168" s="2"/>
      <c r="AR168" s="2"/>
    </row>
    <row r="169" spans="5:44" ht="14.45" customHeight="1" x14ac:dyDescent="0.25">
      <c r="E169" s="2"/>
      <c r="F169" s="125"/>
      <c r="G169" s="2"/>
      <c r="H169" s="2" t="s">
        <v>24</v>
      </c>
      <c r="I169" s="2"/>
      <c r="J169" s="2"/>
      <c r="K169" s="2"/>
      <c r="L169" s="2"/>
      <c r="M169" s="2"/>
      <c r="N169" s="2"/>
      <c r="O169" s="3"/>
      <c r="P169" s="2"/>
      <c r="Q169" s="2"/>
      <c r="R169" s="2"/>
      <c r="S169" s="2"/>
      <c r="T169" s="2"/>
      <c r="U169" s="2"/>
      <c r="V169" s="2"/>
      <c r="W169" s="3"/>
      <c r="X169" s="2"/>
      <c r="Y169" s="2"/>
      <c r="Z169" s="2"/>
      <c r="AA169" s="2"/>
      <c r="AB169" s="2"/>
      <c r="AC169" s="2"/>
      <c r="AD169" s="2"/>
      <c r="AE169" s="3"/>
      <c r="AF169" s="2" t="s">
        <v>24</v>
      </c>
      <c r="AG169" s="2" t="s">
        <v>61</v>
      </c>
      <c r="AH169" s="32" t="s">
        <v>70</v>
      </c>
      <c r="AI169" s="2"/>
      <c r="AJ169" s="2" t="s">
        <v>61</v>
      </c>
      <c r="AK169" s="32" t="s">
        <v>70</v>
      </c>
      <c r="AL169" s="3"/>
      <c r="AM169" s="2"/>
      <c r="AN169" s="2"/>
      <c r="AO169" s="2"/>
      <c r="AP169" s="2"/>
      <c r="AQ169" s="2"/>
      <c r="AR169" s="2"/>
    </row>
    <row r="170" spans="5:44" ht="14.45" customHeight="1" x14ac:dyDescent="0.25">
      <c r="E170" s="2"/>
      <c r="F170" s="125"/>
      <c r="G170" s="2"/>
      <c r="H170" s="2" t="s">
        <v>28</v>
      </c>
      <c r="I170" s="2"/>
      <c r="J170" s="2"/>
      <c r="K170" s="2"/>
      <c r="L170" s="2"/>
      <c r="M170" s="2"/>
      <c r="N170" s="2"/>
      <c r="O170" s="3"/>
      <c r="P170" s="2"/>
      <c r="Q170" s="2"/>
      <c r="R170" s="2"/>
      <c r="S170" s="2"/>
      <c r="T170" s="2"/>
      <c r="U170" s="2"/>
      <c r="V170" s="2"/>
      <c r="W170" s="3"/>
      <c r="X170" s="2"/>
      <c r="Y170" s="2"/>
      <c r="Z170" s="2"/>
      <c r="AA170" s="2"/>
      <c r="AB170" s="2"/>
      <c r="AC170" s="2"/>
      <c r="AD170" s="2"/>
      <c r="AE170" s="3"/>
      <c r="AF170" s="2" t="s">
        <v>28</v>
      </c>
      <c r="AG170" s="2" t="s">
        <v>61</v>
      </c>
      <c r="AH170" s="32" t="s">
        <v>70</v>
      </c>
      <c r="AI170" s="2"/>
      <c r="AJ170" s="2" t="s">
        <v>61</v>
      </c>
      <c r="AK170" s="32" t="s">
        <v>70</v>
      </c>
      <c r="AL170" s="3"/>
      <c r="AM170" s="2"/>
      <c r="AN170" s="2"/>
      <c r="AO170" s="2"/>
      <c r="AP170" s="2"/>
      <c r="AQ170" s="2"/>
      <c r="AR170" s="2"/>
    </row>
    <row r="171" spans="5:44" ht="14.45" customHeight="1" x14ac:dyDescent="0.25">
      <c r="E171" s="2"/>
      <c r="F171" s="125"/>
      <c r="G171" s="2"/>
      <c r="H171" s="2" t="s">
        <v>32</v>
      </c>
      <c r="I171" s="2"/>
      <c r="J171" s="2"/>
      <c r="K171" s="2"/>
      <c r="L171" s="2"/>
      <c r="M171" s="2"/>
      <c r="N171" s="2"/>
      <c r="O171" s="3"/>
      <c r="P171" s="2"/>
      <c r="Q171" s="2"/>
      <c r="R171" s="2"/>
      <c r="S171" s="2"/>
      <c r="T171" s="2"/>
      <c r="U171" s="2"/>
      <c r="V171" s="2"/>
      <c r="W171" s="3"/>
      <c r="X171" s="2"/>
      <c r="Y171" s="2"/>
      <c r="Z171" s="2"/>
      <c r="AA171" s="2"/>
      <c r="AB171" s="2"/>
      <c r="AC171" s="2"/>
      <c r="AD171" s="2"/>
      <c r="AE171" s="3"/>
      <c r="AF171" s="2" t="s">
        <v>32</v>
      </c>
      <c r="AG171" s="2" t="s">
        <v>61</v>
      </c>
      <c r="AH171" s="32" t="s">
        <v>70</v>
      </c>
      <c r="AI171" s="2"/>
      <c r="AJ171" s="2" t="s">
        <v>61</v>
      </c>
      <c r="AK171" s="32" t="s">
        <v>70</v>
      </c>
      <c r="AL171" s="3"/>
      <c r="AM171" s="2"/>
      <c r="AN171" s="2"/>
      <c r="AO171" s="2"/>
      <c r="AP171" s="2"/>
      <c r="AQ171" s="2"/>
      <c r="AR171" s="2"/>
    </row>
    <row r="172" spans="5:44" ht="14.45" customHeight="1" x14ac:dyDescent="0.25">
      <c r="E172" s="2"/>
      <c r="F172" s="125"/>
      <c r="G172" s="2"/>
      <c r="H172" s="2"/>
      <c r="I172" s="2"/>
      <c r="J172" s="2"/>
      <c r="K172" s="2"/>
      <c r="L172" s="2"/>
      <c r="M172" s="2"/>
      <c r="N172" s="2"/>
      <c r="O172" s="3"/>
      <c r="P172" s="2"/>
      <c r="Q172" s="2"/>
      <c r="R172" s="2"/>
      <c r="S172" s="2"/>
      <c r="T172" s="2"/>
      <c r="U172" s="2"/>
      <c r="V172" s="2"/>
      <c r="W172" s="3"/>
      <c r="X172" s="2"/>
      <c r="Y172" s="2"/>
      <c r="Z172" s="2"/>
      <c r="AA172" s="2"/>
      <c r="AB172" s="2"/>
      <c r="AC172" s="2"/>
      <c r="AD172" s="2"/>
      <c r="AE172" s="3"/>
      <c r="AF172" s="2"/>
      <c r="AG172" s="2"/>
      <c r="AH172" s="2"/>
      <c r="AI172" s="2"/>
      <c r="AJ172" s="2"/>
      <c r="AK172" s="2"/>
      <c r="AL172" s="3"/>
      <c r="AM172" s="2"/>
      <c r="AN172" s="2"/>
      <c r="AO172" s="2"/>
      <c r="AP172" s="2"/>
      <c r="AQ172" s="2"/>
      <c r="AR172" s="2"/>
    </row>
    <row r="173" spans="5:44" ht="14.45" customHeight="1" x14ac:dyDescent="0.25">
      <c r="E173" s="2"/>
      <c r="F173" s="125"/>
      <c r="G173" s="2"/>
      <c r="H173" s="2"/>
      <c r="I173" s="2"/>
      <c r="J173" s="2"/>
      <c r="K173" s="2"/>
      <c r="L173" s="2"/>
      <c r="M173" s="2"/>
      <c r="N173" s="2"/>
      <c r="O173" s="3"/>
      <c r="P173" s="2"/>
      <c r="Q173" s="2"/>
      <c r="R173" s="2"/>
      <c r="S173" s="2"/>
      <c r="T173" s="2"/>
      <c r="U173" s="2"/>
      <c r="V173" s="2"/>
      <c r="W173" s="3"/>
      <c r="X173" s="2"/>
      <c r="Y173" s="25">
        <v>1823</v>
      </c>
      <c r="Z173" s="25"/>
      <c r="AA173" s="25"/>
      <c r="AB173" s="25" t="s">
        <v>63</v>
      </c>
      <c r="AC173" s="3"/>
      <c r="AD173" s="2"/>
      <c r="AE173" s="3"/>
      <c r="AF173" s="2"/>
      <c r="AG173" s="36">
        <v>1878</v>
      </c>
      <c r="AH173" s="36"/>
      <c r="AI173" s="36"/>
      <c r="AJ173" s="36" t="s">
        <v>63</v>
      </c>
      <c r="AK173" s="37"/>
      <c r="AL173" s="3"/>
      <c r="AM173" s="2"/>
      <c r="AN173" s="2"/>
      <c r="AO173" s="2"/>
      <c r="AP173" s="2"/>
      <c r="AQ173" s="2"/>
      <c r="AR173" s="2"/>
    </row>
    <row r="174" spans="5:44" ht="14.45" customHeight="1" x14ac:dyDescent="0.25">
      <c r="E174" s="2"/>
      <c r="F174" s="125"/>
      <c r="G174" s="2"/>
      <c r="H174" s="2"/>
      <c r="I174" s="2"/>
      <c r="J174" s="2"/>
      <c r="K174" s="2"/>
      <c r="L174" s="2"/>
      <c r="M174" s="2"/>
      <c r="N174" s="2"/>
      <c r="O174" s="3"/>
      <c r="P174" s="2"/>
      <c r="Q174" s="2"/>
      <c r="R174" s="2"/>
      <c r="S174" s="2"/>
      <c r="T174" s="2"/>
      <c r="U174" s="2"/>
      <c r="V174" s="2"/>
      <c r="W174" s="3"/>
      <c r="X174" s="2"/>
      <c r="Y174" s="26" t="s">
        <v>4</v>
      </c>
      <c r="Z174" s="26"/>
      <c r="AA174" s="26"/>
      <c r="AB174" s="26" t="s">
        <v>5</v>
      </c>
      <c r="AC174" s="26"/>
      <c r="AD174" s="26"/>
      <c r="AE174" s="3"/>
      <c r="AF174" s="2"/>
      <c r="AG174" s="26" t="s">
        <v>4</v>
      </c>
      <c r="AH174" s="26"/>
      <c r="AI174" s="26"/>
      <c r="AJ174" s="26" t="s">
        <v>5</v>
      </c>
      <c r="AK174" s="26"/>
      <c r="AL174" s="3"/>
      <c r="AM174" s="2"/>
      <c r="AN174" s="2"/>
      <c r="AO174" s="2"/>
      <c r="AP174" s="2"/>
      <c r="AQ174" s="2"/>
      <c r="AR174" s="2"/>
    </row>
    <row r="175" spans="5:44" ht="14.45" customHeight="1" x14ac:dyDescent="0.25">
      <c r="E175" s="2"/>
      <c r="F175" s="125"/>
      <c r="G175" s="2"/>
      <c r="H175" s="2"/>
      <c r="I175" s="2"/>
      <c r="J175" s="2"/>
      <c r="K175" s="2"/>
      <c r="L175" s="2"/>
      <c r="M175" s="2"/>
      <c r="N175" s="2"/>
      <c r="O175" s="3"/>
      <c r="P175" s="2"/>
      <c r="Q175" s="2"/>
      <c r="R175" s="2"/>
      <c r="S175" s="2"/>
      <c r="T175" s="2"/>
      <c r="U175" s="2"/>
      <c r="V175" s="2"/>
      <c r="W175" s="3"/>
      <c r="X175" s="2"/>
      <c r="Y175" s="27">
        <v>1823</v>
      </c>
      <c r="Z175" s="27" t="s">
        <v>7</v>
      </c>
      <c r="AA175" s="29"/>
      <c r="AB175" s="27">
        <v>1823</v>
      </c>
      <c r="AC175" s="27" t="s">
        <v>7</v>
      </c>
      <c r="AD175" s="28"/>
      <c r="AE175" s="3"/>
      <c r="AF175" s="2"/>
      <c r="AG175" s="27">
        <v>1878</v>
      </c>
      <c r="AH175" s="27" t="s">
        <v>7</v>
      </c>
      <c r="AI175" s="29"/>
      <c r="AJ175" s="27">
        <v>1878</v>
      </c>
      <c r="AK175" s="27" t="s">
        <v>7</v>
      </c>
      <c r="AL175" s="3"/>
      <c r="AM175" s="2"/>
      <c r="AN175" s="2"/>
      <c r="AO175" s="2"/>
      <c r="AP175" s="2"/>
      <c r="AQ175" s="2"/>
      <c r="AR175" s="2"/>
    </row>
    <row r="176" spans="5:44" ht="14.45" customHeight="1" x14ac:dyDescent="0.25">
      <c r="E176" s="2"/>
      <c r="F176" s="125"/>
      <c r="G176" s="2"/>
      <c r="H176" s="2" t="s">
        <v>12</v>
      </c>
      <c r="I176" s="2"/>
      <c r="J176" s="2"/>
      <c r="K176" s="2"/>
      <c r="L176" s="2"/>
      <c r="M176" s="2"/>
      <c r="N176" s="2"/>
      <c r="O176" s="3"/>
      <c r="P176" s="2"/>
      <c r="Q176" s="2"/>
      <c r="R176" s="2"/>
      <c r="S176" s="2"/>
      <c r="T176" s="2"/>
      <c r="U176" s="2"/>
      <c r="V176" s="2"/>
      <c r="W176" s="3"/>
      <c r="X176" s="2" t="s">
        <v>12</v>
      </c>
      <c r="Y176" s="34" t="s">
        <v>86</v>
      </c>
      <c r="Z176" s="32" t="s">
        <v>70</v>
      </c>
      <c r="AA176" s="2"/>
      <c r="AB176" s="34" t="s">
        <v>86</v>
      </c>
      <c r="AC176" s="32" t="s">
        <v>70</v>
      </c>
      <c r="AD176" s="2"/>
      <c r="AE176" s="3"/>
      <c r="AF176" s="2" t="s">
        <v>12</v>
      </c>
      <c r="AG176" t="s">
        <v>50</v>
      </c>
      <c r="AH176" s="32" t="s">
        <v>70</v>
      </c>
      <c r="AI176" s="2"/>
      <c r="AJ176" t="s">
        <v>50</v>
      </c>
      <c r="AK176" s="32" t="s">
        <v>70</v>
      </c>
      <c r="AL176" s="3"/>
      <c r="AM176" s="2"/>
      <c r="AN176" s="2"/>
      <c r="AO176" s="2"/>
      <c r="AP176" s="2"/>
      <c r="AQ176" s="2"/>
      <c r="AR176" s="2"/>
    </row>
    <row r="177" spans="5:44" ht="14.45" customHeight="1" x14ac:dyDescent="0.25">
      <c r="E177" s="2"/>
      <c r="F177" s="125"/>
      <c r="G177" s="2"/>
      <c r="H177" s="2" t="s">
        <v>20</v>
      </c>
      <c r="I177" s="2"/>
      <c r="J177" s="2"/>
      <c r="K177" s="2"/>
      <c r="L177" s="2"/>
      <c r="M177" s="2"/>
      <c r="N177" s="2"/>
      <c r="O177" s="3"/>
      <c r="P177" s="2"/>
      <c r="Q177" s="2"/>
      <c r="R177" s="2"/>
      <c r="S177" s="2"/>
      <c r="T177" s="2"/>
      <c r="U177" s="2"/>
      <c r="V177" s="2"/>
      <c r="W177" s="3"/>
      <c r="X177" s="2" t="s">
        <v>20</v>
      </c>
      <c r="Y177" s="34" t="s">
        <v>86</v>
      </c>
      <c r="Z177" s="32" t="s">
        <v>70</v>
      </c>
      <c r="AA177" s="2"/>
      <c r="AB177" s="34" t="s">
        <v>86</v>
      </c>
      <c r="AC177" s="32" t="s">
        <v>70</v>
      </c>
      <c r="AD177" s="2"/>
      <c r="AE177" s="3"/>
      <c r="AF177" s="2" t="s">
        <v>20</v>
      </c>
      <c r="AG177" t="s">
        <v>50</v>
      </c>
      <c r="AH177" s="32" t="s">
        <v>70</v>
      </c>
      <c r="AI177" s="2"/>
      <c r="AJ177" t="s">
        <v>50</v>
      </c>
      <c r="AK177" s="32" t="s">
        <v>70</v>
      </c>
      <c r="AL177" s="3"/>
      <c r="AM177" s="2"/>
      <c r="AN177" s="2"/>
      <c r="AO177" s="2"/>
      <c r="AP177" s="2"/>
      <c r="AQ177" s="2"/>
      <c r="AR177" s="2"/>
    </row>
    <row r="178" spans="5:44" ht="14.45" customHeight="1" x14ac:dyDescent="0.25">
      <c r="E178" s="2"/>
      <c r="F178" s="125"/>
      <c r="G178" s="2"/>
      <c r="H178" s="2" t="s">
        <v>24</v>
      </c>
      <c r="I178" s="2"/>
      <c r="J178" s="2"/>
      <c r="K178" s="2"/>
      <c r="L178" s="2"/>
      <c r="M178" s="2"/>
      <c r="N178" s="2"/>
      <c r="O178" s="3"/>
      <c r="P178" s="2"/>
      <c r="Q178" s="2"/>
      <c r="R178" s="2"/>
      <c r="S178" s="2"/>
      <c r="T178" s="2"/>
      <c r="U178" s="2"/>
      <c r="V178" s="2"/>
      <c r="W178" s="3"/>
      <c r="X178" s="2" t="s">
        <v>24</v>
      </c>
      <c r="Y178" s="34" t="s">
        <v>87</v>
      </c>
      <c r="Z178" s="32" t="s">
        <v>70</v>
      </c>
      <c r="AA178" s="2"/>
      <c r="AB178" s="34" t="s">
        <v>87</v>
      </c>
      <c r="AC178" s="32" t="s">
        <v>70</v>
      </c>
      <c r="AD178" s="2"/>
      <c r="AE178" s="3"/>
      <c r="AF178" s="2" t="s">
        <v>24</v>
      </c>
      <c r="AG178" t="s">
        <v>50</v>
      </c>
      <c r="AH178" s="32" t="s">
        <v>70</v>
      </c>
      <c r="AI178" s="2"/>
      <c r="AJ178" t="s">
        <v>50</v>
      </c>
      <c r="AK178" s="32" t="s">
        <v>70</v>
      </c>
      <c r="AL178" s="3"/>
      <c r="AM178" s="2"/>
      <c r="AN178" s="2"/>
      <c r="AO178" s="2"/>
      <c r="AP178" s="2"/>
      <c r="AQ178" s="2"/>
      <c r="AR178" s="2"/>
    </row>
    <row r="179" spans="5:44" ht="14.45" customHeight="1" x14ac:dyDescent="0.25">
      <c r="E179" s="2"/>
      <c r="F179" s="125"/>
      <c r="G179" s="2"/>
      <c r="H179" s="2" t="s">
        <v>28</v>
      </c>
      <c r="I179" s="2"/>
      <c r="J179" s="2"/>
      <c r="K179" s="2"/>
      <c r="L179" s="2"/>
      <c r="M179" s="2"/>
      <c r="N179" s="2"/>
      <c r="O179" s="3"/>
      <c r="P179" s="2"/>
      <c r="Q179" s="2"/>
      <c r="R179" s="2"/>
      <c r="S179" s="2"/>
      <c r="T179" s="2"/>
      <c r="U179" s="2"/>
      <c r="V179" s="2"/>
      <c r="W179" s="3"/>
      <c r="X179" s="2" t="s">
        <v>28</v>
      </c>
      <c r="Y179" s="34" t="s">
        <v>87</v>
      </c>
      <c r="Z179" s="32" t="s">
        <v>70</v>
      </c>
      <c r="AA179" s="2"/>
      <c r="AB179" s="34" t="s">
        <v>87</v>
      </c>
      <c r="AC179" s="32" t="s">
        <v>70</v>
      </c>
      <c r="AD179" s="2"/>
      <c r="AE179" s="3"/>
      <c r="AF179" s="2" t="s">
        <v>28</v>
      </c>
      <c r="AG179" t="s">
        <v>50</v>
      </c>
      <c r="AH179" s="32" t="s">
        <v>70</v>
      </c>
      <c r="AI179" s="2"/>
      <c r="AJ179" t="s">
        <v>50</v>
      </c>
      <c r="AK179" s="32" t="s">
        <v>70</v>
      </c>
      <c r="AL179" s="3"/>
      <c r="AM179" s="2"/>
      <c r="AN179" s="2"/>
      <c r="AO179" s="2"/>
      <c r="AP179" s="2"/>
      <c r="AQ179" s="2"/>
      <c r="AR179" s="2"/>
    </row>
    <row r="180" spans="5:44" ht="14.45" customHeight="1" x14ac:dyDescent="0.25">
      <c r="E180" s="2"/>
      <c r="F180" s="125"/>
      <c r="G180" s="2"/>
      <c r="H180" s="2" t="s">
        <v>32</v>
      </c>
      <c r="I180" s="2"/>
      <c r="J180" s="2"/>
      <c r="K180" s="2"/>
      <c r="L180" s="2"/>
      <c r="M180" s="2"/>
      <c r="N180" s="2"/>
      <c r="O180" s="3"/>
      <c r="P180" s="2"/>
      <c r="Q180" s="2"/>
      <c r="R180" s="2"/>
      <c r="S180" s="2"/>
      <c r="T180" s="2"/>
      <c r="U180" s="2"/>
      <c r="V180" s="2"/>
      <c r="W180" s="3"/>
      <c r="X180" s="2" t="s">
        <v>32</v>
      </c>
      <c r="Y180" s="34" t="s">
        <v>87</v>
      </c>
      <c r="Z180" s="32" t="s">
        <v>70</v>
      </c>
      <c r="AA180" s="2"/>
      <c r="AB180" s="34" t="s">
        <v>87</v>
      </c>
      <c r="AC180" s="32" t="s">
        <v>70</v>
      </c>
      <c r="AD180" s="2"/>
      <c r="AE180" s="3"/>
      <c r="AF180" s="2" t="s">
        <v>32</v>
      </c>
      <c r="AG180" t="s">
        <v>50</v>
      </c>
      <c r="AH180" s="32" t="s">
        <v>70</v>
      </c>
      <c r="AI180" s="2"/>
      <c r="AJ180" t="s">
        <v>50</v>
      </c>
      <c r="AK180" s="32" t="s">
        <v>70</v>
      </c>
      <c r="AL180" s="3"/>
      <c r="AM180" s="2"/>
      <c r="AN180" s="2"/>
      <c r="AO180" s="2"/>
      <c r="AP180" s="2"/>
      <c r="AQ180" s="2"/>
      <c r="AR180" s="2"/>
    </row>
    <row r="181" spans="5:44" ht="14.45" customHeight="1" x14ac:dyDescent="0.25">
      <c r="E181" s="2"/>
      <c r="F181" s="125"/>
      <c r="G181" s="2"/>
      <c r="H181" s="2"/>
      <c r="I181" s="2"/>
      <c r="J181" s="2"/>
      <c r="K181" s="2"/>
      <c r="L181" s="2"/>
      <c r="M181" s="2"/>
      <c r="N181" s="2"/>
      <c r="O181" s="3"/>
      <c r="P181" s="2"/>
      <c r="Q181" s="2"/>
      <c r="R181" s="2"/>
      <c r="S181" s="2"/>
      <c r="T181" s="2"/>
      <c r="U181" s="2"/>
      <c r="V181" s="2"/>
      <c r="W181" s="3"/>
      <c r="X181" s="2"/>
      <c r="Y181" s="2"/>
      <c r="Z181" s="2"/>
      <c r="AA181" s="2"/>
      <c r="AB181" s="2"/>
      <c r="AC181" s="2"/>
      <c r="AD181" s="2"/>
      <c r="AE181" s="3"/>
      <c r="AF181" s="2"/>
      <c r="AG181" s="2"/>
      <c r="AH181" s="2"/>
      <c r="AI181" s="2"/>
      <c r="AJ181" s="2"/>
      <c r="AK181" s="2"/>
      <c r="AL181" s="3"/>
      <c r="AM181" s="2"/>
      <c r="AN181" s="2"/>
      <c r="AO181" s="2"/>
      <c r="AP181" s="2"/>
      <c r="AQ181" s="2"/>
      <c r="AR181" s="2"/>
    </row>
    <row r="182" spans="5:44" ht="14.45" customHeight="1" x14ac:dyDescent="0.25">
      <c r="E182" s="2"/>
      <c r="F182" s="125"/>
      <c r="G182" s="2"/>
      <c r="H182" s="2"/>
      <c r="I182" s="2"/>
      <c r="J182" s="2"/>
      <c r="K182" s="2"/>
      <c r="L182" s="2"/>
      <c r="M182" s="2"/>
      <c r="N182" s="2"/>
      <c r="O182" s="3"/>
      <c r="P182" s="2"/>
      <c r="Q182" s="2"/>
      <c r="R182" s="2"/>
      <c r="S182" s="2"/>
      <c r="T182" s="2"/>
      <c r="U182" s="2"/>
      <c r="V182" s="2"/>
      <c r="W182" s="3"/>
      <c r="X182" s="2"/>
      <c r="Y182" s="25" t="s">
        <v>88</v>
      </c>
      <c r="Z182" s="25"/>
      <c r="AA182" s="25"/>
      <c r="AB182" s="25" t="s">
        <v>89</v>
      </c>
      <c r="AC182" s="3"/>
      <c r="AD182" s="2"/>
      <c r="AE182" s="3"/>
      <c r="AF182" s="2"/>
      <c r="AG182" s="2"/>
      <c r="AH182" s="2"/>
      <c r="AI182" s="2"/>
      <c r="AJ182" s="2"/>
      <c r="AK182" s="2"/>
      <c r="AL182" s="3"/>
      <c r="AM182" s="2"/>
      <c r="AN182" s="2"/>
      <c r="AO182" s="2"/>
      <c r="AP182" s="2"/>
      <c r="AQ182" s="2"/>
      <c r="AR182" s="2"/>
    </row>
    <row r="183" spans="5:44" ht="14.45" customHeight="1" x14ac:dyDescent="0.25">
      <c r="E183" s="2"/>
      <c r="F183" s="125"/>
      <c r="G183" s="2"/>
      <c r="H183" s="2"/>
      <c r="I183" s="2"/>
      <c r="J183" s="2"/>
      <c r="K183" s="2"/>
      <c r="L183" s="2"/>
      <c r="M183" s="2"/>
      <c r="N183" s="2"/>
      <c r="O183" s="3"/>
      <c r="P183" s="2"/>
      <c r="Q183" s="2"/>
      <c r="R183" s="2"/>
      <c r="S183" s="2"/>
      <c r="T183" s="2"/>
      <c r="U183" s="2"/>
      <c r="V183" s="2"/>
      <c r="W183" s="3"/>
      <c r="X183" s="2"/>
      <c r="Y183" s="26" t="s">
        <v>4</v>
      </c>
      <c r="Z183" s="26"/>
      <c r="AA183" s="26"/>
      <c r="AB183" s="26" t="s">
        <v>5</v>
      </c>
      <c r="AC183" s="26"/>
      <c r="AD183" s="2"/>
      <c r="AE183" s="3"/>
      <c r="AF183" s="2"/>
      <c r="AG183" s="2"/>
      <c r="AH183" s="2"/>
      <c r="AI183" s="2"/>
      <c r="AJ183" s="2"/>
      <c r="AK183" s="2"/>
      <c r="AL183" s="3"/>
      <c r="AM183" s="2"/>
      <c r="AN183" s="2"/>
      <c r="AO183" s="2"/>
      <c r="AP183" s="2"/>
      <c r="AQ183" s="2"/>
      <c r="AR183" s="2"/>
    </row>
    <row r="184" spans="5:44" ht="14.45" customHeight="1" x14ac:dyDescent="0.25">
      <c r="E184" s="2"/>
      <c r="F184" s="125"/>
      <c r="G184" s="2"/>
      <c r="H184" s="2"/>
      <c r="I184" s="2"/>
      <c r="J184" s="2"/>
      <c r="K184" s="2"/>
      <c r="L184" s="2"/>
      <c r="M184" s="2"/>
      <c r="N184" s="2"/>
      <c r="O184" s="3"/>
      <c r="P184" s="2"/>
      <c r="Q184" s="2"/>
      <c r="R184" s="2"/>
      <c r="S184" s="2"/>
      <c r="T184" s="2"/>
      <c r="U184" s="2"/>
      <c r="V184" s="2"/>
      <c r="W184" s="3"/>
      <c r="X184" s="2"/>
      <c r="Y184" s="27" t="s">
        <v>90</v>
      </c>
      <c r="Z184" s="27" t="s">
        <v>7</v>
      </c>
      <c r="AA184" s="29"/>
      <c r="AB184" s="27" t="s">
        <v>90</v>
      </c>
      <c r="AC184" s="27" t="s">
        <v>7</v>
      </c>
      <c r="AD184" s="2"/>
      <c r="AE184" s="3"/>
      <c r="AF184" s="2"/>
      <c r="AG184" s="2"/>
      <c r="AH184" s="2"/>
      <c r="AI184" s="2"/>
      <c r="AJ184" s="2"/>
      <c r="AK184" s="2"/>
      <c r="AL184" s="3"/>
      <c r="AM184" s="2"/>
      <c r="AN184" s="2"/>
      <c r="AO184" s="2"/>
      <c r="AP184" s="2"/>
      <c r="AQ184" s="2"/>
      <c r="AR184" s="2"/>
    </row>
    <row r="185" spans="5:44" ht="14.45" customHeight="1" x14ac:dyDescent="0.25">
      <c r="E185" s="2"/>
      <c r="F185" s="125"/>
      <c r="G185" s="2"/>
      <c r="H185" s="2" t="s">
        <v>12</v>
      </c>
      <c r="I185" s="2"/>
      <c r="J185" s="2"/>
      <c r="K185" s="2"/>
      <c r="L185" s="2"/>
      <c r="M185" s="2"/>
      <c r="N185" s="2"/>
      <c r="O185" s="3"/>
      <c r="P185" s="2"/>
      <c r="Q185" s="2"/>
      <c r="R185" s="2"/>
      <c r="S185" s="2"/>
      <c r="T185" s="2"/>
      <c r="U185" s="2"/>
      <c r="V185" s="2"/>
      <c r="W185" s="3"/>
      <c r="X185" s="2" t="s">
        <v>12</v>
      </c>
      <c r="Y185" t="s">
        <v>19</v>
      </c>
      <c r="Z185" s="32" t="s">
        <v>79</v>
      </c>
      <c r="AA185" s="2"/>
      <c r="AB185" t="s">
        <v>19</v>
      </c>
      <c r="AC185" s="32" t="s">
        <v>79</v>
      </c>
      <c r="AD185" s="2"/>
      <c r="AE185" s="3"/>
      <c r="AF185" s="2"/>
      <c r="AG185" s="2"/>
      <c r="AH185" s="2"/>
      <c r="AI185" s="2"/>
      <c r="AJ185" s="2"/>
      <c r="AK185" s="2"/>
      <c r="AL185" s="3"/>
      <c r="AM185" s="2"/>
      <c r="AN185" s="2"/>
      <c r="AO185" s="2"/>
      <c r="AP185" s="2"/>
      <c r="AQ185" s="2"/>
      <c r="AR185" s="2"/>
    </row>
    <row r="186" spans="5:44" ht="14.45" customHeight="1" x14ac:dyDescent="0.25">
      <c r="E186" s="2"/>
      <c r="F186" s="125"/>
      <c r="G186" s="2"/>
      <c r="H186" s="2" t="s">
        <v>20</v>
      </c>
      <c r="I186" s="2"/>
      <c r="J186" s="2"/>
      <c r="K186" s="2"/>
      <c r="L186" s="2"/>
      <c r="M186" s="2"/>
      <c r="N186" s="2"/>
      <c r="O186" s="3"/>
      <c r="P186" s="2"/>
      <c r="Q186" s="2"/>
      <c r="R186" s="2"/>
      <c r="S186" s="2"/>
      <c r="T186" s="2"/>
      <c r="U186" s="2"/>
      <c r="V186" s="2"/>
      <c r="W186" s="3"/>
      <c r="X186" s="2" t="s">
        <v>20</v>
      </c>
      <c r="Y186" t="s">
        <v>66</v>
      </c>
      <c r="Z186" s="32" t="s">
        <v>79</v>
      </c>
      <c r="AA186" s="2"/>
      <c r="AB186" t="s">
        <v>66</v>
      </c>
      <c r="AC186" s="32" t="s">
        <v>79</v>
      </c>
      <c r="AD186" s="2"/>
      <c r="AE186" s="3"/>
      <c r="AF186" s="2"/>
      <c r="AG186" s="2"/>
      <c r="AH186" s="2"/>
      <c r="AI186" s="2"/>
      <c r="AJ186" s="2"/>
      <c r="AK186" s="2"/>
      <c r="AL186" s="3"/>
      <c r="AM186" s="2"/>
      <c r="AN186" s="2"/>
      <c r="AO186" s="2"/>
      <c r="AP186" s="2"/>
      <c r="AQ186" s="2"/>
      <c r="AR186" s="2"/>
    </row>
    <row r="187" spans="5:44" ht="14.45" customHeight="1" x14ac:dyDescent="0.25">
      <c r="E187" s="2"/>
      <c r="F187" s="125"/>
      <c r="G187" s="2"/>
      <c r="H187" s="2" t="s">
        <v>24</v>
      </c>
      <c r="I187" s="2"/>
      <c r="J187" s="2"/>
      <c r="K187" s="2"/>
      <c r="L187" s="2"/>
      <c r="M187" s="2"/>
      <c r="N187" s="2"/>
      <c r="O187" s="3"/>
      <c r="P187" s="2"/>
      <c r="Q187" s="2"/>
      <c r="R187" s="2"/>
      <c r="S187" s="2"/>
      <c r="T187" s="2"/>
      <c r="U187" s="2"/>
      <c r="V187" s="2"/>
      <c r="W187" s="3"/>
      <c r="X187" s="2" t="s">
        <v>24</v>
      </c>
      <c r="Y187" s="19" t="s">
        <v>44</v>
      </c>
      <c r="Z187" s="32" t="s">
        <v>70</v>
      </c>
      <c r="AA187" s="2"/>
      <c r="AB187" s="19" t="s">
        <v>44</v>
      </c>
      <c r="AC187" s="32" t="s">
        <v>70</v>
      </c>
      <c r="AD187" s="2"/>
      <c r="AE187" s="3"/>
      <c r="AF187" s="2"/>
      <c r="AG187" s="2"/>
      <c r="AH187" s="2"/>
      <c r="AI187" s="2"/>
      <c r="AJ187" s="2"/>
      <c r="AK187" s="2"/>
      <c r="AL187" s="3"/>
      <c r="AM187" s="2"/>
      <c r="AN187" s="2"/>
      <c r="AO187" s="2"/>
      <c r="AP187" s="2"/>
      <c r="AQ187" s="2"/>
      <c r="AR187" s="2"/>
    </row>
    <row r="188" spans="5:44" ht="14.45" customHeight="1" x14ac:dyDescent="0.25">
      <c r="E188" s="2"/>
      <c r="F188" s="125"/>
      <c r="G188" s="2"/>
      <c r="H188" s="2" t="s">
        <v>28</v>
      </c>
      <c r="I188" s="2"/>
      <c r="J188" s="2"/>
      <c r="K188" s="2"/>
      <c r="L188" s="2"/>
      <c r="M188" s="2"/>
      <c r="N188" s="2"/>
      <c r="O188" s="3"/>
      <c r="P188" s="2"/>
      <c r="Q188" s="2"/>
      <c r="R188" s="2"/>
      <c r="S188" s="2"/>
      <c r="T188" s="2"/>
      <c r="U188" s="2"/>
      <c r="V188" s="2"/>
      <c r="W188" s="3"/>
      <c r="X188" s="2" t="s">
        <v>28</v>
      </c>
      <c r="Y188" s="14" t="s">
        <v>34</v>
      </c>
      <c r="Z188" s="32" t="s">
        <v>70</v>
      </c>
      <c r="AA188" s="2"/>
      <c r="AB188" s="14" t="s">
        <v>34</v>
      </c>
      <c r="AC188" s="32" t="s">
        <v>70</v>
      </c>
      <c r="AD188" s="2"/>
      <c r="AE188" s="3"/>
      <c r="AF188" s="2"/>
      <c r="AG188" s="2"/>
      <c r="AH188" s="2"/>
      <c r="AI188" s="2"/>
      <c r="AJ188" s="2"/>
      <c r="AK188" s="2"/>
      <c r="AL188" s="3"/>
      <c r="AM188" s="2"/>
      <c r="AN188" s="2"/>
      <c r="AO188" s="2"/>
      <c r="AP188" s="2"/>
      <c r="AQ188" s="2"/>
      <c r="AR188" s="2"/>
    </row>
    <row r="189" spans="5:44" ht="14.45" customHeight="1" x14ac:dyDescent="0.25">
      <c r="E189" s="2"/>
      <c r="F189" s="125"/>
      <c r="G189" s="2"/>
      <c r="H189" s="2" t="s">
        <v>32</v>
      </c>
      <c r="I189" s="2"/>
      <c r="J189" s="2"/>
      <c r="K189" s="2"/>
      <c r="L189" s="2"/>
      <c r="M189" s="2"/>
      <c r="N189" s="2"/>
      <c r="O189" s="3"/>
      <c r="P189" s="2"/>
      <c r="Q189" s="2"/>
      <c r="R189" s="2"/>
      <c r="S189" s="2"/>
      <c r="T189" s="2"/>
      <c r="U189" s="2"/>
      <c r="V189" s="2"/>
      <c r="W189" s="3"/>
      <c r="X189" s="2" t="s">
        <v>32</v>
      </c>
      <c r="Y189" s="8" t="s">
        <v>36</v>
      </c>
      <c r="Z189" s="32" t="s">
        <v>91</v>
      </c>
      <c r="AA189" s="2"/>
      <c r="AB189" s="8" t="s">
        <v>36</v>
      </c>
      <c r="AC189" s="32" t="s">
        <v>91</v>
      </c>
      <c r="AD189" s="2"/>
      <c r="AE189" s="3"/>
      <c r="AF189" s="2"/>
      <c r="AG189" s="2"/>
      <c r="AH189" s="2"/>
      <c r="AI189" s="2"/>
      <c r="AJ189" s="2"/>
      <c r="AK189" s="2"/>
      <c r="AL189" s="3"/>
      <c r="AM189" s="2"/>
      <c r="AN189" s="2"/>
      <c r="AO189" s="2"/>
      <c r="AP189" s="2"/>
      <c r="AQ189" s="2"/>
      <c r="AR189" s="2"/>
    </row>
    <row r="190" spans="5:44" ht="14.45" customHeight="1" x14ac:dyDescent="0.25">
      <c r="E190" s="2"/>
      <c r="F190" s="12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spans="5:44" ht="14.45" customHeight="1" x14ac:dyDescent="0.25">
      <c r="E191" s="2"/>
      <c r="F191" s="12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spans="5:44" ht="14.45" customHeight="1" x14ac:dyDescent="0.25">
      <c r="E192" s="2"/>
      <c r="F192" s="12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spans="5:44" x14ac:dyDescent="0.25"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5" spans="5:44" ht="14.45" customHeight="1" x14ac:dyDescent="0.25"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124"/>
      <c r="V195" s="124"/>
      <c r="W195" s="124"/>
      <c r="X195" s="124"/>
      <c r="Y195" s="124" t="s">
        <v>1</v>
      </c>
      <c r="Z195" s="124"/>
      <c r="AA195" s="124"/>
      <c r="AB195" s="124"/>
      <c r="AC195" s="124"/>
      <c r="AD195" s="26"/>
      <c r="AE195" s="3"/>
      <c r="AF195" s="2"/>
      <c r="AG195" s="36" t="s">
        <v>2</v>
      </c>
      <c r="AH195" s="36"/>
      <c r="AI195" s="36"/>
      <c r="AJ195" s="36" t="s">
        <v>3</v>
      </c>
      <c r="AK195" s="37"/>
      <c r="AL195" s="3"/>
      <c r="AM195" s="2"/>
      <c r="AN195" s="2"/>
      <c r="AO195" s="2"/>
      <c r="AP195" s="2"/>
      <c r="AQ195" s="2"/>
      <c r="AR195" s="2"/>
    </row>
    <row r="196" spans="5:44" ht="14.45" customHeight="1" x14ac:dyDescent="0.25">
      <c r="E196" s="2"/>
      <c r="F196" s="125" t="str">
        <f>"ww"&amp;IF(LEFT($F$1,2)&lt;10,"0"&amp;LEFT($F$1,2),LEFT($F$1,2))&amp;".6"</f>
        <v>ww16.6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6" t="s">
        <v>4</v>
      </c>
      <c r="Z196" s="26"/>
      <c r="AA196" s="26"/>
      <c r="AB196" s="26" t="s">
        <v>5</v>
      </c>
      <c r="AC196" s="26"/>
      <c r="AD196" s="26"/>
      <c r="AE196" s="3"/>
      <c r="AF196" s="2"/>
      <c r="AG196" s="26" t="s">
        <v>4</v>
      </c>
      <c r="AH196" s="26"/>
      <c r="AI196" s="26"/>
      <c r="AJ196" s="26" t="s">
        <v>5</v>
      </c>
      <c r="AK196" s="26"/>
      <c r="AL196" s="3"/>
      <c r="AM196" s="2"/>
      <c r="AN196" s="2"/>
      <c r="AO196" s="2"/>
      <c r="AP196" s="2"/>
      <c r="AQ196" s="2"/>
      <c r="AR196" s="2"/>
    </row>
    <row r="197" spans="5:44" ht="14.45" customHeight="1" x14ac:dyDescent="0.25">
      <c r="E197" s="2"/>
      <c r="F197" s="12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7" t="s">
        <v>6</v>
      </c>
      <c r="Z197" s="27" t="s">
        <v>7</v>
      </c>
      <c r="AA197" s="2"/>
      <c r="AB197" s="27" t="s">
        <v>6</v>
      </c>
      <c r="AC197" s="27" t="s">
        <v>7</v>
      </c>
      <c r="AD197" s="28"/>
      <c r="AE197" s="3"/>
      <c r="AF197" s="2"/>
      <c r="AG197" s="27" t="s">
        <v>2</v>
      </c>
      <c r="AH197" s="27" t="s">
        <v>7</v>
      </c>
      <c r="AI197" s="29"/>
      <c r="AJ197" s="27" t="s">
        <v>2</v>
      </c>
      <c r="AK197" s="27" t="s">
        <v>7</v>
      </c>
      <c r="AL197" s="3"/>
      <c r="AM197" s="2"/>
      <c r="AN197" s="6" t="s">
        <v>8</v>
      </c>
      <c r="AO197" s="6" t="s">
        <v>9</v>
      </c>
      <c r="AP197" s="7" t="s">
        <v>10</v>
      </c>
      <c r="AQ197" s="7" t="s">
        <v>11</v>
      </c>
      <c r="AR197" s="2"/>
    </row>
    <row r="198" spans="5:44" ht="14.45" customHeight="1" x14ac:dyDescent="0.25">
      <c r="E198" s="2"/>
      <c r="F198" s="125"/>
      <c r="G198" s="2"/>
      <c r="H198" s="2" t="s">
        <v>12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30" t="s">
        <v>13</v>
      </c>
      <c r="V198" s="30" t="s">
        <v>14</v>
      </c>
      <c r="W198" s="30"/>
      <c r="X198" s="31"/>
      <c r="Z198" t="s">
        <v>15</v>
      </c>
      <c r="AA198" s="2"/>
      <c r="AC198" t="s">
        <v>15</v>
      </c>
      <c r="AD198" s="2"/>
      <c r="AE198" s="3"/>
      <c r="AF198" s="2" t="s">
        <v>12</v>
      </c>
      <c r="AG198" s="70" t="s">
        <v>16</v>
      </c>
      <c r="AH198" s="32" t="s">
        <v>17</v>
      </c>
      <c r="AI198" s="2"/>
      <c r="AJ198" s="70" t="s">
        <v>16</v>
      </c>
      <c r="AK198" s="32" t="s">
        <v>17</v>
      </c>
      <c r="AL198" s="3"/>
      <c r="AM198" s="2"/>
      <c r="AN198" s="9" t="s">
        <v>18</v>
      </c>
      <c r="AO198" s="9" t="s">
        <v>19</v>
      </c>
      <c r="AP198" s="5">
        <f>(COUNTIF($I$195:$I$289,"=*"&amp;AO198&amp;"*")+COUNTIF($Q$195:$Q$289,"=*"&amp;AO198&amp;"*")+COUNTIF($AG$195:$AG$289,"=*"&amp;AO198&amp;"*")+COUNTIF($Y$195:$Y289,"=*"&amp;AO198&amp;"*"))*2</f>
        <v>2</v>
      </c>
      <c r="AQ198" s="5">
        <f>(COUNTIF($L$196:$L$286,"=*"&amp;AO198&amp;"*")+COUNTIF($T$196:$T$286,"=*"&amp;AO198&amp;"*")+COUNTIF($AB$196:$AB$288,"=*"&amp;AO198&amp;"*")+COUNTIF($AJ$196:$AJ$287,"=*"&amp;AO198&amp;"*"))*2</f>
        <v>2</v>
      </c>
      <c r="AR198" s="2"/>
    </row>
    <row r="199" spans="5:44" ht="14.45" customHeight="1" x14ac:dyDescent="0.25">
      <c r="E199" s="2"/>
      <c r="F199" s="125"/>
      <c r="G199" s="2"/>
      <c r="H199" s="2" t="s">
        <v>20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30" t="s">
        <v>21</v>
      </c>
      <c r="V199" s="30" t="s">
        <v>14</v>
      </c>
      <c r="W199" s="30"/>
      <c r="X199" s="31"/>
      <c r="AA199" s="2"/>
      <c r="AD199" s="2"/>
      <c r="AE199" s="3"/>
      <c r="AF199" s="2" t="s">
        <v>20</v>
      </c>
      <c r="AG199" s="70" t="s">
        <v>16</v>
      </c>
      <c r="AH199" s="32" t="s">
        <v>17</v>
      </c>
      <c r="AI199" s="2"/>
      <c r="AJ199" s="70" t="s">
        <v>16</v>
      </c>
      <c r="AK199" s="32" t="s">
        <v>17</v>
      </c>
      <c r="AL199" s="3"/>
      <c r="AM199" s="2"/>
      <c r="AN199" s="10" t="s">
        <v>22</v>
      </c>
      <c r="AO199" s="10" t="s">
        <v>23</v>
      </c>
      <c r="AP199" s="5">
        <f>(COUNTIF($I$195:$I$289,"=*"&amp;AO199&amp;"*")+COUNTIF($Q$195:$Q$289,"=*"&amp;AO199&amp;"*")+COUNTIF($AG$195:$AG$289,"=*"&amp;AO199&amp;"*")+COUNTIF($Y$195:$Y290,"=*"&amp;AO199&amp;"*"))*2</f>
        <v>0</v>
      </c>
      <c r="AQ199" s="5">
        <f t="shared" ref="AQ199:AQ225" si="9">(COUNTIF($L$196:$L$286,"=*"&amp;AO199&amp;"*")+COUNTIF($T$196:$T$286,"=*"&amp;AO199&amp;"*")+COUNTIF($AB$196:$AB$288,"=*"&amp;AO199&amp;"*")+COUNTIF($AJ$196:$AJ$287,"=*"&amp;AO199&amp;"*"))*2</f>
        <v>0</v>
      </c>
      <c r="AR199" s="2"/>
    </row>
    <row r="200" spans="5:44" ht="14.45" customHeight="1" x14ac:dyDescent="0.25">
      <c r="E200" s="2"/>
      <c r="F200" s="125"/>
      <c r="G200" s="2"/>
      <c r="H200" s="2" t="s">
        <v>24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30" t="s">
        <v>25</v>
      </c>
      <c r="V200" s="30" t="s">
        <v>14</v>
      </c>
      <c r="W200" s="30"/>
      <c r="X200" s="31"/>
      <c r="Z200" t="s">
        <v>15</v>
      </c>
      <c r="AA200" s="2"/>
      <c r="AC200" t="s">
        <v>15</v>
      </c>
      <c r="AD200" s="2"/>
      <c r="AE200" s="3"/>
      <c r="AF200" s="2" t="s">
        <v>24</v>
      </c>
      <c r="AG200" s="70" t="s">
        <v>16</v>
      </c>
      <c r="AH200" s="32" t="s">
        <v>17</v>
      </c>
      <c r="AI200" s="2"/>
      <c r="AJ200" s="70" t="s">
        <v>16</v>
      </c>
      <c r="AK200" s="32" t="s">
        <v>17</v>
      </c>
      <c r="AL200" s="3"/>
      <c r="AM200" s="2"/>
      <c r="AN200" s="11" t="s">
        <v>26</v>
      </c>
      <c r="AO200" s="11" t="s">
        <v>27</v>
      </c>
      <c r="AP200" s="5">
        <f>(COUNTIF($I$195:$I$289,"=*"&amp;AO200&amp;"*")+COUNTIF($Q$195:$Q$289,"=*"&amp;AO200&amp;"*")+COUNTIF($AG$195:$AG$289,"=*"&amp;AO200&amp;"*")+COUNTIF($Y$195:$Y291,"=*"&amp;AO200&amp;"*"))*2</f>
        <v>14</v>
      </c>
      <c r="AQ200" s="5">
        <f t="shared" si="9"/>
        <v>14</v>
      </c>
      <c r="AR200" s="2"/>
    </row>
    <row r="201" spans="5:44" ht="14.45" customHeight="1" x14ac:dyDescent="0.25">
      <c r="E201" s="2"/>
      <c r="F201" s="125"/>
      <c r="G201" s="2"/>
      <c r="H201" s="2" t="s">
        <v>28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30" t="s">
        <v>29</v>
      </c>
      <c r="V201" s="30" t="s">
        <v>14</v>
      </c>
      <c r="W201" s="30"/>
      <c r="X201" s="31"/>
      <c r="Z201" t="s">
        <v>15</v>
      </c>
      <c r="AA201" s="2"/>
      <c r="AC201" t="s">
        <v>15</v>
      </c>
      <c r="AD201" s="2"/>
      <c r="AE201" s="3"/>
      <c r="AF201" s="2" t="s">
        <v>28</v>
      </c>
      <c r="AG201" s="70" t="s">
        <v>16</v>
      </c>
      <c r="AH201" s="32" t="s">
        <v>17</v>
      </c>
      <c r="AI201" s="2"/>
      <c r="AJ201" s="70" t="s">
        <v>16</v>
      </c>
      <c r="AK201" s="32" t="s">
        <v>17</v>
      </c>
      <c r="AL201" s="3"/>
      <c r="AM201" s="2"/>
      <c r="AN201" s="12" t="s">
        <v>30</v>
      </c>
      <c r="AO201" s="12" t="s">
        <v>31</v>
      </c>
      <c r="AP201" s="5">
        <f>(COUNTIF($I$195:$I$289,"=*"&amp;AO201&amp;"*")+COUNTIF($Q$195:$Q$289,"=*"&amp;AO201&amp;"*")+COUNTIF($AG$195:$AG$289,"=*"&amp;AO201&amp;"*")+COUNTIF($Y$195:$Y292,"=*"&amp;AO201&amp;"*"))*2</f>
        <v>6</v>
      </c>
      <c r="AQ201" s="5">
        <f t="shared" si="9"/>
        <v>6</v>
      </c>
      <c r="AR201" s="2"/>
    </row>
    <row r="202" spans="5:44" ht="14.45" customHeight="1" x14ac:dyDescent="0.25">
      <c r="E202" s="2"/>
      <c r="F202" s="125"/>
      <c r="G202" s="2"/>
      <c r="H202" s="2" t="s">
        <v>32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31"/>
      <c r="V202" s="31"/>
      <c r="W202" s="31"/>
      <c r="X202" s="31"/>
      <c r="AA202" s="2"/>
      <c r="AD202" s="2"/>
      <c r="AE202" s="3"/>
      <c r="AF202" s="2" t="s">
        <v>32</v>
      </c>
      <c r="AG202" s="70" t="s">
        <v>16</v>
      </c>
      <c r="AH202" s="32" t="s">
        <v>17</v>
      </c>
      <c r="AI202" s="2"/>
      <c r="AJ202" s="70" t="s">
        <v>16</v>
      </c>
      <c r="AK202" s="32" t="s">
        <v>17</v>
      </c>
      <c r="AL202" s="3"/>
      <c r="AM202" s="2"/>
      <c r="AN202" s="14" t="s">
        <v>33</v>
      </c>
      <c r="AO202" s="14" t="s">
        <v>34</v>
      </c>
      <c r="AP202" s="5">
        <f>(COUNTIF($I$195:$I$289,"=*"&amp;AO202&amp;"*")+COUNTIF($Q$195:$Q$289,"=*"&amp;AO202&amp;"*")+COUNTIF($AG$195:$AG$289,"=*"&amp;AO202&amp;"*")+COUNTIF($Y$195:$Y293,"=*"&amp;AO202&amp;"*"))*2</f>
        <v>2</v>
      </c>
      <c r="AQ202" s="5">
        <f t="shared" si="9"/>
        <v>2</v>
      </c>
      <c r="AR202" s="2"/>
    </row>
    <row r="203" spans="5:44" ht="14.45" customHeight="1" x14ac:dyDescent="0.25">
      <c r="E203" s="2"/>
      <c r="F203" s="12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3"/>
      <c r="AF203" s="2"/>
      <c r="AG203" s="2"/>
      <c r="AH203" s="2"/>
      <c r="AI203" s="2"/>
      <c r="AJ203" s="2"/>
      <c r="AK203" s="2"/>
      <c r="AL203" s="3"/>
      <c r="AM203" s="2"/>
      <c r="AN203" s="8" t="s">
        <v>35</v>
      </c>
      <c r="AO203" s="8" t="s">
        <v>36</v>
      </c>
      <c r="AP203" s="5">
        <f>(COUNTIF($I$195:$I$289,"=*"&amp;AO203&amp;"*")+COUNTIF($Q$195:$Q$289,"=*"&amp;AO203&amp;"*")+COUNTIF($AG$195:$AG$289,"=*"&amp;AO203&amp;"*")+COUNTIF($Y$195:$Y294,"=*"&amp;AO203&amp;"*"))*2</f>
        <v>2</v>
      </c>
      <c r="AQ203" s="5">
        <f t="shared" si="9"/>
        <v>2</v>
      </c>
      <c r="AR203" s="2"/>
    </row>
    <row r="204" spans="5:44" ht="14.45" customHeight="1" x14ac:dyDescent="0.25">
      <c r="E204" s="2"/>
      <c r="F204" s="12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36">
        <v>2117</v>
      </c>
      <c r="Z204" s="36"/>
      <c r="AA204" s="36"/>
      <c r="AB204" s="36" t="s">
        <v>3</v>
      </c>
      <c r="AC204" s="37"/>
      <c r="AD204" s="2"/>
      <c r="AE204" s="3"/>
      <c r="AF204" s="2"/>
      <c r="AG204" s="36">
        <v>2207</v>
      </c>
      <c r="AH204" s="36"/>
      <c r="AI204" s="36"/>
      <c r="AJ204" s="36" t="s">
        <v>3</v>
      </c>
      <c r="AK204" s="37"/>
      <c r="AL204" s="3"/>
      <c r="AM204" s="2"/>
      <c r="AN204" s="16" t="s">
        <v>37</v>
      </c>
      <c r="AO204" s="16" t="s">
        <v>38</v>
      </c>
      <c r="AP204" s="5">
        <f>(COUNTIF($I$195:$I$289,"=*"&amp;AO204&amp;"*")+COUNTIF($Q$195:$Q$289,"=*"&amp;AO204&amp;"*")+COUNTIF($AG$195:$AG$289,"=*"&amp;AO204&amp;"*")+COUNTIF($Y$195:$Y295,"=*"&amp;AO204&amp;"*"))*2</f>
        <v>0</v>
      </c>
      <c r="AQ204" s="5">
        <f t="shared" si="9"/>
        <v>0</v>
      </c>
      <c r="AR204" s="2"/>
    </row>
    <row r="205" spans="5:44" ht="14.45" customHeight="1" x14ac:dyDescent="0.25">
      <c r="E205" s="2"/>
      <c r="F205" s="12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6" t="s">
        <v>4</v>
      </c>
      <c r="Z205" s="26"/>
      <c r="AA205" s="26"/>
      <c r="AB205" s="26" t="s">
        <v>5</v>
      </c>
      <c r="AC205" s="26"/>
      <c r="AD205" s="26"/>
      <c r="AE205" s="3"/>
      <c r="AF205" s="2"/>
      <c r="AG205" s="26" t="s">
        <v>4</v>
      </c>
      <c r="AH205" s="26"/>
      <c r="AI205" s="26"/>
      <c r="AJ205" s="26" t="s">
        <v>5</v>
      </c>
      <c r="AK205" s="26"/>
      <c r="AL205" s="3"/>
      <c r="AM205" s="2"/>
      <c r="AN205" s="17" t="s">
        <v>39</v>
      </c>
      <c r="AO205" s="17" t="s">
        <v>40</v>
      </c>
      <c r="AP205" s="5">
        <f>(COUNTIF($I$195:$I$289,"=*"&amp;AO205&amp;"*")+COUNTIF($Q$195:$Q$289,"=*"&amp;AO205&amp;"*")+COUNTIF($AG$195:$AG$289,"=*"&amp;AO205&amp;"*")+COUNTIF($Y$195:$Y296,"=*"&amp;AO205&amp;"*"))*2</f>
        <v>0</v>
      </c>
      <c r="AQ205" s="5">
        <f t="shared" si="9"/>
        <v>0</v>
      </c>
      <c r="AR205" s="2"/>
    </row>
    <row r="206" spans="5:44" ht="14.45" customHeight="1" x14ac:dyDescent="0.25">
      <c r="E206" s="2"/>
      <c r="F206" s="12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3"/>
      <c r="R206" s="33"/>
      <c r="S206" s="33"/>
      <c r="T206" s="33"/>
      <c r="U206" s="2"/>
      <c r="V206" s="2"/>
      <c r="W206" s="2"/>
      <c r="X206" s="2"/>
      <c r="Y206" s="27">
        <v>2117</v>
      </c>
      <c r="Z206" s="27" t="s">
        <v>7</v>
      </c>
      <c r="AA206" s="2"/>
      <c r="AB206" s="27">
        <v>2117</v>
      </c>
      <c r="AC206" s="27" t="s">
        <v>7</v>
      </c>
      <c r="AD206" s="28"/>
      <c r="AE206" s="3"/>
      <c r="AF206" s="2"/>
      <c r="AG206" s="27">
        <v>2207</v>
      </c>
      <c r="AH206" s="27" t="s">
        <v>7</v>
      </c>
      <c r="AI206" s="29"/>
      <c r="AJ206" s="27">
        <v>2207</v>
      </c>
      <c r="AK206" s="27" t="s">
        <v>7</v>
      </c>
      <c r="AL206" s="3"/>
      <c r="AM206" s="2"/>
      <c r="AN206" s="18" t="s">
        <v>41</v>
      </c>
      <c r="AO206" s="18" t="s">
        <v>42</v>
      </c>
      <c r="AP206" s="5">
        <f>(COUNTIF($I$195:$I$289,"=*"&amp;AO206&amp;"*")+COUNTIF($Q$195:$Q$289,"=*"&amp;AO206&amp;"*")+COUNTIF($AG$195:$AG$289,"=*"&amp;AO206&amp;"*")+COUNTIF($Y$195:$Y297,"=*"&amp;AO206&amp;"*"))*2</f>
        <v>0</v>
      </c>
      <c r="AQ206" s="5">
        <f t="shared" si="9"/>
        <v>0</v>
      </c>
      <c r="AR206" s="2"/>
    </row>
    <row r="207" spans="5:44" ht="14.45" customHeight="1" x14ac:dyDescent="0.25">
      <c r="E207" s="2"/>
      <c r="F207" s="125"/>
      <c r="G207" s="2"/>
      <c r="H207" s="2" t="s">
        <v>12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12</v>
      </c>
      <c r="Y207" s="70" t="s">
        <v>16</v>
      </c>
      <c r="Z207" s="32" t="s">
        <v>17</v>
      </c>
      <c r="AA207" s="2"/>
      <c r="AB207" s="70" t="s">
        <v>16</v>
      </c>
      <c r="AC207" s="32" t="s">
        <v>17</v>
      </c>
      <c r="AD207" s="2"/>
      <c r="AE207" s="3"/>
      <c r="AF207" s="2" t="s">
        <v>12</v>
      </c>
      <c r="AG207" s="70" t="s">
        <v>16</v>
      </c>
      <c r="AH207" s="32" t="s">
        <v>17</v>
      </c>
      <c r="AI207" s="2"/>
      <c r="AJ207" s="70" t="s">
        <v>16</v>
      </c>
      <c r="AK207" s="32" t="s">
        <v>17</v>
      </c>
      <c r="AL207" s="3"/>
      <c r="AM207" s="2"/>
      <c r="AN207" s="19" t="s">
        <v>43</v>
      </c>
      <c r="AO207" s="19" t="s">
        <v>44</v>
      </c>
      <c r="AP207" s="5">
        <f>(COUNTIF($I$195:$I$289,"=*"&amp;AO207&amp;"*")+COUNTIF($Q$195:$Q$289,"=*"&amp;AO207&amp;"*")+COUNTIF($AG$195:$AG$289,"=*"&amp;AO207&amp;"*")+COUNTIF($Y$195:$Y298,"=*"&amp;AO207&amp;"*"))*2</f>
        <v>2</v>
      </c>
      <c r="AQ207" s="5">
        <f t="shared" si="9"/>
        <v>2</v>
      </c>
      <c r="AR207" s="2"/>
    </row>
    <row r="208" spans="5:44" ht="14.45" customHeight="1" x14ac:dyDescent="0.25">
      <c r="E208" s="2"/>
      <c r="F208" s="125"/>
      <c r="G208" s="2"/>
      <c r="H208" s="2" t="s">
        <v>20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20</v>
      </c>
      <c r="Y208" s="70" t="s">
        <v>16</v>
      </c>
      <c r="Z208" s="32" t="s">
        <v>17</v>
      </c>
      <c r="AA208" s="2"/>
      <c r="AB208" s="70" t="s">
        <v>16</v>
      </c>
      <c r="AC208" s="32" t="s">
        <v>17</v>
      </c>
      <c r="AD208" s="2"/>
      <c r="AE208" s="3"/>
      <c r="AF208" s="2" t="s">
        <v>20</v>
      </c>
      <c r="AG208" s="70" t="s">
        <v>16</v>
      </c>
      <c r="AH208" s="32" t="s">
        <v>17</v>
      </c>
      <c r="AI208" s="2"/>
      <c r="AJ208" s="70" t="s">
        <v>16</v>
      </c>
      <c r="AK208" s="32" t="s">
        <v>17</v>
      </c>
      <c r="AL208" s="3"/>
      <c r="AM208" s="2"/>
      <c r="AN208" s="20" t="s">
        <v>45</v>
      </c>
      <c r="AO208" s="20" t="s">
        <v>46</v>
      </c>
      <c r="AP208" s="5">
        <f>(COUNTIF($I$195:$I$289,"=*"&amp;AO208&amp;"*")+COUNTIF($Q$195:$Q$289,"=*"&amp;AO208&amp;"*")+COUNTIF($AG$195:$AG$289,"=*"&amp;AO208&amp;"*")+COUNTIF($Y$195:$Y299,"=*"&amp;AO208&amp;"*"))*2</f>
        <v>0</v>
      </c>
      <c r="AQ208" s="5">
        <f t="shared" si="9"/>
        <v>0</v>
      </c>
      <c r="AR208" s="2"/>
    </row>
    <row r="209" spans="5:44" ht="14.45" customHeight="1" x14ac:dyDescent="0.25">
      <c r="E209" s="2"/>
      <c r="F209" s="125"/>
      <c r="G209" s="2"/>
      <c r="H209" s="2" t="s">
        <v>24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24</v>
      </c>
      <c r="Y209" s="70" t="s">
        <v>16</v>
      </c>
      <c r="Z209" s="32" t="s">
        <v>17</v>
      </c>
      <c r="AA209" s="2"/>
      <c r="AB209" s="70" t="s">
        <v>16</v>
      </c>
      <c r="AC209" s="32" t="s">
        <v>17</v>
      </c>
      <c r="AD209" s="2"/>
      <c r="AE209" s="3"/>
      <c r="AF209" s="2" t="s">
        <v>24</v>
      </c>
      <c r="AG209" s="70" t="s">
        <v>16</v>
      </c>
      <c r="AH209" s="32" t="s">
        <v>17</v>
      </c>
      <c r="AI209" s="2"/>
      <c r="AJ209" s="70" t="s">
        <v>16</v>
      </c>
      <c r="AK209" s="32" t="s">
        <v>17</v>
      </c>
      <c r="AL209" s="3"/>
      <c r="AM209" s="2"/>
      <c r="AN209" s="21" t="s">
        <v>47</v>
      </c>
      <c r="AO209" s="21" t="s">
        <v>48</v>
      </c>
      <c r="AP209" s="5">
        <f>(COUNTIF($I$195:$I$289,"=*"&amp;AO209&amp;"*")+COUNTIF($Q$195:$Q$289,"=*"&amp;AO209&amp;"*")+COUNTIF($AG$195:$AG$289,"=*"&amp;AO209&amp;"*")+COUNTIF($Y$195:$Y300,"=*"&amp;AO209&amp;"*"))*2</f>
        <v>0</v>
      </c>
      <c r="AQ209" s="5">
        <f t="shared" si="9"/>
        <v>0</v>
      </c>
      <c r="AR209" s="2"/>
    </row>
    <row r="210" spans="5:44" ht="14.45" customHeight="1" x14ac:dyDescent="0.25">
      <c r="E210" s="2"/>
      <c r="F210" s="125"/>
      <c r="G210" s="2"/>
      <c r="H210" s="2" t="s">
        <v>28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28</v>
      </c>
      <c r="Y210" s="70" t="s">
        <v>16</v>
      </c>
      <c r="Z210" s="32" t="s">
        <v>17</v>
      </c>
      <c r="AA210" s="2"/>
      <c r="AB210" s="70" t="s">
        <v>16</v>
      </c>
      <c r="AC210" s="32" t="s">
        <v>17</v>
      </c>
      <c r="AD210" s="2"/>
      <c r="AE210" s="3"/>
      <c r="AF210" s="2" t="s">
        <v>28</v>
      </c>
      <c r="AG210" s="70" t="s">
        <v>16</v>
      </c>
      <c r="AH210" s="32" t="s">
        <v>17</v>
      </c>
      <c r="AI210" s="2"/>
      <c r="AJ210" s="70" t="s">
        <v>16</v>
      </c>
      <c r="AK210" s="32" t="s">
        <v>17</v>
      </c>
      <c r="AL210" s="3"/>
      <c r="AM210" s="2"/>
      <c r="AN210" s="13" t="s">
        <v>49</v>
      </c>
      <c r="AO210" s="13" t="s">
        <v>50</v>
      </c>
      <c r="AP210" s="5">
        <f>(COUNTIF($I$195:$I$289,"=*"&amp;AO210&amp;"*")+COUNTIF($Q$195:$Q$289,"=*"&amp;AO210&amp;"*")+COUNTIF($AG$195:$AG$289,"=*"&amp;AO210&amp;"*")+COUNTIF($Y$195:$Y301,"=*"&amp;AO210&amp;"*"))*2</f>
        <v>20</v>
      </c>
      <c r="AQ210" s="5">
        <f t="shared" si="9"/>
        <v>20</v>
      </c>
      <c r="AR210" s="2"/>
    </row>
    <row r="211" spans="5:44" ht="14.45" customHeight="1" x14ac:dyDescent="0.25">
      <c r="E211" s="2"/>
      <c r="F211" s="125"/>
      <c r="G211" s="2"/>
      <c r="H211" s="2" t="s">
        <v>32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32</v>
      </c>
      <c r="Y211" s="70" t="s">
        <v>16</v>
      </c>
      <c r="Z211" s="32" t="s">
        <v>17</v>
      </c>
      <c r="AA211" s="2"/>
      <c r="AB211" s="70" t="s">
        <v>16</v>
      </c>
      <c r="AC211" s="32" t="s">
        <v>17</v>
      </c>
      <c r="AD211" s="2"/>
      <c r="AE211" s="3"/>
      <c r="AF211" s="2" t="s">
        <v>32</v>
      </c>
      <c r="AG211" s="70" t="s">
        <v>16</v>
      </c>
      <c r="AH211" s="32" t="s">
        <v>17</v>
      </c>
      <c r="AI211" s="2"/>
      <c r="AJ211" s="70" t="s">
        <v>16</v>
      </c>
      <c r="AK211" s="32" t="s">
        <v>17</v>
      </c>
      <c r="AL211" s="3"/>
      <c r="AM211" s="2"/>
      <c r="AN211" s="4" t="s">
        <v>51</v>
      </c>
      <c r="AO211" s="4" t="s">
        <v>52</v>
      </c>
      <c r="AP211" s="5">
        <f>(COUNTIF($I$195:$I$289,"=*"&amp;AO211&amp;"*")+COUNTIF($Q$195:$Q$289,"=*"&amp;AO211&amp;"*")+COUNTIF($AG$195:$AG$289,"=*"&amp;AO211&amp;"*")+COUNTIF($Y$195:$Y302,"=*"&amp;AO211&amp;"*"))*2</f>
        <v>0</v>
      </c>
      <c r="AQ211" s="5">
        <f t="shared" si="9"/>
        <v>0</v>
      </c>
      <c r="AR211" s="2"/>
    </row>
    <row r="212" spans="5:44" ht="14.45" customHeight="1" x14ac:dyDescent="0.25">
      <c r="E212" s="2"/>
      <c r="F212" s="12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3"/>
      <c r="AF212" s="2"/>
      <c r="AG212" s="2"/>
      <c r="AH212" s="2"/>
      <c r="AI212" s="2"/>
      <c r="AJ212" s="2"/>
      <c r="AK212" s="2"/>
      <c r="AL212" s="3"/>
      <c r="AM212" s="2"/>
      <c r="AN212" s="22" t="s">
        <v>53</v>
      </c>
      <c r="AO212" s="22" t="s">
        <v>54</v>
      </c>
      <c r="AP212" s="5">
        <f>(COUNTIF($I$195:$I$289,"=*"&amp;AO212&amp;"*")+COUNTIF($Q$195:$Q$289,"=*"&amp;AO212&amp;"*")+COUNTIF($AG$195:$AG$289,"=*"&amp;AO212&amp;"*")+COUNTIF($Y$195:$Y303,"=*"&amp;AO212&amp;"*"))*2</f>
        <v>0</v>
      </c>
      <c r="AQ212" s="5">
        <f t="shared" si="9"/>
        <v>0</v>
      </c>
      <c r="AR212" s="2"/>
    </row>
    <row r="213" spans="5:44" ht="14.45" customHeight="1" x14ac:dyDescent="0.25">
      <c r="E213" s="2"/>
      <c r="F213" s="12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36">
        <v>1701</v>
      </c>
      <c r="Z213" s="36"/>
      <c r="AA213" s="36"/>
      <c r="AB213" s="36" t="s">
        <v>3</v>
      </c>
      <c r="AC213" s="37"/>
      <c r="AD213" s="2"/>
      <c r="AE213" s="3"/>
      <c r="AF213" s="2"/>
      <c r="AG213" s="36">
        <v>1785</v>
      </c>
      <c r="AH213" s="36"/>
      <c r="AI213" s="36"/>
      <c r="AJ213" s="36" t="s">
        <v>3</v>
      </c>
      <c r="AK213" s="37"/>
      <c r="AL213" s="3"/>
      <c r="AM213" s="2"/>
      <c r="AN213" s="24" t="s">
        <v>55</v>
      </c>
      <c r="AO213" s="24" t="s">
        <v>56</v>
      </c>
      <c r="AP213" s="5">
        <f>(COUNTIF($I$195:$I$289,"=*"&amp;AO213&amp;"*")+COUNTIF($Q$195:$Q$289,"=*"&amp;AO213&amp;"*")+COUNTIF($AG$195:$AG$289,"=*"&amp;AO213&amp;"*")+COUNTIF($Y$195:$Y304,"=*"&amp;AO213&amp;"*"))*2</f>
        <v>0</v>
      </c>
      <c r="AQ213" s="5">
        <f t="shared" si="9"/>
        <v>0</v>
      </c>
      <c r="AR213" s="2"/>
    </row>
    <row r="214" spans="5:44" ht="14.45" customHeight="1" x14ac:dyDescent="0.25">
      <c r="E214" s="2"/>
      <c r="F214" s="12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6" t="s">
        <v>4</v>
      </c>
      <c r="Z214" s="26"/>
      <c r="AA214" s="26"/>
      <c r="AB214" s="26" t="s">
        <v>5</v>
      </c>
      <c r="AC214" s="26"/>
      <c r="AD214" s="26"/>
      <c r="AE214" s="3"/>
      <c r="AF214" s="2"/>
      <c r="AG214" s="26" t="s">
        <v>4</v>
      </c>
      <c r="AH214" s="26"/>
      <c r="AI214" s="26"/>
      <c r="AJ214" s="26" t="s">
        <v>5</v>
      </c>
      <c r="AK214" s="26"/>
      <c r="AL214" s="3"/>
      <c r="AM214" s="2"/>
      <c r="AN214" s="35" t="s">
        <v>57</v>
      </c>
      <c r="AO214" s="35" t="s">
        <v>16</v>
      </c>
      <c r="AP214" s="5">
        <f>(COUNTIF($I$195:$I$289,"=*"&amp;AO214&amp;"*")+COUNTIF($Q$195:$Q$289,"=*"&amp;AO214&amp;"*")+COUNTIF($AG$195:$AG$289,"=*"&amp;AO214&amp;"*")+COUNTIF($Y$195:$Y305,"=*"&amp;AO214&amp;"*"))*2</f>
        <v>56</v>
      </c>
      <c r="AQ214" s="5">
        <f t="shared" si="9"/>
        <v>50</v>
      </c>
      <c r="AR214" s="2"/>
    </row>
    <row r="215" spans="5:44" ht="14.45" customHeight="1" x14ac:dyDescent="0.25">
      <c r="E215" s="2"/>
      <c r="F215" s="12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7">
        <v>1701</v>
      </c>
      <c r="Z215" s="27" t="s">
        <v>7</v>
      </c>
      <c r="AA215" s="2"/>
      <c r="AB215" s="27">
        <v>1701</v>
      </c>
      <c r="AC215" s="27" t="s">
        <v>7</v>
      </c>
      <c r="AD215" s="28"/>
      <c r="AE215" s="3"/>
      <c r="AF215" s="2"/>
      <c r="AG215" s="27">
        <v>1785</v>
      </c>
      <c r="AH215" s="27" t="s">
        <v>7</v>
      </c>
      <c r="AI215" s="29"/>
      <c r="AJ215" s="27">
        <v>1785</v>
      </c>
      <c r="AK215" s="27" t="s">
        <v>7</v>
      </c>
      <c r="AL215" s="3"/>
      <c r="AM215" s="2"/>
      <c r="AN215" s="4" t="s">
        <v>58</v>
      </c>
      <c r="AO215" s="4" t="s">
        <v>59</v>
      </c>
      <c r="AP215" s="5">
        <f>(COUNTIF($I$195:$I$289,"=*"&amp;AO215&amp;"*")+COUNTIF($Q$195:$Q$289,"=*"&amp;AO215&amp;"*")+COUNTIF($AG$195:$AG$289,"=*"&amp;AO215&amp;"*")+COUNTIF($Y$195:$Y306,"=*"&amp;AO215&amp;"*"))*2</f>
        <v>2</v>
      </c>
      <c r="AQ215" s="5">
        <f t="shared" si="9"/>
        <v>2</v>
      </c>
      <c r="AR215" s="2"/>
    </row>
    <row r="216" spans="5:44" ht="14.45" customHeight="1" x14ac:dyDescent="0.25">
      <c r="E216" s="2"/>
      <c r="F216" s="125"/>
      <c r="G216" s="2"/>
      <c r="H216" s="2" t="s">
        <v>12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12</v>
      </c>
      <c r="Y216" s="70" t="s">
        <v>16</v>
      </c>
      <c r="Z216" s="32" t="s">
        <v>17</v>
      </c>
      <c r="AA216" s="2"/>
      <c r="AB216" s="70" t="s">
        <v>16</v>
      </c>
      <c r="AC216" s="32" t="s">
        <v>17</v>
      </c>
      <c r="AD216" s="2"/>
      <c r="AE216" s="3"/>
      <c r="AF216" s="2" t="s">
        <v>12</v>
      </c>
      <c r="AG216" s="70" t="s">
        <v>16</v>
      </c>
      <c r="AH216" s="32" t="s">
        <v>17</v>
      </c>
      <c r="AI216" s="2"/>
      <c r="AJ216" s="70" t="s">
        <v>16</v>
      </c>
      <c r="AK216" s="32" t="s">
        <v>17</v>
      </c>
      <c r="AL216" s="3"/>
      <c r="AM216" s="2"/>
      <c r="AN216" s="4" t="s">
        <v>60</v>
      </c>
      <c r="AO216" s="4" t="s">
        <v>61</v>
      </c>
      <c r="AP216" s="5">
        <f>(COUNTIF($I$195:$I$289,"=*"&amp;AO216&amp;"*")+COUNTIF($Q$195:$Q$289,"=*"&amp;AO216&amp;"*")+COUNTIF($AG$195:$AG$289,"=*"&amp;AO216&amp;"*")+COUNTIF($Y$195:$Y307,"=*"&amp;AO216&amp;"*"))*2</f>
        <v>6</v>
      </c>
      <c r="AQ216" s="5">
        <f t="shared" si="9"/>
        <v>6</v>
      </c>
      <c r="AR216" s="2"/>
    </row>
    <row r="217" spans="5:44" ht="14.45" customHeight="1" x14ac:dyDescent="0.25">
      <c r="E217" s="2"/>
      <c r="F217" s="125"/>
      <c r="G217" s="2"/>
      <c r="H217" s="2" t="s">
        <v>20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20</v>
      </c>
      <c r="Y217" s="70" t="s">
        <v>16</v>
      </c>
      <c r="Z217" s="32" t="s">
        <v>17</v>
      </c>
      <c r="AA217" s="2"/>
      <c r="AB217" s="70" t="s">
        <v>16</v>
      </c>
      <c r="AC217" s="32" t="s">
        <v>17</v>
      </c>
      <c r="AD217" s="2"/>
      <c r="AE217" s="3"/>
      <c r="AF217" s="2" t="s">
        <v>20</v>
      </c>
      <c r="AG217" s="70" t="s">
        <v>16</v>
      </c>
      <c r="AH217" s="32" t="s">
        <v>17</v>
      </c>
      <c r="AI217" s="2"/>
      <c r="AJ217" s="70" t="s">
        <v>16</v>
      </c>
      <c r="AK217" s="32" t="s">
        <v>17</v>
      </c>
      <c r="AL217" s="3"/>
      <c r="AM217" s="2"/>
      <c r="AN217" s="4" t="s">
        <v>62</v>
      </c>
      <c r="AO217" s="4" t="s">
        <v>62</v>
      </c>
      <c r="AP217" s="5">
        <f>(COUNTIF($I$195:$I$289,"=*"&amp;AO217&amp;"*")+COUNTIF($Q$195:$Q$289,"=*"&amp;AO217&amp;"*")+COUNTIF($AG$195:$AG$289,"=*"&amp;AO217&amp;"*")+COUNTIF($Y$195:$Y308,"=*"&amp;AO217&amp;"*"))*2</f>
        <v>0</v>
      </c>
      <c r="AQ217" s="5">
        <f t="shared" si="9"/>
        <v>0</v>
      </c>
      <c r="AR217" s="2"/>
    </row>
    <row r="218" spans="5:44" ht="14.45" customHeight="1" x14ac:dyDescent="0.25">
      <c r="E218" s="2"/>
      <c r="F218" s="125"/>
      <c r="G218" s="2"/>
      <c r="H218" s="2" t="s">
        <v>24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24</v>
      </c>
      <c r="Y218" s="70" t="s">
        <v>16</v>
      </c>
      <c r="Z218" s="32" t="s">
        <v>17</v>
      </c>
      <c r="AA218" s="2"/>
      <c r="AB218" s="70" t="s">
        <v>16</v>
      </c>
      <c r="AC218" s="32" t="s">
        <v>17</v>
      </c>
      <c r="AD218" s="2"/>
      <c r="AE218" s="3"/>
      <c r="AF218" s="2" t="s">
        <v>24</v>
      </c>
      <c r="AG218" s="70" t="s">
        <v>16</v>
      </c>
      <c r="AH218" s="32" t="s">
        <v>17</v>
      </c>
      <c r="AI218" s="2"/>
      <c r="AJ218" s="70" t="s">
        <v>16</v>
      </c>
      <c r="AK218" s="32" t="s">
        <v>17</v>
      </c>
      <c r="AL218" s="3"/>
      <c r="AM218" s="2"/>
      <c r="AN218" s="4" t="s">
        <v>62</v>
      </c>
      <c r="AO218" s="4" t="s">
        <v>62</v>
      </c>
      <c r="AP218" s="5">
        <f>(COUNTIF($I$195:$I$289,"=*"&amp;AO218&amp;"*")+COUNTIF($Q$195:$Q$289,"=*"&amp;AO218&amp;"*")+COUNTIF($AG$195:$AG$289,"=*"&amp;AO218&amp;"*")+COUNTIF($Y$195:$Y309,"=*"&amp;AO218&amp;"*"))*2</f>
        <v>0</v>
      </c>
      <c r="AQ218" s="5">
        <f t="shared" si="9"/>
        <v>0</v>
      </c>
      <c r="AR218" s="2"/>
    </row>
    <row r="219" spans="5:44" ht="14.45" customHeight="1" x14ac:dyDescent="0.25">
      <c r="E219" s="2"/>
      <c r="F219" s="125"/>
      <c r="G219" s="2"/>
      <c r="H219" s="2" t="s">
        <v>28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28</v>
      </c>
      <c r="Y219" s="70" t="s">
        <v>16</v>
      </c>
      <c r="Z219" s="32" t="s">
        <v>17</v>
      </c>
      <c r="AA219" s="2"/>
      <c r="AB219" s="70" t="s">
        <v>16</v>
      </c>
      <c r="AC219" s="32" t="s">
        <v>17</v>
      </c>
      <c r="AD219" s="2"/>
      <c r="AE219" s="3"/>
      <c r="AF219" s="2" t="s">
        <v>28</v>
      </c>
      <c r="AG219" s="70" t="s">
        <v>16</v>
      </c>
      <c r="AH219" s="32" t="s">
        <v>17</v>
      </c>
      <c r="AI219" s="2"/>
      <c r="AJ219" s="70" t="s">
        <v>16</v>
      </c>
      <c r="AK219" s="32" t="s">
        <v>17</v>
      </c>
      <c r="AL219" s="3"/>
      <c r="AM219" s="2"/>
      <c r="AN219" s="4" t="s">
        <v>62</v>
      </c>
      <c r="AO219" s="4" t="s">
        <v>62</v>
      </c>
      <c r="AP219" s="5">
        <f>(COUNTIF($I$195:$I$289,"=*"&amp;AO219&amp;"*")+COUNTIF($Q$195:$Q$289,"=*"&amp;AO219&amp;"*")+COUNTIF($AG$195:$AG$289,"=*"&amp;AO219&amp;"*")+COUNTIF($Y$195:$Y310,"=*"&amp;AO219&amp;"*"))*2</f>
        <v>0</v>
      </c>
      <c r="AQ219" s="5">
        <f t="shared" si="9"/>
        <v>0</v>
      </c>
      <c r="AR219" s="2"/>
    </row>
    <row r="220" spans="5:44" ht="14.45" customHeight="1" x14ac:dyDescent="0.25">
      <c r="E220" s="2"/>
      <c r="F220" s="125"/>
      <c r="G220" s="2"/>
      <c r="H220" s="2" t="s">
        <v>32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32</v>
      </c>
      <c r="Y220" s="70" t="s">
        <v>16</v>
      </c>
      <c r="Z220" s="32" t="s">
        <v>17</v>
      </c>
      <c r="AA220" s="2"/>
      <c r="AB220" s="70" t="s">
        <v>16</v>
      </c>
      <c r="AC220" s="32" t="s">
        <v>17</v>
      </c>
      <c r="AD220" s="2"/>
      <c r="AE220" s="3"/>
      <c r="AF220" s="2" t="s">
        <v>32</v>
      </c>
      <c r="AG220" s="70" t="s">
        <v>16</v>
      </c>
      <c r="AH220" s="32" t="s">
        <v>17</v>
      </c>
      <c r="AI220" s="2"/>
      <c r="AJ220" s="70" t="s">
        <v>16</v>
      </c>
      <c r="AK220" s="32" t="s">
        <v>17</v>
      </c>
      <c r="AL220" s="3"/>
      <c r="AM220" s="2"/>
      <c r="AN220" s="4" t="s">
        <v>62</v>
      </c>
      <c r="AO220" s="4" t="s">
        <v>62</v>
      </c>
      <c r="AP220" s="5">
        <f>(COUNTIF($I$195:$I$289,"=*"&amp;AO220&amp;"*")+COUNTIF($Q$195:$Q$289,"=*"&amp;AO220&amp;"*")+COUNTIF($AG$195:$AG$289,"=*"&amp;AO220&amp;"*")+COUNTIF($Y$195:$Y311,"=*"&amp;AO220&amp;"*"))*2</f>
        <v>0</v>
      </c>
      <c r="AQ220" s="5">
        <f t="shared" si="9"/>
        <v>0</v>
      </c>
      <c r="AR220" s="2"/>
    </row>
    <row r="221" spans="5:44" ht="14.45" customHeight="1" x14ac:dyDescent="0.25">
      <c r="E221" s="2"/>
      <c r="F221" s="12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3"/>
      <c r="AF221" s="2"/>
      <c r="AG221" s="2"/>
      <c r="AH221" s="2"/>
      <c r="AI221" s="2"/>
      <c r="AJ221" s="2"/>
      <c r="AK221" s="2"/>
      <c r="AL221" s="3"/>
      <c r="AM221" s="2"/>
      <c r="AN221" s="4" t="s">
        <v>62</v>
      </c>
      <c r="AO221" s="4" t="s">
        <v>62</v>
      </c>
      <c r="AP221" s="5">
        <f>(COUNTIF($I$195:$I$289,"=*"&amp;AO221&amp;"*")+COUNTIF($Q$195:$Q$289,"=*"&amp;AO221&amp;"*")+COUNTIF($AG$195:$AG$289,"=*"&amp;AO221&amp;"*")+COUNTIF($Y$195:$Y312,"=*"&amp;AO221&amp;"*"))*2</f>
        <v>0</v>
      </c>
      <c r="AQ221" s="5">
        <f t="shared" si="9"/>
        <v>0</v>
      </c>
      <c r="AR221" s="2"/>
    </row>
    <row r="222" spans="5:44" ht="14.45" customHeight="1" x14ac:dyDescent="0.25">
      <c r="E222" s="2"/>
      <c r="F222" s="12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36">
        <v>1439</v>
      </c>
      <c r="Z222" s="36"/>
      <c r="AA222" s="36"/>
      <c r="AB222" s="36" t="s">
        <v>63</v>
      </c>
      <c r="AC222" s="37"/>
      <c r="AD222" s="2"/>
      <c r="AE222" s="3"/>
      <c r="AF222" s="2"/>
      <c r="AG222" s="25">
        <v>1455</v>
      </c>
      <c r="AH222" s="25"/>
      <c r="AI222" s="25"/>
      <c r="AJ222" s="25" t="s">
        <v>63</v>
      </c>
      <c r="AK222" s="3"/>
      <c r="AL222" s="3"/>
      <c r="AM222" s="2"/>
      <c r="AN222" s="4" t="s">
        <v>62</v>
      </c>
      <c r="AO222" s="4" t="s">
        <v>62</v>
      </c>
      <c r="AP222" s="5">
        <f>(COUNTIF($I$195:$I$289,"=*"&amp;AO222&amp;"*")+COUNTIF($Q$195:$Q$289,"=*"&amp;AO222&amp;"*")+COUNTIF($AG$195:$AG$289,"=*"&amp;AO222&amp;"*")+COUNTIF($Y$195:$Y313,"=*"&amp;AO222&amp;"*"))*2</f>
        <v>0</v>
      </c>
      <c r="AQ222" s="5">
        <f t="shared" si="9"/>
        <v>0</v>
      </c>
      <c r="AR222" s="2"/>
    </row>
    <row r="223" spans="5:44" ht="14.45" customHeight="1" x14ac:dyDescent="0.25">
      <c r="E223" s="2"/>
      <c r="F223" s="12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6" t="s">
        <v>4</v>
      </c>
      <c r="Z223" s="26"/>
      <c r="AA223" s="26"/>
      <c r="AB223" s="26" t="s">
        <v>5</v>
      </c>
      <c r="AC223" s="26"/>
      <c r="AD223" s="26"/>
      <c r="AE223" s="3"/>
      <c r="AF223" s="2"/>
      <c r="AG223" s="26" t="s">
        <v>4</v>
      </c>
      <c r="AH223" s="26"/>
      <c r="AI223" s="26"/>
      <c r="AJ223" s="26" t="s">
        <v>5</v>
      </c>
      <c r="AK223" s="26"/>
      <c r="AL223" s="3"/>
      <c r="AM223" s="2"/>
      <c r="AN223" s="4" t="s">
        <v>64</v>
      </c>
      <c r="AO223" s="4" t="s">
        <v>64</v>
      </c>
      <c r="AP223" s="5">
        <f>(COUNTIF($I$195:$I$289,"=*"&amp;AO223&amp;"*")+COUNTIF($Q$195:$Q$289,"=*"&amp;AO223&amp;"*")+COUNTIF($AG$195:$AG$289,"=*"&amp;AO223&amp;"*")+COUNTIF($Y$195:$Y314,"=*"&amp;AO223&amp;"*"))*2</f>
        <v>10</v>
      </c>
      <c r="AQ223" s="5">
        <f t="shared" si="9"/>
        <v>10</v>
      </c>
      <c r="AR223" s="2"/>
    </row>
    <row r="224" spans="5:44" ht="14.45" customHeight="1" x14ac:dyDescent="0.25">
      <c r="E224" s="2"/>
      <c r="F224" s="12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7">
        <v>1439</v>
      </c>
      <c r="Z224" s="27" t="s">
        <v>7</v>
      </c>
      <c r="AA224" s="2"/>
      <c r="AB224" s="27">
        <v>1439</v>
      </c>
      <c r="AC224" s="27" t="s">
        <v>7</v>
      </c>
      <c r="AD224" s="28"/>
      <c r="AE224" s="3"/>
      <c r="AF224" s="2"/>
      <c r="AG224" s="27">
        <v>1455</v>
      </c>
      <c r="AH224" s="27" t="s">
        <v>7</v>
      </c>
      <c r="AI224" s="29"/>
      <c r="AJ224" s="27">
        <v>1455</v>
      </c>
      <c r="AK224" s="27" t="s">
        <v>7</v>
      </c>
      <c r="AL224" s="3"/>
      <c r="AM224" s="2"/>
      <c r="AN224" s="4" t="s">
        <v>65</v>
      </c>
      <c r="AO224" s="4" t="s">
        <v>66</v>
      </c>
      <c r="AP224" s="5">
        <f>(COUNTIF($I$195:$I$289,"=*"&amp;AO224&amp;"*")+COUNTIF($Q$195:$Q$289,"=*"&amp;AO224&amp;"*")+COUNTIF($AG$195:$AG$289,"=*"&amp;AO224&amp;"*")+COUNTIF($Y$195:$Y289,"=*"&amp;AO224&amp;"*"))*2</f>
        <v>64</v>
      </c>
      <c r="AQ224" s="5">
        <f t="shared" si="9"/>
        <v>64</v>
      </c>
      <c r="AR224" s="2"/>
    </row>
    <row r="225" spans="5:44" ht="14.45" customHeight="1" x14ac:dyDescent="0.25">
      <c r="E225" s="2"/>
      <c r="F225" s="125"/>
      <c r="G225" s="2"/>
      <c r="H225" s="2" t="s">
        <v>12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12</v>
      </c>
      <c r="Y225" t="s">
        <v>66</v>
      </c>
      <c r="Z225" s="32" t="s">
        <v>67</v>
      </c>
      <c r="AA225" s="2"/>
      <c r="AB225" t="s">
        <v>66</v>
      </c>
      <c r="AC225" s="32" t="s">
        <v>67</v>
      </c>
      <c r="AD225" s="2"/>
      <c r="AE225" s="3"/>
      <c r="AF225" s="2" t="s">
        <v>12</v>
      </c>
      <c r="AG225" t="s">
        <v>66</v>
      </c>
      <c r="AH225" s="32" t="s">
        <v>67</v>
      </c>
      <c r="AI225" s="2"/>
      <c r="AJ225" t="s">
        <v>66</v>
      </c>
      <c r="AK225" s="32" t="s">
        <v>67</v>
      </c>
      <c r="AL225" s="3"/>
      <c r="AM225" s="2"/>
      <c r="AN225" s="4" t="s">
        <v>68</v>
      </c>
      <c r="AO225" s="4" t="s">
        <v>68</v>
      </c>
      <c r="AP225" s="5">
        <f>(COUNTIF($I$195:$I$289,"=*"&amp;AO225&amp;"*")+COUNTIF($Q$195:$Q$289,"=*"&amp;AO225&amp;"*")+COUNTIF($AG$195:$AG$289,"=*"&amp;AO225&amp;"*")+COUNTIF($Y$195:$Y316,"=*"&amp;AO225&amp;"*"))*2</f>
        <v>0</v>
      </c>
      <c r="AQ225" s="5">
        <f t="shared" si="9"/>
        <v>0</v>
      </c>
      <c r="AR225" s="2"/>
    </row>
    <row r="226" spans="5:44" ht="14.45" customHeight="1" x14ac:dyDescent="0.25">
      <c r="E226" s="2"/>
      <c r="F226" s="125"/>
      <c r="G226" s="2"/>
      <c r="H226" s="2" t="s">
        <v>20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20</v>
      </c>
      <c r="Y226" t="s">
        <v>66</v>
      </c>
      <c r="Z226" s="32" t="s">
        <v>67</v>
      </c>
      <c r="AA226" s="2"/>
      <c r="AB226" t="s">
        <v>66</v>
      </c>
      <c r="AC226" s="32" t="s">
        <v>67</v>
      </c>
      <c r="AD226" s="2"/>
      <c r="AE226" s="3"/>
      <c r="AF226" s="2" t="s">
        <v>20</v>
      </c>
      <c r="AG226" t="s">
        <v>66</v>
      </c>
      <c r="AH226" s="32" t="s">
        <v>67</v>
      </c>
      <c r="AI226" s="2"/>
      <c r="AJ226" t="s">
        <v>66</v>
      </c>
      <c r="AK226" s="32" t="s">
        <v>67</v>
      </c>
      <c r="AL226" s="3"/>
      <c r="AM226" s="2"/>
      <c r="AN226" s="4"/>
      <c r="AO226" s="4" t="s">
        <v>69</v>
      </c>
      <c r="AP226" s="5">
        <f>+SUM(AP198:AP225)</f>
        <v>186</v>
      </c>
      <c r="AQ226" s="5">
        <f>+SUM(AQ198:AQ225)</f>
        <v>180</v>
      </c>
      <c r="AR226" s="2"/>
    </row>
    <row r="227" spans="5:44" ht="14.45" customHeight="1" x14ac:dyDescent="0.25">
      <c r="E227" s="2"/>
      <c r="F227" s="125"/>
      <c r="G227" s="2"/>
      <c r="H227" s="2" t="s">
        <v>24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24</v>
      </c>
      <c r="Y227" t="s">
        <v>66</v>
      </c>
      <c r="Z227" s="32" t="s">
        <v>67</v>
      </c>
      <c r="AA227" s="2"/>
      <c r="AB227" t="s">
        <v>66</v>
      </c>
      <c r="AC227" s="32" t="s">
        <v>67</v>
      </c>
      <c r="AD227" s="2"/>
      <c r="AE227" s="3"/>
      <c r="AF227" s="2" t="s">
        <v>24</v>
      </c>
      <c r="AG227" t="s">
        <v>66</v>
      </c>
      <c r="AH227" s="32" t="s">
        <v>67</v>
      </c>
      <c r="AI227" s="2"/>
      <c r="AJ227" t="s">
        <v>66</v>
      </c>
      <c r="AK227" s="32" t="s">
        <v>67</v>
      </c>
      <c r="AL227" s="3"/>
      <c r="AM227" s="2"/>
      <c r="AN227" s="2"/>
      <c r="AO227" s="2"/>
      <c r="AP227" s="2"/>
      <c r="AQ227" s="2"/>
      <c r="AR227" s="2"/>
    </row>
    <row r="228" spans="5:44" ht="14.45" customHeight="1" x14ac:dyDescent="0.25">
      <c r="E228" s="2"/>
      <c r="F228" s="125"/>
      <c r="G228" s="2"/>
      <c r="H228" s="2" t="s">
        <v>28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28</v>
      </c>
      <c r="Y228" t="s">
        <v>66</v>
      </c>
      <c r="Z228" s="32" t="s">
        <v>67</v>
      </c>
      <c r="AA228" s="2"/>
      <c r="AB228" t="s">
        <v>66</v>
      </c>
      <c r="AC228" s="32" t="s">
        <v>67</v>
      </c>
      <c r="AD228" s="2"/>
      <c r="AE228" s="3"/>
      <c r="AF228" s="2" t="s">
        <v>28</v>
      </c>
      <c r="AG228" t="s">
        <v>66</v>
      </c>
      <c r="AH228" s="32" t="s">
        <v>67</v>
      </c>
      <c r="AI228" s="2"/>
      <c r="AJ228" t="s">
        <v>66</v>
      </c>
      <c r="AK228" s="32" t="s">
        <v>67</v>
      </c>
      <c r="AL228" s="3"/>
      <c r="AM228" s="2"/>
      <c r="AN228" s="2"/>
      <c r="AO228" s="2"/>
      <c r="AP228" s="2"/>
      <c r="AQ228" s="2"/>
      <c r="AR228" s="2"/>
    </row>
    <row r="229" spans="5:44" ht="14.45" customHeight="1" x14ac:dyDescent="0.25">
      <c r="E229" s="2"/>
      <c r="F229" s="125"/>
      <c r="G229" s="2"/>
      <c r="H229" s="2" t="s">
        <v>32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32</v>
      </c>
      <c r="Y229" t="s">
        <v>66</v>
      </c>
      <c r="Z229" s="32" t="s">
        <v>67</v>
      </c>
      <c r="AA229" s="2"/>
      <c r="AB229" t="s">
        <v>66</v>
      </c>
      <c r="AC229" s="32" t="s">
        <v>67</v>
      </c>
      <c r="AD229" s="2"/>
      <c r="AE229" s="3"/>
      <c r="AF229" s="2" t="s">
        <v>32</v>
      </c>
      <c r="AG229" t="s">
        <v>66</v>
      </c>
      <c r="AH229" s="32" t="s">
        <v>67</v>
      </c>
      <c r="AI229" s="2"/>
      <c r="AJ229" t="s">
        <v>66</v>
      </c>
      <c r="AK229" s="32" t="s">
        <v>67</v>
      </c>
      <c r="AL229" s="3"/>
      <c r="AM229" s="2"/>
      <c r="AN229" s="2"/>
      <c r="AO229" s="2"/>
      <c r="AP229" s="2"/>
      <c r="AQ229" s="2"/>
      <c r="AR229" s="2"/>
    </row>
    <row r="230" spans="5:44" ht="14.45" customHeight="1" x14ac:dyDescent="0.25">
      <c r="E230" s="2"/>
      <c r="F230" s="12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3"/>
      <c r="AF230" s="2"/>
      <c r="AG230" s="2"/>
      <c r="AH230" s="2"/>
      <c r="AI230" s="2"/>
      <c r="AJ230" s="2"/>
      <c r="AK230" s="2"/>
      <c r="AL230" s="3"/>
      <c r="AM230" s="2"/>
      <c r="AN230" s="2"/>
      <c r="AO230" s="2"/>
      <c r="AP230" s="2"/>
      <c r="AQ230" s="2"/>
      <c r="AR230" s="2"/>
    </row>
    <row r="231" spans="5:44" ht="14.45" customHeight="1" x14ac:dyDescent="0.25">
      <c r="E231" s="2"/>
      <c r="F231" s="125"/>
      <c r="G231" s="2"/>
      <c r="H231" s="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2"/>
      <c r="AN231" s="2"/>
      <c r="AO231" s="2"/>
      <c r="AP231" s="2"/>
      <c r="AQ231" s="2"/>
      <c r="AR231" s="2"/>
    </row>
    <row r="232" spans="5:44" ht="14.45" customHeight="1" x14ac:dyDescent="0.25">
      <c r="E232" s="2"/>
      <c r="F232" s="125"/>
      <c r="G232" s="2"/>
      <c r="H232" s="2"/>
      <c r="I232" s="2"/>
      <c r="J232" s="2"/>
      <c r="K232" s="2"/>
      <c r="L232" s="2"/>
      <c r="M232" s="2"/>
      <c r="N232" s="2"/>
      <c r="O232" s="3"/>
      <c r="P232" s="2"/>
      <c r="Q232" s="2"/>
      <c r="R232" s="2"/>
      <c r="S232" s="2"/>
      <c r="T232" s="2"/>
      <c r="U232" s="2"/>
      <c r="V232" s="2"/>
      <c r="W232" s="3"/>
      <c r="X232" s="2"/>
      <c r="Y232" s="2"/>
      <c r="Z232" s="2"/>
      <c r="AA232" s="2"/>
      <c r="AB232" s="2"/>
      <c r="AC232" s="2"/>
      <c r="AD232" s="2"/>
      <c r="AE232" s="3"/>
      <c r="AF232" s="2"/>
      <c r="AG232" s="2"/>
      <c r="AH232" s="2"/>
      <c r="AI232" s="2"/>
      <c r="AJ232" s="2"/>
      <c r="AK232" s="2"/>
      <c r="AL232" s="3"/>
      <c r="AM232" s="2"/>
      <c r="AN232" s="2"/>
      <c r="AO232" s="2"/>
      <c r="AP232" s="2"/>
      <c r="AQ232" s="2"/>
      <c r="AR232" s="2"/>
    </row>
    <row r="233" spans="5:44" ht="14.45" customHeight="1" x14ac:dyDescent="0.25">
      <c r="E233" s="2"/>
      <c r="F233" s="125"/>
      <c r="G233" s="2"/>
      <c r="H233" s="2"/>
      <c r="I233" s="25">
        <v>2930</v>
      </c>
      <c r="J233" s="25"/>
      <c r="K233" s="25"/>
      <c r="L233" s="25" t="s">
        <v>63</v>
      </c>
      <c r="M233" s="3"/>
      <c r="N233" s="2"/>
      <c r="O233" s="3"/>
      <c r="P233" s="2"/>
      <c r="Q233" s="25"/>
      <c r="R233" s="25"/>
      <c r="S233" s="25"/>
      <c r="T233" s="25"/>
      <c r="U233" s="3"/>
      <c r="V233" s="2"/>
      <c r="W233" s="3"/>
      <c r="X233" s="2"/>
      <c r="Y233" s="25"/>
      <c r="Z233" s="25"/>
      <c r="AA233" s="25"/>
      <c r="AB233" s="25"/>
      <c r="AC233" s="3"/>
      <c r="AD233" s="2"/>
      <c r="AE233" s="3"/>
      <c r="AF233" s="2"/>
      <c r="AG233" s="25"/>
      <c r="AH233" s="25"/>
      <c r="AI233" s="25"/>
      <c r="AJ233" s="25"/>
      <c r="AK233" s="3"/>
      <c r="AL233" s="3"/>
      <c r="AM233" s="2"/>
      <c r="AN233" s="2"/>
      <c r="AO233" s="2"/>
      <c r="AP233" s="2"/>
      <c r="AQ233" s="2"/>
      <c r="AR233" s="2"/>
    </row>
    <row r="234" spans="5:44" ht="14.45" customHeight="1" x14ac:dyDescent="0.25">
      <c r="E234" s="2"/>
      <c r="F234" s="125"/>
      <c r="G234" s="2"/>
      <c r="H234" s="2"/>
      <c r="I234" s="26" t="s">
        <v>4</v>
      </c>
      <c r="J234" s="26"/>
      <c r="K234" s="26"/>
      <c r="L234" s="26" t="s">
        <v>5</v>
      </c>
      <c r="M234" s="26"/>
      <c r="N234" s="2"/>
      <c r="O234" s="3"/>
      <c r="P234" s="2"/>
      <c r="Q234" s="26"/>
      <c r="R234" s="26"/>
      <c r="S234" s="26"/>
      <c r="T234" s="26"/>
      <c r="U234" s="26"/>
      <c r="V234" s="2"/>
      <c r="W234" s="3"/>
      <c r="X234" s="2"/>
      <c r="Y234" s="26"/>
      <c r="Z234" s="26"/>
      <c r="AA234" s="26"/>
      <c r="AB234" s="26"/>
      <c r="AC234" s="26"/>
      <c r="AD234" s="26"/>
      <c r="AE234" s="3"/>
      <c r="AF234" s="2"/>
      <c r="AG234" s="26"/>
      <c r="AH234" s="26"/>
      <c r="AI234" s="26"/>
      <c r="AJ234" s="26"/>
      <c r="AK234" s="26"/>
      <c r="AL234" s="3"/>
      <c r="AM234" s="2"/>
      <c r="AN234" s="2"/>
      <c r="AO234" s="2"/>
      <c r="AP234" s="2"/>
      <c r="AQ234" s="2"/>
      <c r="AR234" s="2"/>
    </row>
    <row r="235" spans="5:44" ht="14.45" customHeight="1" x14ac:dyDescent="0.25">
      <c r="E235" s="2"/>
      <c r="F235" s="125"/>
      <c r="G235" s="2"/>
      <c r="H235" s="2"/>
      <c r="I235" s="27">
        <v>2930</v>
      </c>
      <c r="J235" s="27" t="s">
        <v>7</v>
      </c>
      <c r="K235" s="2"/>
      <c r="L235" s="27">
        <v>2930</v>
      </c>
      <c r="M235" s="27" t="s">
        <v>7</v>
      </c>
      <c r="N235" s="2"/>
      <c r="O235" s="3"/>
      <c r="P235" s="2"/>
      <c r="Q235" s="27"/>
      <c r="R235" s="27"/>
      <c r="S235" s="2"/>
      <c r="T235" s="27"/>
      <c r="U235" s="27"/>
      <c r="V235" s="2"/>
      <c r="W235" s="3"/>
      <c r="X235" s="2"/>
      <c r="Y235" s="27"/>
      <c r="Z235" s="27"/>
      <c r="AA235" s="2"/>
      <c r="AB235" s="27"/>
      <c r="AC235" s="27"/>
      <c r="AD235" s="28"/>
      <c r="AE235" s="3"/>
      <c r="AF235" s="2"/>
      <c r="AG235" s="27"/>
      <c r="AH235" s="27"/>
      <c r="AI235" s="29"/>
      <c r="AJ235" s="27"/>
      <c r="AK235" s="27"/>
      <c r="AL235" s="3"/>
      <c r="AM235" s="2"/>
      <c r="AN235" s="2"/>
      <c r="AO235" s="2"/>
      <c r="AP235" s="2"/>
      <c r="AQ235" s="2"/>
      <c r="AR235" s="2"/>
    </row>
    <row r="236" spans="5:44" ht="14.45" customHeight="1" x14ac:dyDescent="0.25">
      <c r="E236" s="2"/>
      <c r="F236" s="125"/>
      <c r="G236" s="2"/>
      <c r="H236" s="2" t="s">
        <v>12</v>
      </c>
      <c r="I236" s="81" t="s">
        <v>31</v>
      </c>
      <c r="J236" s="32" t="s">
        <v>70</v>
      </c>
      <c r="K236" s="2"/>
      <c r="L236" s="81" t="s">
        <v>31</v>
      </c>
      <c r="M236" s="32" t="s">
        <v>70</v>
      </c>
      <c r="N236" s="2"/>
      <c r="O236" s="3"/>
      <c r="P236" s="2" t="s">
        <v>12</v>
      </c>
      <c r="R236" s="32"/>
      <c r="S236" s="2"/>
      <c r="U236" s="32"/>
      <c r="V236" s="2"/>
      <c r="W236" s="3"/>
      <c r="X236" s="2" t="s">
        <v>12</v>
      </c>
      <c r="Z236" s="32"/>
      <c r="AA236" s="2"/>
      <c r="AC236" s="32"/>
      <c r="AD236" s="2"/>
      <c r="AE236" s="3"/>
      <c r="AF236" s="2" t="s">
        <v>12</v>
      </c>
      <c r="AH236" s="32"/>
      <c r="AI236" s="2"/>
      <c r="AK236" s="32"/>
      <c r="AL236" s="3"/>
      <c r="AM236" s="2"/>
      <c r="AN236" s="2"/>
      <c r="AO236" s="2"/>
      <c r="AP236" s="2"/>
      <c r="AQ236" s="2"/>
      <c r="AR236" s="2"/>
    </row>
    <row r="237" spans="5:44" ht="14.45" customHeight="1" x14ac:dyDescent="0.25">
      <c r="E237" s="2"/>
      <c r="F237" s="125"/>
      <c r="G237" s="2"/>
      <c r="H237" s="2" t="s">
        <v>20</v>
      </c>
      <c r="I237" s="81" t="s">
        <v>31</v>
      </c>
      <c r="J237" s="32" t="s">
        <v>70</v>
      </c>
      <c r="K237" s="2"/>
      <c r="L237" s="81" t="s">
        <v>31</v>
      </c>
      <c r="M237" s="32" t="s">
        <v>70</v>
      </c>
      <c r="N237" s="2"/>
      <c r="O237" s="3"/>
      <c r="P237" s="2" t="s">
        <v>20</v>
      </c>
      <c r="R237" s="32"/>
      <c r="S237" s="2"/>
      <c r="U237" s="32"/>
      <c r="V237" s="2"/>
      <c r="W237" s="3"/>
      <c r="X237" s="2" t="s">
        <v>20</v>
      </c>
      <c r="Z237" s="32"/>
      <c r="AA237" s="2"/>
      <c r="AC237" s="32"/>
      <c r="AD237" s="2"/>
      <c r="AE237" s="3"/>
      <c r="AF237" s="2" t="s">
        <v>20</v>
      </c>
      <c r="AH237" s="32"/>
      <c r="AI237" s="2"/>
      <c r="AK237" s="32"/>
      <c r="AL237" s="3"/>
      <c r="AM237" s="2"/>
      <c r="AN237" s="2"/>
      <c r="AO237" s="12" t="s">
        <v>71</v>
      </c>
      <c r="AP237" s="5">
        <f>(COUNTIF($I$198:$I$285,"=*"&amp;AO237&amp;"*")+COUNTIF($Q$198:$Q$285,"=*"&amp;AO237&amp;"*")+COUNTIF($AG$198:$AG$285,"=*"&amp;AO237&amp;"*")+COUNTIF($Y$198:$Y$285,"=*"&amp;AO237&amp;"*"))*2</f>
        <v>8</v>
      </c>
      <c r="AQ237" s="2"/>
      <c r="AR237" s="2"/>
    </row>
    <row r="238" spans="5:44" ht="14.45" customHeight="1" x14ac:dyDescent="0.25">
      <c r="E238" s="2"/>
      <c r="F238" s="125"/>
      <c r="G238" s="2"/>
      <c r="H238" s="2" t="s">
        <v>24</v>
      </c>
      <c r="I238" s="81" t="s">
        <v>31</v>
      </c>
      <c r="J238" s="32" t="s">
        <v>70</v>
      </c>
      <c r="K238" s="2"/>
      <c r="L238" s="81" t="s">
        <v>31</v>
      </c>
      <c r="M238" s="32" t="s">
        <v>70</v>
      </c>
      <c r="N238" s="2"/>
      <c r="O238" s="3"/>
      <c r="P238" s="2" t="s">
        <v>24</v>
      </c>
      <c r="R238" s="32"/>
      <c r="S238" s="2"/>
      <c r="U238" s="32"/>
      <c r="V238" s="2"/>
      <c r="W238" s="3"/>
      <c r="X238" s="2" t="s">
        <v>24</v>
      </c>
      <c r="Z238" s="32"/>
      <c r="AA238" s="2"/>
      <c r="AC238" s="32"/>
      <c r="AD238" s="2"/>
      <c r="AE238" s="3"/>
      <c r="AF238" s="2" t="s">
        <v>24</v>
      </c>
      <c r="AH238" s="32"/>
      <c r="AI238" s="2"/>
      <c r="AK238" s="32"/>
      <c r="AL238" s="3"/>
      <c r="AM238" s="2"/>
      <c r="AN238" s="2"/>
      <c r="AO238" s="12" t="s">
        <v>72</v>
      </c>
      <c r="AP238" s="5">
        <f t="shared" ref="AP238:AP247" si="10">(COUNTIF($I$198:$I$285,"=*"&amp;AO238&amp;"*")+COUNTIF($Q$198:$Q$285,"=*"&amp;AO238&amp;"*")+COUNTIF($AG$198:$AG$285,"=*"&amp;AO238&amp;"*")+COUNTIF($Y$198:$Y$285,"=*"&amp;AO238&amp;"*"))*2</f>
        <v>2</v>
      </c>
      <c r="AQ238" s="2"/>
      <c r="AR238" s="2"/>
    </row>
    <row r="239" spans="5:44" ht="14.45" customHeight="1" x14ac:dyDescent="0.25">
      <c r="E239" s="2"/>
      <c r="F239" s="125"/>
      <c r="G239" s="2"/>
      <c r="H239" s="2" t="s">
        <v>28</v>
      </c>
      <c r="I239" s="34" t="s">
        <v>73</v>
      </c>
      <c r="J239" s="32" t="s">
        <v>70</v>
      </c>
      <c r="K239" s="2"/>
      <c r="L239" s="34" t="s">
        <v>73</v>
      </c>
      <c r="M239" s="32" t="s">
        <v>70</v>
      </c>
      <c r="N239" s="2"/>
      <c r="O239" s="3"/>
      <c r="P239" s="2" t="s">
        <v>28</v>
      </c>
      <c r="R239" s="32"/>
      <c r="S239" s="2"/>
      <c r="U239" s="32"/>
      <c r="V239" s="2"/>
      <c r="W239" s="3"/>
      <c r="X239" s="2" t="s">
        <v>28</v>
      </c>
      <c r="Z239" s="32"/>
      <c r="AA239" s="2"/>
      <c r="AC239" s="32"/>
      <c r="AD239" s="2"/>
      <c r="AE239" s="3"/>
      <c r="AF239" s="2" t="s">
        <v>28</v>
      </c>
      <c r="AH239" s="32"/>
      <c r="AI239" s="2"/>
      <c r="AK239" s="32"/>
      <c r="AL239" s="3"/>
      <c r="AM239" s="2"/>
      <c r="AN239" s="2"/>
      <c r="AO239" s="23" t="s">
        <v>74</v>
      </c>
      <c r="AP239" s="5">
        <f t="shared" si="10"/>
        <v>0</v>
      </c>
      <c r="AQ239" s="2"/>
      <c r="AR239" s="2"/>
    </row>
    <row r="240" spans="5:44" ht="14.45" customHeight="1" x14ac:dyDescent="0.25">
      <c r="E240" s="2"/>
      <c r="F240" s="125"/>
      <c r="G240" s="2"/>
      <c r="H240" s="2" t="s">
        <v>32</v>
      </c>
      <c r="I240" s="34" t="s">
        <v>73</v>
      </c>
      <c r="J240" s="32" t="s">
        <v>70</v>
      </c>
      <c r="K240" s="2"/>
      <c r="L240" s="34" t="s">
        <v>73</v>
      </c>
      <c r="M240" s="32" t="s">
        <v>70</v>
      </c>
      <c r="N240" s="2"/>
      <c r="O240" s="3"/>
      <c r="P240" s="2" t="s">
        <v>32</v>
      </c>
      <c r="R240" s="32"/>
      <c r="S240" s="2"/>
      <c r="U240" s="32"/>
      <c r="V240" s="2"/>
      <c r="W240" s="3"/>
      <c r="X240" s="2" t="s">
        <v>32</v>
      </c>
      <c r="Z240" s="32"/>
      <c r="AA240" s="2"/>
      <c r="AC240" s="32"/>
      <c r="AD240" s="2"/>
      <c r="AE240" s="3"/>
      <c r="AF240" s="2" t="s">
        <v>32</v>
      </c>
      <c r="AH240" s="32"/>
      <c r="AI240" s="2"/>
      <c r="AK240" s="32"/>
      <c r="AL240" s="3"/>
      <c r="AM240" s="2"/>
      <c r="AN240" s="2"/>
      <c r="AO240" s="8" t="s">
        <v>93</v>
      </c>
      <c r="AP240" s="5">
        <f t="shared" si="10"/>
        <v>0</v>
      </c>
      <c r="AQ240" s="2"/>
      <c r="AR240" s="2"/>
    </row>
    <row r="241" spans="5:44" ht="14.45" customHeight="1" x14ac:dyDescent="0.25">
      <c r="E241" s="2"/>
      <c r="F241" s="125"/>
      <c r="G241" s="2"/>
      <c r="H241" s="2"/>
      <c r="I241" s="2"/>
      <c r="J241" s="2"/>
      <c r="K241" s="2"/>
      <c r="L241" s="2"/>
      <c r="M241" s="2"/>
      <c r="N241" s="2"/>
      <c r="O241" s="3"/>
      <c r="P241" s="2"/>
      <c r="Q241" s="2"/>
      <c r="R241" s="2"/>
      <c r="S241" s="2"/>
      <c r="T241" s="2"/>
      <c r="U241" s="2"/>
      <c r="V241" s="2"/>
      <c r="W241" s="3"/>
      <c r="X241" s="2"/>
      <c r="Y241" s="2"/>
      <c r="Z241" s="2"/>
      <c r="AA241" s="2"/>
      <c r="AB241" s="2"/>
      <c r="AC241" s="2"/>
      <c r="AD241" s="2"/>
      <c r="AE241" s="3"/>
      <c r="AF241" s="2"/>
      <c r="AG241" s="2"/>
      <c r="AH241" s="2"/>
      <c r="AI241" s="2"/>
      <c r="AJ241" s="2"/>
      <c r="AK241" s="2"/>
      <c r="AL241" s="3"/>
      <c r="AM241" s="2"/>
      <c r="AN241" s="2"/>
      <c r="AO241" s="10" t="s">
        <v>75</v>
      </c>
      <c r="AP241" s="5">
        <f t="shared" si="10"/>
        <v>0</v>
      </c>
      <c r="AQ241" s="2"/>
      <c r="AR241" s="2"/>
    </row>
    <row r="242" spans="5:44" ht="14.45" customHeight="1" x14ac:dyDescent="0.25">
      <c r="E242" s="2"/>
      <c r="F242" s="125"/>
      <c r="G242" s="2"/>
      <c r="H242" s="2"/>
      <c r="I242" s="25">
        <v>3415</v>
      </c>
      <c r="J242" s="25"/>
      <c r="K242" s="25"/>
      <c r="L242" s="25" t="s">
        <v>63</v>
      </c>
      <c r="M242" s="3"/>
      <c r="N242" s="2"/>
      <c r="O242" s="3"/>
      <c r="P242" s="2"/>
      <c r="Q242" s="36">
        <v>2989</v>
      </c>
      <c r="R242" s="36"/>
      <c r="S242" s="36"/>
      <c r="T242" s="36" t="s">
        <v>3</v>
      </c>
      <c r="U242" s="37"/>
      <c r="V242" s="2"/>
      <c r="W242" s="3"/>
      <c r="X242" s="2"/>
      <c r="Y242" s="25"/>
      <c r="Z242" s="25"/>
      <c r="AA242" s="25"/>
      <c r="AB242" s="25"/>
      <c r="AC242" s="3"/>
      <c r="AD242" s="2"/>
      <c r="AE242" s="3"/>
      <c r="AF242" s="2"/>
      <c r="AG242" s="25">
        <v>1852</v>
      </c>
      <c r="AH242" s="25"/>
      <c r="AI242" s="25"/>
      <c r="AJ242" s="25" t="s">
        <v>63</v>
      </c>
      <c r="AK242" s="3"/>
      <c r="AL242" s="3"/>
      <c r="AM242" s="2"/>
      <c r="AN242" s="2"/>
      <c r="AO242" s="10" t="s">
        <v>76</v>
      </c>
      <c r="AP242" s="5">
        <f t="shared" si="10"/>
        <v>0</v>
      </c>
      <c r="AQ242" s="2"/>
      <c r="AR242" s="2"/>
    </row>
    <row r="243" spans="5:44" ht="14.45" customHeight="1" x14ac:dyDescent="0.25">
      <c r="E243" s="2"/>
      <c r="F243" s="125"/>
      <c r="G243" s="2"/>
      <c r="H243" s="2"/>
      <c r="I243" s="26" t="s">
        <v>4</v>
      </c>
      <c r="J243" s="26"/>
      <c r="K243" s="26"/>
      <c r="L243" s="26" t="s">
        <v>5</v>
      </c>
      <c r="M243" s="26"/>
      <c r="N243" s="2"/>
      <c r="O243" s="3"/>
      <c r="P243" s="2"/>
      <c r="Q243" s="26" t="s">
        <v>4</v>
      </c>
      <c r="R243" s="26"/>
      <c r="S243" s="26"/>
      <c r="T243" s="26" t="s">
        <v>5</v>
      </c>
      <c r="U243" s="26"/>
      <c r="V243" s="2"/>
      <c r="W243" s="3"/>
      <c r="X243" s="2"/>
      <c r="Y243" s="26"/>
      <c r="Z243" s="26"/>
      <c r="AA243" s="26"/>
      <c r="AB243" s="26"/>
      <c r="AC243" s="26"/>
      <c r="AD243" s="26"/>
      <c r="AE243" s="3"/>
      <c r="AF243" s="2"/>
      <c r="AG243" s="26" t="s">
        <v>4</v>
      </c>
      <c r="AH243" s="26"/>
      <c r="AI243" s="26"/>
      <c r="AJ243" s="26" t="s">
        <v>5</v>
      </c>
      <c r="AK243" s="26"/>
      <c r="AL243" s="3"/>
      <c r="AM243" s="2"/>
      <c r="AN243" s="2"/>
      <c r="AO243" s="19" t="s">
        <v>77</v>
      </c>
      <c r="AP243" s="5">
        <f t="shared" si="10"/>
        <v>0</v>
      </c>
      <c r="AQ243" s="2"/>
      <c r="AR243" s="2"/>
    </row>
    <row r="244" spans="5:44" ht="14.45" customHeight="1" x14ac:dyDescent="0.25">
      <c r="E244" s="2"/>
      <c r="F244" s="125"/>
      <c r="G244" s="2"/>
      <c r="H244" s="2"/>
      <c r="I244" s="27">
        <v>3415</v>
      </c>
      <c r="J244" s="27" t="s">
        <v>7</v>
      </c>
      <c r="K244" s="2"/>
      <c r="L244" s="27">
        <v>3415</v>
      </c>
      <c r="M244" s="27" t="s">
        <v>7</v>
      </c>
      <c r="N244" s="2"/>
      <c r="O244" s="3"/>
      <c r="P244" s="2"/>
      <c r="Q244" s="27">
        <v>2989</v>
      </c>
      <c r="R244" s="27" t="s">
        <v>7</v>
      </c>
      <c r="S244" s="2"/>
      <c r="T244" s="27">
        <v>2989</v>
      </c>
      <c r="U244" s="27" t="s">
        <v>7</v>
      </c>
      <c r="V244" s="2"/>
      <c r="W244" s="3"/>
      <c r="X244" s="2"/>
      <c r="Y244" s="27"/>
      <c r="Z244" s="27"/>
      <c r="AA244" s="2"/>
      <c r="AB244" s="27"/>
      <c r="AC244" s="27"/>
      <c r="AD244" s="28"/>
      <c r="AE244" s="3"/>
      <c r="AF244" s="2"/>
      <c r="AG244" s="27">
        <v>1852</v>
      </c>
      <c r="AH244" s="27" t="s">
        <v>7</v>
      </c>
      <c r="AI244" s="29"/>
      <c r="AJ244" s="27">
        <v>1852</v>
      </c>
      <c r="AK244" s="27" t="s">
        <v>7</v>
      </c>
      <c r="AL244" s="3"/>
      <c r="AM244" s="2"/>
      <c r="AN244" s="2"/>
      <c r="AO244" s="16" t="s">
        <v>78</v>
      </c>
      <c r="AP244" s="5">
        <f t="shared" si="10"/>
        <v>0</v>
      </c>
      <c r="AQ244" s="2"/>
      <c r="AR244" s="2"/>
    </row>
    <row r="245" spans="5:44" ht="14.45" customHeight="1" x14ac:dyDescent="0.25">
      <c r="E245" s="2"/>
      <c r="F245" s="125"/>
      <c r="G245" s="2"/>
      <c r="H245" s="2" t="s">
        <v>12</v>
      </c>
      <c r="I245" s="81" t="s">
        <v>71</v>
      </c>
      <c r="J245" s="32" t="s">
        <v>70</v>
      </c>
      <c r="K245" s="2"/>
      <c r="L245" s="81" t="s">
        <v>71</v>
      </c>
      <c r="M245" s="32" t="s">
        <v>70</v>
      </c>
      <c r="N245" s="2"/>
      <c r="O245" s="3"/>
      <c r="P245" s="2" t="s">
        <v>12</v>
      </c>
      <c r="Q245" t="s">
        <v>66</v>
      </c>
      <c r="R245" s="32" t="s">
        <v>67</v>
      </c>
      <c r="S245" s="2"/>
      <c r="T245" t="s">
        <v>66</v>
      </c>
      <c r="U245" s="32" t="s">
        <v>67</v>
      </c>
      <c r="V245" s="2"/>
      <c r="W245" s="3"/>
      <c r="X245" s="2" t="s">
        <v>12</v>
      </c>
      <c r="Z245" s="32"/>
      <c r="AA245" s="2"/>
      <c r="AC245" s="32"/>
      <c r="AD245" s="2"/>
      <c r="AE245" s="3"/>
      <c r="AF245" s="2" t="s">
        <v>12</v>
      </c>
      <c r="AG245" t="s">
        <v>66</v>
      </c>
      <c r="AH245" s="32" t="s">
        <v>67</v>
      </c>
      <c r="AI245" s="2"/>
      <c r="AJ245" t="s">
        <v>66</v>
      </c>
      <c r="AK245" s="32" t="s">
        <v>67</v>
      </c>
      <c r="AL245" s="3"/>
      <c r="AM245" s="2"/>
      <c r="AN245" s="2"/>
      <c r="AO245" s="8" t="s">
        <v>80</v>
      </c>
      <c r="AP245" s="5">
        <f t="shared" si="10"/>
        <v>0</v>
      </c>
      <c r="AQ245" s="2"/>
      <c r="AR245" s="2"/>
    </row>
    <row r="246" spans="5:44" ht="14.45" customHeight="1" x14ac:dyDescent="0.25">
      <c r="E246" s="2"/>
      <c r="F246" s="125"/>
      <c r="G246" s="2"/>
      <c r="H246" s="2" t="s">
        <v>20</v>
      </c>
      <c r="I246" s="81" t="s">
        <v>71</v>
      </c>
      <c r="J246" s="32" t="s">
        <v>70</v>
      </c>
      <c r="K246" s="2"/>
      <c r="L246" s="81" t="s">
        <v>71</v>
      </c>
      <c r="M246" s="32" t="s">
        <v>70</v>
      </c>
      <c r="N246" s="2"/>
      <c r="O246" s="3"/>
      <c r="P246" s="2" t="s">
        <v>20</v>
      </c>
      <c r="Q246" t="s">
        <v>66</v>
      </c>
      <c r="R246" s="32" t="s">
        <v>67</v>
      </c>
      <c r="S246" s="2"/>
      <c r="T246" t="s">
        <v>66</v>
      </c>
      <c r="U246" s="32" t="s">
        <v>67</v>
      </c>
      <c r="V246" s="2"/>
      <c r="W246" s="3"/>
      <c r="X246" s="2" t="s">
        <v>20</v>
      </c>
      <c r="Z246" s="32"/>
      <c r="AA246" s="2"/>
      <c r="AC246" s="32"/>
      <c r="AD246" s="2"/>
      <c r="AE246" s="3"/>
      <c r="AF246" s="2" t="s">
        <v>20</v>
      </c>
      <c r="AG246" t="s">
        <v>66</v>
      </c>
      <c r="AH246" s="32" t="s">
        <v>67</v>
      </c>
      <c r="AI246" s="2"/>
      <c r="AJ246" t="s">
        <v>66</v>
      </c>
      <c r="AK246" s="32" t="s">
        <v>67</v>
      </c>
      <c r="AL246" s="3"/>
      <c r="AM246" s="2"/>
      <c r="AN246" s="2"/>
      <c r="AO246" s="8" t="s">
        <v>80</v>
      </c>
      <c r="AP246" s="5">
        <f t="shared" si="10"/>
        <v>0</v>
      </c>
      <c r="AQ246" s="2"/>
      <c r="AR246" s="2"/>
    </row>
    <row r="247" spans="5:44" ht="14.45" customHeight="1" x14ac:dyDescent="0.25">
      <c r="E247" s="2"/>
      <c r="F247" s="125"/>
      <c r="G247" s="2"/>
      <c r="H247" s="2" t="s">
        <v>24</v>
      </c>
      <c r="I247" s="81" t="s">
        <v>71</v>
      </c>
      <c r="J247" s="32" t="s">
        <v>70</v>
      </c>
      <c r="K247" s="2"/>
      <c r="L247" s="81" t="s">
        <v>71</v>
      </c>
      <c r="M247" s="32" t="s">
        <v>70</v>
      </c>
      <c r="N247" s="2"/>
      <c r="O247" s="3"/>
      <c r="P247" s="2" t="s">
        <v>24</v>
      </c>
      <c r="Q247" t="s">
        <v>66</v>
      </c>
      <c r="R247" s="32" t="s">
        <v>67</v>
      </c>
      <c r="S247" s="2"/>
      <c r="T247" t="s">
        <v>66</v>
      </c>
      <c r="U247" s="32" t="s">
        <v>67</v>
      </c>
      <c r="V247" s="2"/>
      <c r="W247" s="3"/>
      <c r="X247" s="2" t="s">
        <v>24</v>
      </c>
      <c r="Z247" s="32"/>
      <c r="AA247" s="2"/>
      <c r="AC247" s="32"/>
      <c r="AD247" s="2"/>
      <c r="AE247" s="3"/>
      <c r="AF247" s="2" t="s">
        <v>24</v>
      </c>
      <c r="AG247" t="s">
        <v>66</v>
      </c>
      <c r="AH247" s="32" t="s">
        <v>67</v>
      </c>
      <c r="AI247" s="2"/>
      <c r="AJ247" t="s">
        <v>66</v>
      </c>
      <c r="AK247" s="32" t="s">
        <v>67</v>
      </c>
      <c r="AL247" s="3"/>
      <c r="AM247" s="2"/>
      <c r="AN247" s="2"/>
      <c r="AO247" s="18" t="s">
        <v>82</v>
      </c>
      <c r="AP247" s="5">
        <f t="shared" si="10"/>
        <v>0</v>
      </c>
      <c r="AQ247" s="2"/>
      <c r="AR247" s="2"/>
    </row>
    <row r="248" spans="5:44" ht="14.45" customHeight="1" x14ac:dyDescent="0.25">
      <c r="E248" s="2"/>
      <c r="F248" s="125"/>
      <c r="G248" s="2"/>
      <c r="H248" s="2" t="s">
        <v>28</v>
      </c>
      <c r="I248" s="81" t="s">
        <v>71</v>
      </c>
      <c r="J248" s="32" t="s">
        <v>83</v>
      </c>
      <c r="K248" s="2"/>
      <c r="L248" s="81" t="s">
        <v>71</v>
      </c>
      <c r="M248" s="32" t="s">
        <v>83</v>
      </c>
      <c r="N248" s="2"/>
      <c r="O248" s="3"/>
      <c r="P248" s="2" t="s">
        <v>28</v>
      </c>
      <c r="Q248" t="s">
        <v>66</v>
      </c>
      <c r="R248" s="32" t="s">
        <v>67</v>
      </c>
      <c r="S248" s="2"/>
      <c r="T248" t="s">
        <v>66</v>
      </c>
      <c r="U248" s="32" t="s">
        <v>67</v>
      </c>
      <c r="V248" s="2"/>
      <c r="W248" s="3"/>
      <c r="X248" s="2" t="s">
        <v>28</v>
      </c>
      <c r="Z248" s="32"/>
      <c r="AA248" s="2"/>
      <c r="AC248" s="32"/>
      <c r="AD248" s="2"/>
      <c r="AE248" s="3"/>
      <c r="AF248" s="2" t="s">
        <v>28</v>
      </c>
      <c r="AG248" t="s">
        <v>66</v>
      </c>
      <c r="AH248" s="32" t="s">
        <v>67</v>
      </c>
      <c r="AI248" s="2"/>
      <c r="AJ248" t="s">
        <v>66</v>
      </c>
      <c r="AK248" s="32" t="s">
        <v>67</v>
      </c>
      <c r="AL248" s="3"/>
      <c r="AM248" s="2"/>
      <c r="AN248" s="2"/>
      <c r="AO248" s="2"/>
      <c r="AP248" s="2"/>
      <c r="AQ248" s="2"/>
      <c r="AR248" s="2"/>
    </row>
    <row r="249" spans="5:44" ht="14.45" customHeight="1" x14ac:dyDescent="0.25">
      <c r="E249" s="2"/>
      <c r="F249" s="125"/>
      <c r="G249" s="2"/>
      <c r="H249" s="2" t="s">
        <v>32</v>
      </c>
      <c r="I249" t="s">
        <v>72</v>
      </c>
      <c r="J249" s="32" t="s">
        <v>70</v>
      </c>
      <c r="K249" s="2"/>
      <c r="L249" t="s">
        <v>72</v>
      </c>
      <c r="M249" s="32" t="s">
        <v>70</v>
      </c>
      <c r="N249" s="2"/>
      <c r="O249" s="3"/>
      <c r="P249" s="2" t="s">
        <v>32</v>
      </c>
      <c r="Q249" t="s">
        <v>66</v>
      </c>
      <c r="R249" s="32" t="s">
        <v>67</v>
      </c>
      <c r="S249" s="2"/>
      <c r="T249" t="s">
        <v>66</v>
      </c>
      <c r="U249" s="32" t="s">
        <v>67</v>
      </c>
      <c r="V249" s="2"/>
      <c r="W249" s="3"/>
      <c r="X249" s="2" t="s">
        <v>32</v>
      </c>
      <c r="Z249" s="32"/>
      <c r="AA249" s="2"/>
      <c r="AC249" s="32"/>
      <c r="AD249" s="2"/>
      <c r="AE249" s="3"/>
      <c r="AF249" s="2" t="s">
        <v>32</v>
      </c>
      <c r="AG249" t="s">
        <v>66</v>
      </c>
      <c r="AH249" s="32" t="s">
        <v>67</v>
      </c>
      <c r="AI249" s="2"/>
      <c r="AJ249" t="s">
        <v>66</v>
      </c>
      <c r="AK249" s="32" t="s">
        <v>67</v>
      </c>
      <c r="AL249" s="3"/>
      <c r="AM249" s="2"/>
      <c r="AN249" s="2"/>
      <c r="AO249" s="2"/>
      <c r="AP249" s="2"/>
      <c r="AQ249" s="2"/>
      <c r="AR249" s="2"/>
    </row>
    <row r="250" spans="5:44" ht="14.45" customHeight="1" x14ac:dyDescent="0.25">
      <c r="E250" s="2"/>
      <c r="F250" s="125"/>
      <c r="G250" s="2"/>
      <c r="H250" s="2"/>
      <c r="I250" s="2"/>
      <c r="J250" s="2"/>
      <c r="K250" s="2"/>
      <c r="L250" s="2"/>
      <c r="M250" s="2"/>
      <c r="N250" s="2"/>
      <c r="O250" s="3"/>
      <c r="P250" s="2"/>
      <c r="Q250" s="2"/>
      <c r="R250" s="2"/>
      <c r="S250" s="2"/>
      <c r="T250" s="2"/>
      <c r="U250" s="2"/>
      <c r="V250" s="2"/>
      <c r="W250" s="3"/>
      <c r="X250" s="2"/>
      <c r="Y250" s="2"/>
      <c r="Z250" s="2"/>
      <c r="AA250" s="2"/>
      <c r="AB250" s="2"/>
      <c r="AC250" s="2"/>
      <c r="AD250" s="2"/>
      <c r="AE250" s="3"/>
      <c r="AF250" s="2"/>
      <c r="AG250" s="2"/>
      <c r="AH250" s="2"/>
      <c r="AI250" s="2"/>
      <c r="AJ250" s="2"/>
      <c r="AK250" s="2"/>
      <c r="AL250" s="3"/>
      <c r="AM250" s="2"/>
      <c r="AN250" s="2"/>
      <c r="AO250" s="2"/>
      <c r="AP250" s="2"/>
      <c r="AQ250" s="2"/>
      <c r="AR250" s="2"/>
    </row>
    <row r="251" spans="5:44" ht="14.45" customHeight="1" x14ac:dyDescent="0.25">
      <c r="E251" s="2"/>
      <c r="F251" s="125"/>
      <c r="G251" s="2"/>
      <c r="H251" s="2"/>
      <c r="I251" s="25">
        <v>3707</v>
      </c>
      <c r="J251" s="25"/>
      <c r="K251" s="25"/>
      <c r="L251" s="25" t="s">
        <v>63</v>
      </c>
      <c r="M251" s="3"/>
      <c r="N251" s="2"/>
      <c r="O251" s="3"/>
      <c r="P251" s="2"/>
      <c r="Q251" s="25">
        <v>5275</v>
      </c>
      <c r="R251" s="25"/>
      <c r="S251" s="25"/>
      <c r="T251" s="25" t="s">
        <v>63</v>
      </c>
      <c r="U251" s="3"/>
      <c r="V251" s="2"/>
      <c r="W251" s="3"/>
      <c r="X251" s="2"/>
      <c r="Y251" s="2"/>
      <c r="Z251" s="2"/>
      <c r="AA251" s="2"/>
      <c r="AB251" s="2"/>
      <c r="AC251" s="2"/>
      <c r="AD251" s="2"/>
      <c r="AE251" s="3"/>
      <c r="AF251" s="2"/>
      <c r="AG251" s="36">
        <v>1848</v>
      </c>
      <c r="AH251" s="36"/>
      <c r="AI251" s="36"/>
      <c r="AJ251" s="36" t="s">
        <v>63</v>
      </c>
      <c r="AK251" s="37"/>
      <c r="AL251" s="3"/>
      <c r="AM251" s="2"/>
      <c r="AN251" s="2"/>
      <c r="AO251" s="2"/>
      <c r="AP251" s="2"/>
      <c r="AQ251" s="2"/>
      <c r="AR251" s="2"/>
    </row>
    <row r="252" spans="5:44" ht="14.45" customHeight="1" x14ac:dyDescent="0.25">
      <c r="E252" s="2"/>
      <c r="F252" s="125"/>
      <c r="G252" s="2"/>
      <c r="H252" s="2"/>
      <c r="I252" s="26" t="s">
        <v>4</v>
      </c>
      <c r="J252" s="26"/>
      <c r="K252" s="26"/>
      <c r="L252" s="26" t="s">
        <v>5</v>
      </c>
      <c r="M252" s="26"/>
      <c r="N252" s="2"/>
      <c r="O252" s="3"/>
      <c r="P252" s="2"/>
      <c r="Q252" s="26" t="s">
        <v>4</v>
      </c>
      <c r="R252" s="26"/>
      <c r="S252" s="26"/>
      <c r="T252" s="26" t="s">
        <v>5</v>
      </c>
      <c r="U252" s="26"/>
      <c r="V252" s="2"/>
      <c r="W252" s="3"/>
      <c r="X252" s="2"/>
      <c r="Y252" s="2"/>
      <c r="Z252" s="2"/>
      <c r="AA252" s="2"/>
      <c r="AB252" s="2"/>
      <c r="AC252" s="2"/>
      <c r="AD252" s="2"/>
      <c r="AE252" s="3"/>
      <c r="AF252" s="2"/>
      <c r="AG252" s="26" t="s">
        <v>4</v>
      </c>
      <c r="AH252" s="26"/>
      <c r="AI252" s="26"/>
      <c r="AJ252" s="26"/>
      <c r="AK252" s="26" t="s">
        <v>84</v>
      </c>
      <c r="AL252" s="3"/>
      <c r="AM252" s="2"/>
      <c r="AN252" s="2"/>
      <c r="AO252" s="2"/>
      <c r="AP252" s="2"/>
      <c r="AQ252" s="2"/>
      <c r="AR252" s="2"/>
    </row>
    <row r="253" spans="5:44" ht="14.45" customHeight="1" x14ac:dyDescent="0.25">
      <c r="E253" s="2"/>
      <c r="F253" s="125"/>
      <c r="G253" s="2"/>
      <c r="H253" s="2"/>
      <c r="I253" s="27">
        <v>3707</v>
      </c>
      <c r="J253" s="27" t="s">
        <v>7</v>
      </c>
      <c r="K253" s="2"/>
      <c r="L253" s="27">
        <v>3707</v>
      </c>
      <c r="M253" s="27" t="s">
        <v>7</v>
      </c>
      <c r="N253" s="2"/>
      <c r="O253" s="3"/>
      <c r="P253" s="2"/>
      <c r="Q253" s="27">
        <v>5275</v>
      </c>
      <c r="R253" s="27" t="s">
        <v>7</v>
      </c>
      <c r="S253" s="2"/>
      <c r="T253" s="27">
        <v>5275</v>
      </c>
      <c r="U253" s="27" t="s">
        <v>7</v>
      </c>
      <c r="V253" s="2"/>
      <c r="W253" s="3"/>
      <c r="X253" s="2"/>
      <c r="Y253" s="2"/>
      <c r="Z253" s="2"/>
      <c r="AA253" s="2"/>
      <c r="AB253" s="2"/>
      <c r="AC253" s="2"/>
      <c r="AD253" s="2"/>
      <c r="AE253" s="3"/>
      <c r="AF253" s="2"/>
      <c r="AG253" s="27">
        <v>1848</v>
      </c>
      <c r="AH253" s="27" t="s">
        <v>7</v>
      </c>
      <c r="AI253" s="29"/>
      <c r="AJ253" s="27">
        <v>1848</v>
      </c>
      <c r="AK253" s="27" t="s">
        <v>7</v>
      </c>
      <c r="AL253" s="3"/>
      <c r="AM253" s="2"/>
      <c r="AN253" s="2"/>
      <c r="AO253" s="2"/>
      <c r="AP253" s="2"/>
      <c r="AQ253" s="2"/>
      <c r="AR253" s="2"/>
    </row>
    <row r="254" spans="5:44" ht="14.45" customHeight="1" x14ac:dyDescent="0.25">
      <c r="E254" s="2"/>
      <c r="F254" s="125"/>
      <c r="G254" s="2"/>
      <c r="H254" s="2" t="s">
        <v>12</v>
      </c>
      <c r="I254" t="s">
        <v>66</v>
      </c>
      <c r="J254" s="32" t="s">
        <v>67</v>
      </c>
      <c r="K254" s="2"/>
      <c r="L254" t="s">
        <v>66</v>
      </c>
      <c r="M254" s="32" t="s">
        <v>67</v>
      </c>
      <c r="N254" s="2"/>
      <c r="O254" s="3"/>
      <c r="P254" s="2" t="s">
        <v>12</v>
      </c>
      <c r="Q254" t="s">
        <v>66</v>
      </c>
      <c r="R254" s="32" t="s">
        <v>67</v>
      </c>
      <c r="S254" s="2"/>
      <c r="T254" t="s">
        <v>66</v>
      </c>
      <c r="U254" s="32" t="s">
        <v>67</v>
      </c>
      <c r="V254" s="2"/>
      <c r="W254" s="3"/>
      <c r="X254" s="2"/>
      <c r="Y254" s="2"/>
      <c r="Z254" s="2"/>
      <c r="AA254" s="2"/>
      <c r="AB254" s="2"/>
      <c r="AC254" s="2"/>
      <c r="AD254" s="2"/>
      <c r="AE254" s="3"/>
      <c r="AF254" s="2" t="s">
        <v>12</v>
      </c>
      <c r="AG254" s="15" t="s">
        <v>50</v>
      </c>
      <c r="AH254" s="32" t="s">
        <v>70</v>
      </c>
      <c r="AI254" s="2"/>
      <c r="AJ254" s="15" t="s">
        <v>50</v>
      </c>
      <c r="AK254" s="32" t="s">
        <v>70</v>
      </c>
      <c r="AL254" s="3"/>
      <c r="AM254" s="2"/>
      <c r="AN254" s="2"/>
      <c r="AO254" s="2"/>
      <c r="AP254" s="2"/>
      <c r="AQ254" s="2"/>
      <c r="AR254" s="2"/>
    </row>
    <row r="255" spans="5:44" ht="14.45" customHeight="1" x14ac:dyDescent="0.25">
      <c r="E255" s="2"/>
      <c r="F255" s="125"/>
      <c r="G255" s="2"/>
      <c r="H255" s="2" t="s">
        <v>20</v>
      </c>
      <c r="I255" t="s">
        <v>66</v>
      </c>
      <c r="J255" s="32" t="s">
        <v>67</v>
      </c>
      <c r="K255" s="2"/>
      <c r="L255" t="s">
        <v>66</v>
      </c>
      <c r="M255" s="32" t="s">
        <v>67</v>
      </c>
      <c r="N255" s="2"/>
      <c r="O255" s="3"/>
      <c r="P255" s="2" t="s">
        <v>20</v>
      </c>
      <c r="Q255" t="s">
        <v>66</v>
      </c>
      <c r="R255" s="32" t="s">
        <v>67</v>
      </c>
      <c r="S255" s="2"/>
      <c r="T255" t="s">
        <v>66</v>
      </c>
      <c r="U255" s="32" t="s">
        <v>67</v>
      </c>
      <c r="V255" s="2"/>
      <c r="W255" s="3"/>
      <c r="X255" s="2"/>
      <c r="Y255" s="2"/>
      <c r="Z255" s="2"/>
      <c r="AA255" s="2"/>
      <c r="AB255" s="2"/>
      <c r="AC255" s="2"/>
      <c r="AD255" s="2"/>
      <c r="AE255" s="3"/>
      <c r="AF255" s="2" t="s">
        <v>20</v>
      </c>
      <c r="AG255" s="15" t="s">
        <v>50</v>
      </c>
      <c r="AH255" s="32" t="s">
        <v>70</v>
      </c>
      <c r="AI255" s="2"/>
      <c r="AJ255" s="15" t="s">
        <v>50</v>
      </c>
      <c r="AK255" s="32" t="s">
        <v>70</v>
      </c>
      <c r="AL255" s="3"/>
      <c r="AM255" s="2"/>
      <c r="AN255" s="2"/>
      <c r="AO255" s="2"/>
      <c r="AP255" s="2"/>
      <c r="AQ255" s="2"/>
      <c r="AR255" s="2"/>
    </row>
    <row r="256" spans="5:44" ht="14.45" customHeight="1" x14ac:dyDescent="0.25">
      <c r="E256" s="2"/>
      <c r="F256" s="125"/>
      <c r="G256" s="2"/>
      <c r="H256" s="2" t="s">
        <v>24</v>
      </c>
      <c r="I256" t="s">
        <v>66</v>
      </c>
      <c r="J256" s="32" t="s">
        <v>67</v>
      </c>
      <c r="K256" s="2"/>
      <c r="L256" t="s">
        <v>66</v>
      </c>
      <c r="M256" s="32" t="s">
        <v>67</v>
      </c>
      <c r="N256" s="2"/>
      <c r="O256" s="3"/>
      <c r="P256" s="2" t="s">
        <v>24</v>
      </c>
      <c r="Q256" t="s">
        <v>66</v>
      </c>
      <c r="R256" s="32" t="s">
        <v>67</v>
      </c>
      <c r="S256" s="2"/>
      <c r="T256" t="s">
        <v>66</v>
      </c>
      <c r="U256" s="32" t="s">
        <v>67</v>
      </c>
      <c r="V256" s="2"/>
      <c r="W256" s="3"/>
      <c r="X256" s="2"/>
      <c r="Y256" s="2"/>
      <c r="Z256" s="2"/>
      <c r="AA256" s="2"/>
      <c r="AB256" s="2"/>
      <c r="AC256" s="2"/>
      <c r="AD256" s="2"/>
      <c r="AE256" s="3"/>
      <c r="AF256" s="2" t="s">
        <v>24</v>
      </c>
      <c r="AG256" s="15" t="s">
        <v>50</v>
      </c>
      <c r="AH256" s="32" t="s">
        <v>70</v>
      </c>
      <c r="AI256" s="2"/>
      <c r="AJ256" s="15" t="s">
        <v>50</v>
      </c>
      <c r="AK256" s="32" t="s">
        <v>70</v>
      </c>
      <c r="AL256" s="3"/>
      <c r="AM256" s="2"/>
      <c r="AN256" s="2"/>
      <c r="AO256" s="2"/>
      <c r="AP256" s="2"/>
      <c r="AQ256" s="2"/>
      <c r="AR256" s="2"/>
    </row>
    <row r="257" spans="5:44" ht="14.45" customHeight="1" x14ac:dyDescent="0.25">
      <c r="E257" s="2"/>
      <c r="F257" s="125"/>
      <c r="G257" s="2"/>
      <c r="H257" s="2" t="s">
        <v>28</v>
      </c>
      <c r="I257" t="s">
        <v>66</v>
      </c>
      <c r="J257" s="32" t="s">
        <v>67</v>
      </c>
      <c r="K257" s="2"/>
      <c r="L257" t="s">
        <v>66</v>
      </c>
      <c r="M257" s="32" t="s">
        <v>67</v>
      </c>
      <c r="N257" s="2"/>
      <c r="O257" s="3"/>
      <c r="P257" s="2" t="s">
        <v>28</v>
      </c>
      <c r="Q257" t="s">
        <v>66</v>
      </c>
      <c r="R257" s="32" t="s">
        <v>67</v>
      </c>
      <c r="S257" s="2"/>
      <c r="T257" t="s">
        <v>66</v>
      </c>
      <c r="U257" s="32" t="s">
        <v>67</v>
      </c>
      <c r="V257" s="2"/>
      <c r="W257" s="3"/>
      <c r="X257" s="2"/>
      <c r="Y257" s="2"/>
      <c r="Z257" s="2"/>
      <c r="AA257" s="2"/>
      <c r="AB257" s="2"/>
      <c r="AC257" s="2"/>
      <c r="AD257" s="2"/>
      <c r="AE257" s="3"/>
      <c r="AF257" s="2" t="s">
        <v>28</v>
      </c>
      <c r="AG257" s="15" t="s">
        <v>50</v>
      </c>
      <c r="AH257" s="32" t="s">
        <v>70</v>
      </c>
      <c r="AI257" s="2"/>
      <c r="AJ257" s="15" t="s">
        <v>50</v>
      </c>
      <c r="AK257" s="32" t="s">
        <v>70</v>
      </c>
      <c r="AL257" s="3"/>
      <c r="AM257" s="2"/>
      <c r="AN257" s="2"/>
      <c r="AO257" s="2"/>
      <c r="AP257" s="2"/>
      <c r="AQ257" s="2"/>
      <c r="AR257" s="2"/>
    </row>
    <row r="258" spans="5:44" ht="14.45" customHeight="1" x14ac:dyDescent="0.25">
      <c r="E258" s="2"/>
      <c r="F258" s="125"/>
      <c r="G258" s="2"/>
      <c r="H258" s="2" t="s">
        <v>32</v>
      </c>
      <c r="I258" t="s">
        <v>66</v>
      </c>
      <c r="J258" s="32" t="s">
        <v>67</v>
      </c>
      <c r="K258" s="2"/>
      <c r="L258" t="s">
        <v>66</v>
      </c>
      <c r="M258" s="32" t="s">
        <v>67</v>
      </c>
      <c r="N258" s="2"/>
      <c r="O258" s="3"/>
      <c r="P258" s="2" t="s">
        <v>32</v>
      </c>
      <c r="Q258" t="s">
        <v>66</v>
      </c>
      <c r="R258" s="32" t="s">
        <v>67</v>
      </c>
      <c r="S258" s="2"/>
      <c r="T258" t="s">
        <v>66</v>
      </c>
      <c r="U258" s="32" t="s">
        <v>67</v>
      </c>
      <c r="V258" s="2"/>
      <c r="W258" s="3"/>
      <c r="X258" s="2"/>
      <c r="Y258" s="2"/>
      <c r="Z258" s="2"/>
      <c r="AA258" s="2"/>
      <c r="AB258" s="2"/>
      <c r="AC258" s="2"/>
      <c r="AD258" s="2"/>
      <c r="AE258" s="3"/>
      <c r="AF258" s="2" t="s">
        <v>32</v>
      </c>
      <c r="AG258" s="15" t="s">
        <v>50</v>
      </c>
      <c r="AH258" s="32" t="s">
        <v>70</v>
      </c>
      <c r="AI258" s="2"/>
      <c r="AJ258" s="15" t="s">
        <v>50</v>
      </c>
      <c r="AK258" s="32" t="s">
        <v>70</v>
      </c>
      <c r="AL258" s="3"/>
      <c r="AM258" s="2"/>
      <c r="AN258" s="2"/>
      <c r="AO258" s="2"/>
      <c r="AP258" s="2"/>
      <c r="AQ258" s="2"/>
      <c r="AR258" s="2"/>
    </row>
    <row r="259" spans="5:44" ht="14.45" customHeight="1" x14ac:dyDescent="0.25">
      <c r="E259" s="2"/>
      <c r="F259" s="125"/>
      <c r="G259" s="2"/>
      <c r="H259" s="2"/>
      <c r="I259" s="2"/>
      <c r="J259" s="2"/>
      <c r="K259" s="2"/>
      <c r="L259" s="2"/>
      <c r="M259" s="2"/>
      <c r="N259" s="2"/>
      <c r="O259" s="3"/>
      <c r="P259" s="2"/>
      <c r="Q259" s="2"/>
      <c r="R259" s="2"/>
      <c r="S259" s="2"/>
      <c r="T259" s="2"/>
      <c r="U259" s="2"/>
      <c r="V259" s="2"/>
      <c r="W259" s="3"/>
      <c r="X259" s="2"/>
      <c r="Y259" s="2"/>
      <c r="Z259" s="2"/>
      <c r="AA259" s="2"/>
      <c r="AB259" s="2"/>
      <c r="AC259" s="2"/>
      <c r="AD259" s="2"/>
      <c r="AE259" s="3"/>
      <c r="AF259" s="2"/>
      <c r="AG259" s="2"/>
      <c r="AH259" s="2"/>
      <c r="AI259" s="2"/>
      <c r="AJ259" s="2"/>
      <c r="AK259" s="2"/>
      <c r="AL259" s="3"/>
      <c r="AM259" s="2"/>
      <c r="AN259" s="2"/>
      <c r="AO259" s="2"/>
      <c r="AP259" s="2"/>
      <c r="AQ259" s="2"/>
      <c r="AR259" s="2"/>
    </row>
    <row r="260" spans="5:44" ht="14.45" customHeight="1" x14ac:dyDescent="0.25">
      <c r="E260" s="2"/>
      <c r="F260" s="125"/>
      <c r="G260" s="2"/>
      <c r="H260" s="2"/>
      <c r="I260" s="2"/>
      <c r="J260" s="2"/>
      <c r="K260" s="2"/>
      <c r="L260" s="2"/>
      <c r="M260" s="2"/>
      <c r="N260" s="2"/>
      <c r="O260" s="3"/>
      <c r="P260" s="2"/>
      <c r="Q260" s="2"/>
      <c r="R260" s="2"/>
      <c r="S260" s="2"/>
      <c r="T260" s="2"/>
      <c r="U260" s="2"/>
      <c r="V260" s="2"/>
      <c r="W260" s="3"/>
      <c r="X260" s="2"/>
      <c r="Y260" s="2"/>
      <c r="Z260" s="2"/>
      <c r="AA260" s="2"/>
      <c r="AB260" s="2"/>
      <c r="AC260" s="2"/>
      <c r="AD260" s="2"/>
      <c r="AE260" s="3"/>
      <c r="AF260" s="2"/>
      <c r="AG260" s="36" t="s">
        <v>85</v>
      </c>
      <c r="AH260" s="36"/>
      <c r="AI260" s="36"/>
      <c r="AJ260" s="36" t="s">
        <v>63</v>
      </c>
      <c r="AK260" s="37"/>
      <c r="AL260" s="3"/>
      <c r="AM260" s="2"/>
      <c r="AN260" s="2"/>
      <c r="AO260" s="2"/>
      <c r="AP260" s="2"/>
      <c r="AQ260" s="2"/>
      <c r="AR260" s="2"/>
    </row>
    <row r="261" spans="5:44" ht="14.45" customHeight="1" x14ac:dyDescent="0.25">
      <c r="E261" s="2"/>
      <c r="F261" s="125"/>
      <c r="G261" s="2"/>
      <c r="H261" s="2"/>
      <c r="I261" s="2"/>
      <c r="J261" s="2"/>
      <c r="K261" s="2"/>
      <c r="L261" s="2"/>
      <c r="M261" s="2"/>
      <c r="N261" s="2"/>
      <c r="O261" s="3"/>
      <c r="P261" s="2"/>
      <c r="Q261" s="2"/>
      <c r="R261" s="2"/>
      <c r="S261" s="2"/>
      <c r="T261" s="2"/>
      <c r="U261" s="2"/>
      <c r="V261" s="2"/>
      <c r="W261" s="3"/>
      <c r="X261" s="2"/>
      <c r="Y261" s="2"/>
      <c r="Z261" s="2"/>
      <c r="AA261" s="2"/>
      <c r="AB261" s="2"/>
      <c r="AC261" s="2"/>
      <c r="AD261" s="2"/>
      <c r="AE261" s="3"/>
      <c r="AF261" s="2"/>
      <c r="AG261" s="26" t="s">
        <v>4</v>
      </c>
      <c r="AH261" s="26"/>
      <c r="AI261" s="26"/>
      <c r="AJ261" s="26" t="s">
        <v>5</v>
      </c>
      <c r="AK261" s="26"/>
      <c r="AL261" s="3"/>
      <c r="AM261" s="2"/>
      <c r="AN261" s="2"/>
      <c r="AO261" s="2"/>
      <c r="AP261" s="2"/>
      <c r="AQ261" s="2"/>
      <c r="AR261" s="2"/>
    </row>
    <row r="262" spans="5:44" ht="14.45" customHeight="1" x14ac:dyDescent="0.25">
      <c r="E262" s="2"/>
      <c r="F262" s="125"/>
      <c r="G262" s="2"/>
      <c r="H262" s="2"/>
      <c r="I262" s="2"/>
      <c r="J262" s="2"/>
      <c r="K262" s="2"/>
      <c r="L262" s="2"/>
      <c r="M262" s="2"/>
      <c r="N262" s="2"/>
      <c r="O262" s="3"/>
      <c r="P262" s="2"/>
      <c r="Q262" s="2"/>
      <c r="R262" s="2"/>
      <c r="S262" s="2"/>
      <c r="T262" s="2"/>
      <c r="U262" s="2"/>
      <c r="V262" s="2"/>
      <c r="W262" s="3"/>
      <c r="X262" s="2"/>
      <c r="Y262" s="2"/>
      <c r="Z262" s="2"/>
      <c r="AA262" s="2"/>
      <c r="AB262" s="2"/>
      <c r="AC262" s="2"/>
      <c r="AD262" s="2"/>
      <c r="AE262" s="3"/>
      <c r="AF262" s="2"/>
      <c r="AG262" s="27" t="s">
        <v>85</v>
      </c>
      <c r="AH262" s="27" t="s">
        <v>7</v>
      </c>
      <c r="AI262" s="29"/>
      <c r="AJ262" s="27" t="s">
        <v>85</v>
      </c>
      <c r="AK262" s="27" t="s">
        <v>7</v>
      </c>
      <c r="AL262" s="3"/>
      <c r="AM262" s="2"/>
      <c r="AN262" s="2"/>
      <c r="AO262" s="2"/>
      <c r="AP262" s="2"/>
      <c r="AQ262" s="2"/>
      <c r="AR262" s="2"/>
    </row>
    <row r="263" spans="5:44" ht="14.45" customHeight="1" x14ac:dyDescent="0.25">
      <c r="E263" s="2"/>
      <c r="F263" s="125"/>
      <c r="G263" s="2"/>
      <c r="H263" s="2" t="s">
        <v>12</v>
      </c>
      <c r="I263" s="2"/>
      <c r="J263" s="2"/>
      <c r="K263" s="2"/>
      <c r="L263" s="2"/>
      <c r="M263" s="2"/>
      <c r="N263" s="2"/>
      <c r="O263" s="3"/>
      <c r="P263" s="2"/>
      <c r="Q263" s="2"/>
      <c r="R263" s="2"/>
      <c r="S263" s="2"/>
      <c r="T263" s="2"/>
      <c r="U263" s="2"/>
      <c r="V263" s="2"/>
      <c r="W263" s="3"/>
      <c r="X263" s="2"/>
      <c r="Y263" s="2"/>
      <c r="Z263" s="2"/>
      <c r="AA263" s="2"/>
      <c r="AB263" s="2"/>
      <c r="AC263" s="2"/>
      <c r="AD263" s="2"/>
      <c r="AE263" s="3"/>
      <c r="AF263" s="2" t="s">
        <v>12</v>
      </c>
      <c r="AG263" t="s">
        <v>66</v>
      </c>
      <c r="AH263" s="32" t="s">
        <v>79</v>
      </c>
      <c r="AI263" s="2"/>
      <c r="AJ263" t="s">
        <v>66</v>
      </c>
      <c r="AK263" s="32" t="s">
        <v>79</v>
      </c>
      <c r="AL263" s="3"/>
      <c r="AM263" s="2"/>
      <c r="AN263" s="2"/>
      <c r="AO263" s="2"/>
      <c r="AP263" s="2"/>
      <c r="AQ263" s="2"/>
      <c r="AR263" s="2"/>
    </row>
    <row r="264" spans="5:44" ht="14.45" customHeight="1" x14ac:dyDescent="0.25">
      <c r="E264" s="2"/>
      <c r="F264" s="125"/>
      <c r="G264" s="2"/>
      <c r="H264" s="2" t="s">
        <v>20</v>
      </c>
      <c r="I264" s="2"/>
      <c r="J264" s="2"/>
      <c r="K264" s="2"/>
      <c r="L264" s="2"/>
      <c r="M264" s="2"/>
      <c r="N264" s="2"/>
      <c r="O264" s="3"/>
      <c r="P264" s="2"/>
      <c r="Q264" s="2"/>
      <c r="R264" s="2"/>
      <c r="S264" s="2"/>
      <c r="T264" s="2"/>
      <c r="U264" s="2"/>
      <c r="V264" s="2"/>
      <c r="W264" s="3"/>
      <c r="X264" s="2"/>
      <c r="Y264" s="2"/>
      <c r="Z264" s="2"/>
      <c r="AA264" s="2"/>
      <c r="AB264" s="2"/>
      <c r="AC264" s="2"/>
      <c r="AD264" s="2"/>
      <c r="AE264" s="3"/>
      <c r="AF264" s="2" t="s">
        <v>20</v>
      </c>
      <c r="AG264" s="2" t="s">
        <v>59</v>
      </c>
      <c r="AH264" s="32" t="s">
        <v>70</v>
      </c>
      <c r="AI264" s="2"/>
      <c r="AJ264" s="2" t="s">
        <v>59</v>
      </c>
      <c r="AK264" s="32" t="s">
        <v>70</v>
      </c>
      <c r="AL264" s="3"/>
      <c r="AM264" s="2"/>
      <c r="AN264" s="2"/>
      <c r="AO264" s="2"/>
      <c r="AP264" s="2"/>
      <c r="AQ264" s="2"/>
      <c r="AR264" s="2"/>
    </row>
    <row r="265" spans="5:44" ht="14.45" customHeight="1" x14ac:dyDescent="0.25">
      <c r="E265" s="2"/>
      <c r="F265" s="125"/>
      <c r="G265" s="2"/>
      <c r="H265" s="2" t="s">
        <v>24</v>
      </c>
      <c r="I265" s="2"/>
      <c r="J265" s="2"/>
      <c r="K265" s="2"/>
      <c r="L265" s="2"/>
      <c r="M265" s="2"/>
      <c r="N265" s="2"/>
      <c r="O265" s="3"/>
      <c r="P265" s="2"/>
      <c r="Q265" s="2"/>
      <c r="R265" s="2"/>
      <c r="S265" s="2"/>
      <c r="T265" s="2"/>
      <c r="U265" s="2"/>
      <c r="V265" s="2"/>
      <c r="W265" s="3"/>
      <c r="X265" s="2"/>
      <c r="Y265" s="2"/>
      <c r="Z265" s="2"/>
      <c r="AA265" s="2"/>
      <c r="AB265" s="2"/>
      <c r="AC265" s="2"/>
      <c r="AD265" s="2"/>
      <c r="AE265" s="3"/>
      <c r="AF265" s="2" t="s">
        <v>24</v>
      </c>
      <c r="AG265" s="2" t="s">
        <v>61</v>
      </c>
      <c r="AH265" s="32" t="s">
        <v>70</v>
      </c>
      <c r="AI265" s="2"/>
      <c r="AJ265" s="2" t="s">
        <v>61</v>
      </c>
      <c r="AK265" s="32" t="s">
        <v>70</v>
      </c>
      <c r="AL265" s="3"/>
      <c r="AM265" s="2"/>
      <c r="AN265" s="2"/>
      <c r="AO265" s="2"/>
      <c r="AP265" s="2"/>
      <c r="AQ265" s="2"/>
      <c r="AR265" s="2"/>
    </row>
    <row r="266" spans="5:44" ht="14.45" customHeight="1" x14ac:dyDescent="0.25">
      <c r="E266" s="2"/>
      <c r="F266" s="125"/>
      <c r="G266" s="2"/>
      <c r="H266" s="2" t="s">
        <v>28</v>
      </c>
      <c r="I266" s="2"/>
      <c r="J266" s="2"/>
      <c r="K266" s="2"/>
      <c r="L266" s="2"/>
      <c r="M266" s="2"/>
      <c r="N266" s="2"/>
      <c r="O266" s="3"/>
      <c r="P266" s="2"/>
      <c r="Q266" s="2"/>
      <c r="R266" s="2"/>
      <c r="S266" s="2"/>
      <c r="T266" s="2"/>
      <c r="U266" s="2"/>
      <c r="V266" s="2"/>
      <c r="W266" s="3"/>
      <c r="X266" s="2"/>
      <c r="Y266" s="2"/>
      <c r="Z266" s="2"/>
      <c r="AA266" s="2"/>
      <c r="AB266" s="2"/>
      <c r="AC266" s="2"/>
      <c r="AD266" s="2"/>
      <c r="AE266" s="3"/>
      <c r="AF266" s="2" t="s">
        <v>28</v>
      </c>
      <c r="AG266" s="2" t="s">
        <v>61</v>
      </c>
      <c r="AH266" s="32" t="s">
        <v>70</v>
      </c>
      <c r="AI266" s="2"/>
      <c r="AJ266" s="2" t="s">
        <v>61</v>
      </c>
      <c r="AK266" s="32" t="s">
        <v>70</v>
      </c>
      <c r="AL266" s="3"/>
      <c r="AM266" s="2"/>
      <c r="AN266" s="2"/>
      <c r="AO266" s="2"/>
      <c r="AP266" s="2"/>
      <c r="AQ266" s="2"/>
      <c r="AR266" s="2"/>
    </row>
    <row r="267" spans="5:44" ht="14.45" customHeight="1" x14ac:dyDescent="0.25">
      <c r="E267" s="2"/>
      <c r="F267" s="125"/>
      <c r="G267" s="2"/>
      <c r="H267" s="2" t="s">
        <v>32</v>
      </c>
      <c r="I267" s="2"/>
      <c r="J267" s="2"/>
      <c r="K267" s="2"/>
      <c r="L267" s="2"/>
      <c r="M267" s="2"/>
      <c r="N267" s="2"/>
      <c r="O267" s="3"/>
      <c r="P267" s="2"/>
      <c r="Q267" s="2"/>
      <c r="R267" s="2"/>
      <c r="S267" s="2"/>
      <c r="T267" s="2"/>
      <c r="U267" s="2"/>
      <c r="V267" s="2"/>
      <c r="W267" s="3"/>
      <c r="X267" s="2"/>
      <c r="Y267" s="2"/>
      <c r="Z267" s="2"/>
      <c r="AA267" s="2"/>
      <c r="AB267" s="2"/>
      <c r="AC267" s="2"/>
      <c r="AD267" s="2"/>
      <c r="AE267" s="3"/>
      <c r="AF267" s="2" t="s">
        <v>32</v>
      </c>
      <c r="AG267" s="2" t="s">
        <v>61</v>
      </c>
      <c r="AH267" s="32" t="s">
        <v>70</v>
      </c>
      <c r="AI267" s="2"/>
      <c r="AJ267" s="2" t="s">
        <v>61</v>
      </c>
      <c r="AK267" s="32" t="s">
        <v>70</v>
      </c>
      <c r="AL267" s="3"/>
      <c r="AM267" s="2"/>
      <c r="AN267" s="2"/>
      <c r="AO267" s="2"/>
      <c r="AP267" s="2"/>
      <c r="AQ267" s="2"/>
      <c r="AR267" s="2"/>
    </row>
    <row r="268" spans="5:44" ht="14.45" customHeight="1" x14ac:dyDescent="0.25">
      <c r="E268" s="2"/>
      <c r="F268" s="125"/>
      <c r="G268" s="2"/>
      <c r="H268" s="2"/>
      <c r="I268" s="2"/>
      <c r="J268" s="2"/>
      <c r="K268" s="2"/>
      <c r="L268" s="2"/>
      <c r="M268" s="2"/>
      <c r="N268" s="2"/>
      <c r="O268" s="3"/>
      <c r="P268" s="2"/>
      <c r="Q268" s="2"/>
      <c r="R268" s="2"/>
      <c r="S268" s="2"/>
      <c r="T268" s="2"/>
      <c r="U268" s="2"/>
      <c r="V268" s="2"/>
      <c r="W268" s="3"/>
      <c r="X268" s="2"/>
      <c r="Y268" s="2"/>
      <c r="Z268" s="2"/>
      <c r="AA268" s="2"/>
      <c r="AB268" s="2"/>
      <c r="AC268" s="2"/>
      <c r="AD268" s="2"/>
      <c r="AE268" s="3"/>
      <c r="AF268" s="2"/>
      <c r="AG268" s="2"/>
      <c r="AH268" s="2"/>
      <c r="AI268" s="2"/>
      <c r="AJ268" s="2"/>
      <c r="AK268" s="2"/>
      <c r="AL268" s="3"/>
      <c r="AM268" s="2"/>
      <c r="AN268" s="2"/>
      <c r="AO268" s="2"/>
      <c r="AP268" s="2"/>
      <c r="AQ268" s="2"/>
      <c r="AR268" s="2"/>
    </row>
    <row r="269" spans="5:44" ht="14.45" customHeight="1" x14ac:dyDescent="0.25">
      <c r="E269" s="2"/>
      <c r="F269" s="125"/>
      <c r="G269" s="2"/>
      <c r="H269" s="2"/>
      <c r="I269" s="2"/>
      <c r="J269" s="2"/>
      <c r="K269" s="2"/>
      <c r="L269" s="2"/>
      <c r="M269" s="2"/>
      <c r="N269" s="2"/>
      <c r="O269" s="3"/>
      <c r="P269" s="2"/>
      <c r="Q269" s="2"/>
      <c r="R269" s="2"/>
      <c r="S269" s="2"/>
      <c r="T269" s="2"/>
      <c r="U269" s="2"/>
      <c r="V269" s="2"/>
      <c r="W269" s="3"/>
      <c r="X269" s="2"/>
      <c r="Y269" s="25">
        <v>1823</v>
      </c>
      <c r="Z269" s="25"/>
      <c r="AA269" s="25"/>
      <c r="AB269" s="25" t="s">
        <v>63</v>
      </c>
      <c r="AC269" s="3"/>
      <c r="AD269" s="2"/>
      <c r="AE269" s="3"/>
      <c r="AF269" s="2"/>
      <c r="AG269" s="36">
        <v>1878</v>
      </c>
      <c r="AH269" s="36"/>
      <c r="AI269" s="36"/>
      <c r="AJ269" s="36" t="s">
        <v>63</v>
      </c>
      <c r="AK269" s="37"/>
      <c r="AL269" s="3"/>
      <c r="AM269" s="2"/>
      <c r="AN269" s="2"/>
      <c r="AO269" s="2"/>
      <c r="AP269" s="2"/>
      <c r="AQ269" s="2"/>
      <c r="AR269" s="2"/>
    </row>
    <row r="270" spans="5:44" ht="14.45" customHeight="1" x14ac:dyDescent="0.25">
      <c r="E270" s="2"/>
      <c r="F270" s="125"/>
      <c r="G270" s="2"/>
      <c r="H270" s="2"/>
      <c r="I270" s="2"/>
      <c r="J270" s="2"/>
      <c r="K270" s="2"/>
      <c r="L270" s="2"/>
      <c r="M270" s="2"/>
      <c r="N270" s="2"/>
      <c r="O270" s="3"/>
      <c r="P270" s="2"/>
      <c r="Q270" s="2"/>
      <c r="R270" s="2"/>
      <c r="S270" s="2"/>
      <c r="T270" s="2"/>
      <c r="U270" s="2"/>
      <c r="V270" s="2"/>
      <c r="W270" s="3"/>
      <c r="X270" s="2"/>
      <c r="Y270" s="26" t="s">
        <v>4</v>
      </c>
      <c r="Z270" s="26"/>
      <c r="AA270" s="26"/>
      <c r="AB270" s="26" t="s">
        <v>5</v>
      </c>
      <c r="AC270" s="26"/>
      <c r="AD270" s="26"/>
      <c r="AE270" s="3"/>
      <c r="AF270" s="2"/>
      <c r="AG270" s="26" t="s">
        <v>4</v>
      </c>
      <c r="AH270" s="26"/>
      <c r="AI270" s="26"/>
      <c r="AJ270" s="26" t="s">
        <v>5</v>
      </c>
      <c r="AK270" s="26"/>
      <c r="AL270" s="3"/>
      <c r="AM270" s="2"/>
      <c r="AN270" s="2"/>
      <c r="AO270" s="2"/>
      <c r="AP270" s="2"/>
      <c r="AQ270" s="2"/>
      <c r="AR270" s="2"/>
    </row>
    <row r="271" spans="5:44" ht="14.45" customHeight="1" x14ac:dyDescent="0.25">
      <c r="E271" s="2"/>
      <c r="F271" s="125"/>
      <c r="G271" s="2"/>
      <c r="H271" s="2"/>
      <c r="I271" s="2"/>
      <c r="J271" s="2"/>
      <c r="K271" s="2"/>
      <c r="L271" s="2"/>
      <c r="M271" s="2"/>
      <c r="N271" s="2"/>
      <c r="O271" s="3"/>
      <c r="P271" s="2"/>
      <c r="Q271" s="2"/>
      <c r="R271" s="2"/>
      <c r="S271" s="2"/>
      <c r="T271" s="2"/>
      <c r="U271" s="2"/>
      <c r="V271" s="2"/>
      <c r="W271" s="3"/>
      <c r="X271" s="2"/>
      <c r="Y271" s="27">
        <v>1823</v>
      </c>
      <c r="Z271" s="27" t="s">
        <v>7</v>
      </c>
      <c r="AA271" s="29"/>
      <c r="AB271" s="27">
        <v>1823</v>
      </c>
      <c r="AC271" s="27" t="s">
        <v>7</v>
      </c>
      <c r="AD271" s="28"/>
      <c r="AE271" s="3"/>
      <c r="AF271" s="2"/>
      <c r="AG271" s="27">
        <v>1878</v>
      </c>
      <c r="AH271" s="27" t="s">
        <v>7</v>
      </c>
      <c r="AI271" s="29"/>
      <c r="AJ271" s="27">
        <v>1878</v>
      </c>
      <c r="AK271" s="27" t="s">
        <v>7</v>
      </c>
      <c r="AL271" s="3"/>
      <c r="AM271" s="2"/>
      <c r="AN271" s="2"/>
      <c r="AO271" s="2"/>
      <c r="AP271" s="2"/>
      <c r="AQ271" s="2"/>
      <c r="AR271" s="2"/>
    </row>
    <row r="272" spans="5:44" ht="14.45" customHeight="1" x14ac:dyDescent="0.25">
      <c r="E272" s="2"/>
      <c r="F272" s="125"/>
      <c r="G272" s="2"/>
      <c r="H272" s="2" t="s">
        <v>12</v>
      </c>
      <c r="I272" s="2"/>
      <c r="J272" s="2"/>
      <c r="K272" s="2"/>
      <c r="L272" s="2"/>
      <c r="M272" s="2"/>
      <c r="N272" s="2"/>
      <c r="O272" s="3"/>
      <c r="P272" s="2"/>
      <c r="Q272" s="2"/>
      <c r="R272" s="2"/>
      <c r="S272" s="2"/>
      <c r="T272" s="2"/>
      <c r="U272" s="2"/>
      <c r="V272" s="2"/>
      <c r="W272" s="3"/>
      <c r="X272" s="2" t="s">
        <v>12</v>
      </c>
      <c r="Y272" s="34" t="s">
        <v>86</v>
      </c>
      <c r="Z272" s="32" t="s">
        <v>70</v>
      </c>
      <c r="AA272" s="2"/>
      <c r="AB272" s="34" t="s">
        <v>86</v>
      </c>
      <c r="AC272" s="32" t="s">
        <v>70</v>
      </c>
      <c r="AD272" s="2"/>
      <c r="AE272" s="3"/>
      <c r="AF272" s="2" t="s">
        <v>12</v>
      </c>
      <c r="AG272" t="s">
        <v>50</v>
      </c>
      <c r="AH272" s="32" t="s">
        <v>70</v>
      </c>
      <c r="AI272" s="2"/>
      <c r="AJ272" t="s">
        <v>50</v>
      </c>
      <c r="AK272" s="32" t="s">
        <v>70</v>
      </c>
      <c r="AL272" s="3"/>
      <c r="AM272" s="2"/>
      <c r="AN272" s="2"/>
      <c r="AO272" s="2"/>
      <c r="AP272" s="2"/>
      <c r="AQ272" s="2"/>
      <c r="AR272" s="2"/>
    </row>
    <row r="273" spans="5:44" ht="14.45" customHeight="1" x14ac:dyDescent="0.25">
      <c r="E273" s="2"/>
      <c r="F273" s="125"/>
      <c r="G273" s="2"/>
      <c r="H273" s="2" t="s">
        <v>20</v>
      </c>
      <c r="I273" s="2"/>
      <c r="J273" s="2"/>
      <c r="K273" s="2"/>
      <c r="L273" s="2"/>
      <c r="M273" s="2"/>
      <c r="N273" s="2"/>
      <c r="O273" s="3"/>
      <c r="P273" s="2"/>
      <c r="Q273" s="2"/>
      <c r="R273" s="2"/>
      <c r="S273" s="2"/>
      <c r="T273" s="2"/>
      <c r="U273" s="2"/>
      <c r="V273" s="2"/>
      <c r="W273" s="3"/>
      <c r="X273" s="2" t="s">
        <v>20</v>
      </c>
      <c r="Y273" s="34" t="s">
        <v>86</v>
      </c>
      <c r="Z273" s="32" t="s">
        <v>70</v>
      </c>
      <c r="AA273" s="2"/>
      <c r="AB273" s="34" t="s">
        <v>86</v>
      </c>
      <c r="AC273" s="32" t="s">
        <v>70</v>
      </c>
      <c r="AD273" s="2"/>
      <c r="AE273" s="3"/>
      <c r="AF273" s="2" t="s">
        <v>20</v>
      </c>
      <c r="AG273" t="s">
        <v>50</v>
      </c>
      <c r="AH273" s="32" t="s">
        <v>70</v>
      </c>
      <c r="AI273" s="2"/>
      <c r="AJ273" t="s">
        <v>50</v>
      </c>
      <c r="AK273" s="32" t="s">
        <v>70</v>
      </c>
      <c r="AL273" s="3"/>
      <c r="AM273" s="2"/>
      <c r="AN273" s="2"/>
      <c r="AO273" s="2"/>
      <c r="AP273" s="2"/>
      <c r="AQ273" s="2"/>
      <c r="AR273" s="2"/>
    </row>
    <row r="274" spans="5:44" ht="14.45" customHeight="1" x14ac:dyDescent="0.25">
      <c r="E274" s="2"/>
      <c r="F274" s="125"/>
      <c r="G274" s="2"/>
      <c r="H274" s="2" t="s">
        <v>24</v>
      </c>
      <c r="I274" s="2"/>
      <c r="J274" s="2"/>
      <c r="K274" s="2"/>
      <c r="L274" s="2"/>
      <c r="M274" s="2"/>
      <c r="N274" s="2"/>
      <c r="O274" s="3"/>
      <c r="P274" s="2"/>
      <c r="Q274" s="2"/>
      <c r="R274" s="2"/>
      <c r="S274" s="2"/>
      <c r="T274" s="2"/>
      <c r="U274" s="2"/>
      <c r="V274" s="2"/>
      <c r="W274" s="3"/>
      <c r="X274" s="2" t="s">
        <v>24</v>
      </c>
      <c r="Y274" s="34" t="s">
        <v>87</v>
      </c>
      <c r="Z274" s="32" t="s">
        <v>70</v>
      </c>
      <c r="AA274" s="2"/>
      <c r="AB274" s="34" t="s">
        <v>87</v>
      </c>
      <c r="AC274" s="32" t="s">
        <v>70</v>
      </c>
      <c r="AD274" s="2"/>
      <c r="AE274" s="3"/>
      <c r="AF274" s="2" t="s">
        <v>24</v>
      </c>
      <c r="AG274" t="s">
        <v>50</v>
      </c>
      <c r="AH274" s="32" t="s">
        <v>70</v>
      </c>
      <c r="AI274" s="2"/>
      <c r="AJ274" t="s">
        <v>50</v>
      </c>
      <c r="AK274" s="32" t="s">
        <v>70</v>
      </c>
      <c r="AL274" s="3"/>
      <c r="AM274" s="2"/>
      <c r="AN274" s="2"/>
      <c r="AO274" s="2"/>
      <c r="AP274" s="2"/>
      <c r="AQ274" s="2"/>
      <c r="AR274" s="2"/>
    </row>
    <row r="275" spans="5:44" ht="14.45" customHeight="1" x14ac:dyDescent="0.25">
      <c r="E275" s="2"/>
      <c r="F275" s="125"/>
      <c r="G275" s="2"/>
      <c r="H275" s="2" t="s">
        <v>28</v>
      </c>
      <c r="I275" s="2"/>
      <c r="J275" s="2"/>
      <c r="K275" s="2"/>
      <c r="L275" s="2"/>
      <c r="M275" s="2"/>
      <c r="N275" s="2"/>
      <c r="O275" s="3"/>
      <c r="P275" s="2"/>
      <c r="Q275" s="2"/>
      <c r="R275" s="2"/>
      <c r="S275" s="2"/>
      <c r="T275" s="2"/>
      <c r="U275" s="2"/>
      <c r="V275" s="2"/>
      <c r="W275" s="3"/>
      <c r="X275" s="2" t="s">
        <v>28</v>
      </c>
      <c r="Y275" s="34" t="s">
        <v>87</v>
      </c>
      <c r="Z275" s="32" t="s">
        <v>70</v>
      </c>
      <c r="AA275" s="2"/>
      <c r="AB275" s="34" t="s">
        <v>87</v>
      </c>
      <c r="AC275" s="32" t="s">
        <v>70</v>
      </c>
      <c r="AD275" s="2"/>
      <c r="AE275" s="3"/>
      <c r="AF275" s="2" t="s">
        <v>28</v>
      </c>
      <c r="AG275" t="s">
        <v>50</v>
      </c>
      <c r="AH275" s="32" t="s">
        <v>70</v>
      </c>
      <c r="AI275" s="2"/>
      <c r="AJ275" t="s">
        <v>50</v>
      </c>
      <c r="AK275" s="32" t="s">
        <v>70</v>
      </c>
      <c r="AL275" s="3"/>
      <c r="AM275" s="2"/>
      <c r="AN275" s="2"/>
      <c r="AO275" s="2"/>
      <c r="AP275" s="2"/>
      <c r="AQ275" s="2"/>
      <c r="AR275" s="2"/>
    </row>
    <row r="276" spans="5:44" ht="14.45" customHeight="1" x14ac:dyDescent="0.25">
      <c r="E276" s="2"/>
      <c r="F276" s="125"/>
      <c r="G276" s="2"/>
      <c r="H276" s="2" t="s">
        <v>32</v>
      </c>
      <c r="I276" s="2"/>
      <c r="J276" s="2"/>
      <c r="K276" s="2"/>
      <c r="L276" s="2"/>
      <c r="M276" s="2"/>
      <c r="N276" s="2"/>
      <c r="O276" s="3"/>
      <c r="P276" s="2"/>
      <c r="Q276" s="2"/>
      <c r="R276" s="2"/>
      <c r="S276" s="2"/>
      <c r="T276" s="2"/>
      <c r="U276" s="2"/>
      <c r="V276" s="2"/>
      <c r="W276" s="3"/>
      <c r="X276" s="2" t="s">
        <v>32</v>
      </c>
      <c r="Y276" s="34" t="s">
        <v>87</v>
      </c>
      <c r="Z276" s="32" t="s">
        <v>70</v>
      </c>
      <c r="AA276" s="2"/>
      <c r="AB276" s="34" t="s">
        <v>87</v>
      </c>
      <c r="AC276" s="32" t="s">
        <v>70</v>
      </c>
      <c r="AD276" s="2"/>
      <c r="AE276" s="3"/>
      <c r="AF276" s="2" t="s">
        <v>32</v>
      </c>
      <c r="AG276" t="s">
        <v>50</v>
      </c>
      <c r="AH276" s="32" t="s">
        <v>70</v>
      </c>
      <c r="AI276" s="2"/>
      <c r="AJ276" t="s">
        <v>50</v>
      </c>
      <c r="AK276" s="32" t="s">
        <v>70</v>
      </c>
      <c r="AL276" s="3"/>
      <c r="AM276" s="2"/>
      <c r="AN276" s="2"/>
      <c r="AO276" s="2"/>
      <c r="AP276" s="2"/>
      <c r="AQ276" s="2"/>
      <c r="AR276" s="2"/>
    </row>
    <row r="277" spans="5:44" ht="14.45" customHeight="1" x14ac:dyDescent="0.25">
      <c r="E277" s="2"/>
      <c r="F277" s="125"/>
      <c r="G277" s="2"/>
      <c r="H277" s="2"/>
      <c r="I277" s="2"/>
      <c r="J277" s="2"/>
      <c r="K277" s="2"/>
      <c r="L277" s="2"/>
      <c r="M277" s="2"/>
      <c r="N277" s="2"/>
      <c r="O277" s="3"/>
      <c r="P277" s="2"/>
      <c r="Q277" s="2"/>
      <c r="R277" s="2"/>
      <c r="S277" s="2"/>
      <c r="T277" s="2"/>
      <c r="U277" s="2"/>
      <c r="V277" s="2"/>
      <c r="W277" s="3"/>
      <c r="X277" s="2"/>
      <c r="Y277" s="2"/>
      <c r="Z277" s="2"/>
      <c r="AA277" s="2"/>
      <c r="AB277" s="2"/>
      <c r="AC277" s="2"/>
      <c r="AD277" s="2"/>
      <c r="AE277" s="3"/>
      <c r="AF277" s="2"/>
      <c r="AG277" s="2"/>
      <c r="AH277" s="2"/>
      <c r="AI277" s="2"/>
      <c r="AJ277" s="2"/>
      <c r="AK277" s="2"/>
      <c r="AL277" s="3"/>
      <c r="AM277" s="2"/>
      <c r="AN277" s="2"/>
      <c r="AO277" s="2"/>
      <c r="AP277" s="2"/>
      <c r="AQ277" s="2"/>
      <c r="AR277" s="2"/>
    </row>
    <row r="278" spans="5:44" ht="14.45" customHeight="1" x14ac:dyDescent="0.25">
      <c r="E278" s="2"/>
      <c r="F278" s="125"/>
      <c r="G278" s="2"/>
      <c r="H278" s="2"/>
      <c r="I278" s="2"/>
      <c r="J278" s="2"/>
      <c r="K278" s="2"/>
      <c r="L278" s="2"/>
      <c r="M278" s="2"/>
      <c r="N278" s="2"/>
      <c r="O278" s="3"/>
      <c r="P278" s="2"/>
      <c r="Q278" s="2"/>
      <c r="R278" s="2"/>
      <c r="S278" s="2"/>
      <c r="T278" s="2"/>
      <c r="U278" s="2"/>
      <c r="V278" s="2"/>
      <c r="W278" s="3"/>
      <c r="X278" s="2"/>
      <c r="Y278" s="25" t="s">
        <v>88</v>
      </c>
      <c r="Z278" s="25"/>
      <c r="AA278" s="25"/>
      <c r="AB278" s="25" t="s">
        <v>89</v>
      </c>
      <c r="AC278" s="3"/>
      <c r="AD278" s="2"/>
      <c r="AE278" s="3"/>
      <c r="AF278" s="2"/>
      <c r="AG278" s="2"/>
      <c r="AH278" s="2"/>
      <c r="AI278" s="2"/>
      <c r="AJ278" s="2"/>
      <c r="AK278" s="2"/>
      <c r="AL278" s="3"/>
      <c r="AM278" s="2"/>
      <c r="AN278" s="2"/>
      <c r="AO278" s="2"/>
      <c r="AP278" s="2"/>
      <c r="AQ278" s="2"/>
      <c r="AR278" s="2"/>
    </row>
    <row r="279" spans="5:44" ht="14.45" customHeight="1" x14ac:dyDescent="0.25">
      <c r="E279" s="2"/>
      <c r="F279" s="125"/>
      <c r="G279" s="2"/>
      <c r="H279" s="2"/>
      <c r="I279" s="2"/>
      <c r="J279" s="2"/>
      <c r="K279" s="2"/>
      <c r="L279" s="2"/>
      <c r="M279" s="2"/>
      <c r="N279" s="2"/>
      <c r="O279" s="3"/>
      <c r="P279" s="2"/>
      <c r="Q279" s="2"/>
      <c r="R279" s="2"/>
      <c r="S279" s="2"/>
      <c r="T279" s="2"/>
      <c r="U279" s="2"/>
      <c r="V279" s="2"/>
      <c r="W279" s="3"/>
      <c r="X279" s="2"/>
      <c r="Y279" s="26" t="s">
        <v>4</v>
      </c>
      <c r="Z279" s="26"/>
      <c r="AA279" s="26"/>
      <c r="AB279" s="26" t="s">
        <v>5</v>
      </c>
      <c r="AC279" s="26"/>
      <c r="AD279" s="2"/>
      <c r="AE279" s="3"/>
      <c r="AF279" s="2"/>
      <c r="AG279" s="2"/>
      <c r="AH279" s="2"/>
      <c r="AI279" s="2"/>
      <c r="AJ279" s="2"/>
      <c r="AK279" s="2"/>
      <c r="AL279" s="3"/>
      <c r="AM279" s="2"/>
      <c r="AN279" s="2"/>
      <c r="AO279" s="2"/>
      <c r="AP279" s="2"/>
      <c r="AQ279" s="2"/>
      <c r="AR279" s="2"/>
    </row>
    <row r="280" spans="5:44" ht="14.45" customHeight="1" x14ac:dyDescent="0.25">
      <c r="E280" s="2"/>
      <c r="F280" s="125"/>
      <c r="G280" s="2"/>
      <c r="H280" s="2"/>
      <c r="I280" s="2"/>
      <c r="J280" s="2"/>
      <c r="K280" s="2"/>
      <c r="L280" s="2"/>
      <c r="M280" s="2"/>
      <c r="N280" s="2"/>
      <c r="O280" s="3"/>
      <c r="P280" s="2"/>
      <c r="Q280" s="2"/>
      <c r="R280" s="2"/>
      <c r="S280" s="2"/>
      <c r="T280" s="2"/>
      <c r="U280" s="2"/>
      <c r="V280" s="2"/>
      <c r="W280" s="3"/>
      <c r="X280" s="2"/>
      <c r="Y280" s="27" t="s">
        <v>90</v>
      </c>
      <c r="Z280" s="27" t="s">
        <v>7</v>
      </c>
      <c r="AA280" s="29"/>
      <c r="AB280" s="27" t="s">
        <v>90</v>
      </c>
      <c r="AC280" s="27" t="s">
        <v>7</v>
      </c>
      <c r="AD280" s="2"/>
      <c r="AE280" s="3"/>
      <c r="AF280" s="2"/>
      <c r="AG280" s="2"/>
      <c r="AH280" s="2"/>
      <c r="AI280" s="2"/>
      <c r="AJ280" s="2"/>
      <c r="AK280" s="2"/>
      <c r="AL280" s="3"/>
      <c r="AM280" s="2"/>
      <c r="AN280" s="2"/>
      <c r="AO280" s="2"/>
      <c r="AP280" s="2"/>
      <c r="AQ280" s="2"/>
      <c r="AR280" s="2"/>
    </row>
    <row r="281" spans="5:44" ht="14.45" customHeight="1" x14ac:dyDescent="0.25">
      <c r="E281" s="2"/>
      <c r="F281" s="125"/>
      <c r="G281" s="2"/>
      <c r="H281" s="2" t="s">
        <v>12</v>
      </c>
      <c r="I281" s="2"/>
      <c r="J281" s="2"/>
      <c r="K281" s="2"/>
      <c r="L281" s="2"/>
      <c r="M281" s="2"/>
      <c r="N281" s="2"/>
      <c r="O281" s="3"/>
      <c r="P281" s="2"/>
      <c r="Q281" s="2"/>
      <c r="R281" s="2"/>
      <c r="S281" s="2"/>
      <c r="T281" s="2"/>
      <c r="U281" s="2"/>
      <c r="V281" s="2"/>
      <c r="W281" s="3"/>
      <c r="X281" s="2" t="s">
        <v>12</v>
      </c>
      <c r="Y281" t="s">
        <v>19</v>
      </c>
      <c r="Z281" s="32" t="s">
        <v>79</v>
      </c>
      <c r="AA281" s="2"/>
      <c r="AB281" t="s">
        <v>19</v>
      </c>
      <c r="AC281" s="32" t="s">
        <v>79</v>
      </c>
      <c r="AD281" s="2"/>
      <c r="AE281" s="3"/>
      <c r="AF281" s="2"/>
      <c r="AG281" s="2"/>
      <c r="AH281" s="2"/>
      <c r="AI281" s="2"/>
      <c r="AJ281" s="2"/>
      <c r="AK281" s="2"/>
      <c r="AL281" s="3"/>
      <c r="AM281" s="2"/>
      <c r="AN281" s="2"/>
      <c r="AO281" s="2"/>
      <c r="AP281" s="2"/>
      <c r="AQ281" s="2"/>
      <c r="AR281" s="2"/>
    </row>
    <row r="282" spans="5:44" ht="14.45" customHeight="1" x14ac:dyDescent="0.25">
      <c r="E282" s="2"/>
      <c r="F282" s="125"/>
      <c r="G282" s="2"/>
      <c r="H282" s="2" t="s">
        <v>20</v>
      </c>
      <c r="I282" s="2"/>
      <c r="J282" s="2"/>
      <c r="K282" s="2"/>
      <c r="L282" s="2"/>
      <c r="M282" s="2"/>
      <c r="N282" s="2"/>
      <c r="O282" s="3"/>
      <c r="P282" s="2"/>
      <c r="Q282" s="2"/>
      <c r="R282" s="2"/>
      <c r="S282" s="2"/>
      <c r="T282" s="2"/>
      <c r="U282" s="2"/>
      <c r="V282" s="2"/>
      <c r="W282" s="3"/>
      <c r="X282" s="2" t="s">
        <v>20</v>
      </c>
      <c r="Y282" t="s">
        <v>66</v>
      </c>
      <c r="Z282" s="32" t="s">
        <v>79</v>
      </c>
      <c r="AA282" s="2"/>
      <c r="AB282" t="s">
        <v>66</v>
      </c>
      <c r="AC282" s="32" t="s">
        <v>79</v>
      </c>
      <c r="AD282" s="2"/>
      <c r="AE282" s="3"/>
      <c r="AF282" s="2"/>
      <c r="AG282" s="2"/>
      <c r="AH282" s="2"/>
      <c r="AI282" s="2"/>
      <c r="AJ282" s="2"/>
      <c r="AK282" s="2"/>
      <c r="AL282" s="3"/>
      <c r="AM282" s="2"/>
      <c r="AN282" s="2"/>
      <c r="AO282" s="2"/>
      <c r="AP282" s="2"/>
      <c r="AQ282" s="2"/>
      <c r="AR282" s="2"/>
    </row>
    <row r="283" spans="5:44" ht="14.45" customHeight="1" x14ac:dyDescent="0.25">
      <c r="E283" s="2"/>
      <c r="F283" s="125"/>
      <c r="G283" s="2"/>
      <c r="H283" s="2" t="s">
        <v>24</v>
      </c>
      <c r="I283" s="2"/>
      <c r="J283" s="2"/>
      <c r="K283" s="2"/>
      <c r="L283" s="2"/>
      <c r="M283" s="2"/>
      <c r="N283" s="2"/>
      <c r="O283" s="3"/>
      <c r="P283" s="2"/>
      <c r="Q283" s="2"/>
      <c r="R283" s="2"/>
      <c r="S283" s="2"/>
      <c r="T283" s="2"/>
      <c r="U283" s="2"/>
      <c r="V283" s="2"/>
      <c r="W283" s="3"/>
      <c r="X283" s="2" t="s">
        <v>24</v>
      </c>
      <c r="Y283" s="19" t="s">
        <v>44</v>
      </c>
      <c r="Z283" s="32" t="s">
        <v>70</v>
      </c>
      <c r="AA283" s="2"/>
      <c r="AB283" s="19" t="s">
        <v>44</v>
      </c>
      <c r="AC283" s="32" t="s">
        <v>70</v>
      </c>
      <c r="AD283" s="2"/>
      <c r="AE283" s="3"/>
      <c r="AF283" s="2"/>
      <c r="AG283" s="2"/>
      <c r="AH283" s="2"/>
      <c r="AI283" s="2"/>
      <c r="AJ283" s="2"/>
      <c r="AK283" s="2"/>
      <c r="AL283" s="3"/>
      <c r="AM283" s="2"/>
      <c r="AN283" s="2"/>
      <c r="AO283" s="2"/>
      <c r="AP283" s="2"/>
      <c r="AQ283" s="2"/>
      <c r="AR283" s="2"/>
    </row>
    <row r="284" spans="5:44" ht="14.45" customHeight="1" x14ac:dyDescent="0.25">
      <c r="E284" s="2"/>
      <c r="F284" s="125"/>
      <c r="G284" s="2"/>
      <c r="H284" s="2" t="s">
        <v>28</v>
      </c>
      <c r="I284" s="2"/>
      <c r="J284" s="2"/>
      <c r="K284" s="2"/>
      <c r="L284" s="2"/>
      <c r="M284" s="2"/>
      <c r="N284" s="2"/>
      <c r="O284" s="3"/>
      <c r="P284" s="2"/>
      <c r="Q284" s="2"/>
      <c r="R284" s="2"/>
      <c r="S284" s="2"/>
      <c r="T284" s="2"/>
      <c r="U284" s="2"/>
      <c r="V284" s="2"/>
      <c r="W284" s="3"/>
      <c r="X284" s="2" t="s">
        <v>28</v>
      </c>
      <c r="Y284" s="14" t="s">
        <v>34</v>
      </c>
      <c r="Z284" s="32" t="s">
        <v>70</v>
      </c>
      <c r="AA284" s="2"/>
      <c r="AB284" s="14" t="s">
        <v>34</v>
      </c>
      <c r="AC284" s="32" t="s">
        <v>70</v>
      </c>
      <c r="AD284" s="2"/>
      <c r="AE284" s="3"/>
      <c r="AF284" s="2"/>
      <c r="AG284" s="2"/>
      <c r="AH284" s="2"/>
      <c r="AI284" s="2"/>
      <c r="AJ284" s="2"/>
      <c r="AK284" s="2"/>
      <c r="AL284" s="3"/>
      <c r="AM284" s="2"/>
      <c r="AN284" s="2"/>
      <c r="AO284" s="2"/>
      <c r="AP284" s="2"/>
      <c r="AQ284" s="2"/>
      <c r="AR284" s="2"/>
    </row>
    <row r="285" spans="5:44" ht="14.45" customHeight="1" x14ac:dyDescent="0.25">
      <c r="E285" s="2"/>
      <c r="F285" s="125"/>
      <c r="G285" s="2"/>
      <c r="H285" s="2" t="s">
        <v>32</v>
      </c>
      <c r="I285" s="2"/>
      <c r="J285" s="2"/>
      <c r="K285" s="2"/>
      <c r="L285" s="2"/>
      <c r="M285" s="2"/>
      <c r="N285" s="2"/>
      <c r="O285" s="3"/>
      <c r="P285" s="2"/>
      <c r="Q285" s="2"/>
      <c r="R285" s="2"/>
      <c r="S285" s="2"/>
      <c r="T285" s="2"/>
      <c r="U285" s="2"/>
      <c r="V285" s="2"/>
      <c r="W285" s="3"/>
      <c r="X285" s="2" t="s">
        <v>32</v>
      </c>
      <c r="Y285" s="8" t="s">
        <v>36</v>
      </c>
      <c r="Z285" s="32" t="s">
        <v>91</v>
      </c>
      <c r="AA285" s="2"/>
      <c r="AB285" s="8" t="s">
        <v>36</v>
      </c>
      <c r="AC285" s="32" t="s">
        <v>91</v>
      </c>
      <c r="AD285" s="2"/>
      <c r="AE285" s="3"/>
      <c r="AF285" s="2"/>
      <c r="AG285" s="2"/>
      <c r="AH285" s="2"/>
      <c r="AI285" s="2"/>
      <c r="AJ285" s="2"/>
      <c r="AK285" s="2"/>
      <c r="AL285" s="3"/>
      <c r="AM285" s="2"/>
      <c r="AN285" s="2"/>
      <c r="AO285" s="2"/>
      <c r="AP285" s="2"/>
      <c r="AQ285" s="2"/>
      <c r="AR285" s="2"/>
    </row>
    <row r="286" spans="5:44" ht="14.45" customHeight="1" x14ac:dyDescent="0.25">
      <c r="E286" s="2"/>
      <c r="F286" s="125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 spans="5:44" ht="14.45" customHeight="1" x14ac:dyDescent="0.25">
      <c r="E287" s="2"/>
      <c r="F287" s="12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 spans="5:44" ht="14.45" customHeight="1" x14ac:dyDescent="0.25">
      <c r="E288" s="2"/>
      <c r="F288" s="125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 spans="5:44" x14ac:dyDescent="0.25"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1" spans="5:44" x14ac:dyDescent="0.25"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124"/>
      <c r="V291" s="124"/>
      <c r="W291" s="124"/>
      <c r="X291" s="124"/>
      <c r="Y291" s="124" t="s">
        <v>1</v>
      </c>
      <c r="Z291" s="124"/>
      <c r="AA291" s="124"/>
      <c r="AB291" s="124"/>
      <c r="AC291" s="124"/>
      <c r="AD291" s="26"/>
      <c r="AE291" s="3"/>
      <c r="AF291" s="2"/>
      <c r="AG291" s="36" t="s">
        <v>2</v>
      </c>
      <c r="AH291" s="36"/>
      <c r="AI291" s="36"/>
      <c r="AJ291" s="36" t="s">
        <v>3</v>
      </c>
      <c r="AK291" s="37"/>
      <c r="AL291" s="3"/>
      <c r="AM291" s="2"/>
      <c r="AN291" s="2"/>
      <c r="AO291" s="2"/>
      <c r="AP291" s="2"/>
      <c r="AQ291" s="2"/>
      <c r="AR291" s="2"/>
    </row>
    <row r="292" spans="5:44" x14ac:dyDescent="0.25">
      <c r="E292" s="2"/>
      <c r="F292" s="125" t="str">
        <f>"ww"&amp;IF(LEFT($F$1,2)+1&lt;10,"0"&amp;LEFT($F$1,2)+1,LEFT($F$1,2)+1)&amp;".1"</f>
        <v>ww17.1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6" t="s">
        <v>4</v>
      </c>
      <c r="Z292" s="26"/>
      <c r="AA292" s="26"/>
      <c r="AB292" s="26" t="s">
        <v>5</v>
      </c>
      <c r="AC292" s="26"/>
      <c r="AD292" s="26"/>
      <c r="AE292" s="3"/>
      <c r="AF292" s="2"/>
      <c r="AG292" s="26" t="s">
        <v>4</v>
      </c>
      <c r="AH292" s="26"/>
      <c r="AI292" s="26"/>
      <c r="AJ292" s="26" t="s">
        <v>5</v>
      </c>
      <c r="AK292" s="26"/>
      <c r="AL292" s="3"/>
      <c r="AM292" s="2"/>
      <c r="AN292" s="2"/>
      <c r="AO292" s="2"/>
      <c r="AP292" s="2"/>
      <c r="AQ292" s="2"/>
      <c r="AR292" s="2"/>
    </row>
    <row r="293" spans="5:44" x14ac:dyDescent="0.25">
      <c r="E293" s="2"/>
      <c r="F293" s="125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7" t="s">
        <v>6</v>
      </c>
      <c r="Z293" s="27" t="s">
        <v>7</v>
      </c>
      <c r="AA293" s="2"/>
      <c r="AB293" s="27" t="s">
        <v>6</v>
      </c>
      <c r="AC293" s="27" t="s">
        <v>7</v>
      </c>
      <c r="AD293" s="28"/>
      <c r="AE293" s="3"/>
      <c r="AF293" s="2"/>
      <c r="AG293" s="27" t="s">
        <v>2</v>
      </c>
      <c r="AH293" s="27" t="s">
        <v>7</v>
      </c>
      <c r="AI293" s="29"/>
      <c r="AJ293" s="27" t="s">
        <v>2</v>
      </c>
      <c r="AK293" s="27" t="s">
        <v>7</v>
      </c>
      <c r="AL293" s="3"/>
      <c r="AM293" s="2"/>
      <c r="AN293" s="6" t="s">
        <v>8</v>
      </c>
      <c r="AO293" s="6" t="s">
        <v>9</v>
      </c>
      <c r="AP293" s="7" t="s">
        <v>10</v>
      </c>
      <c r="AQ293" s="7" t="s">
        <v>11</v>
      </c>
      <c r="AR293" s="2"/>
    </row>
    <row r="294" spans="5:44" x14ac:dyDescent="0.25">
      <c r="E294" s="2"/>
      <c r="F294" s="125"/>
      <c r="G294" s="2"/>
      <c r="H294" s="2" t="s">
        <v>12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30" t="s">
        <v>13</v>
      </c>
      <c r="V294" s="30" t="s">
        <v>14</v>
      </c>
      <c r="W294" s="30"/>
      <c r="X294" s="31"/>
      <c r="Z294" t="s">
        <v>15</v>
      </c>
      <c r="AA294" s="2"/>
      <c r="AC294" t="s">
        <v>15</v>
      </c>
      <c r="AD294" s="2"/>
      <c r="AE294" s="3"/>
      <c r="AF294" s="2" t="s">
        <v>12</v>
      </c>
      <c r="AG294" s="70" t="s">
        <v>16</v>
      </c>
      <c r="AH294" s="32" t="s">
        <v>17</v>
      </c>
      <c r="AI294" s="2"/>
      <c r="AJ294" s="70" t="s">
        <v>16</v>
      </c>
      <c r="AK294" s="32" t="s">
        <v>17</v>
      </c>
      <c r="AL294" s="3"/>
      <c r="AM294" s="2"/>
      <c r="AN294" s="9" t="s">
        <v>18</v>
      </c>
      <c r="AO294" s="9" t="s">
        <v>19</v>
      </c>
      <c r="AP294" s="5">
        <f>(COUNTIF($I$292:$I$383,"=*"&amp;AO294&amp;"*")+COUNTIF($Q$292:$Q$382,"=*"&amp;AO294&amp;"*")+COUNTIF($AG$291:$AG$385,"=*"&amp;AO294&amp;"*")+COUNTIF($Y$292:$Y$385,"=*"&amp;AO294&amp;"*"))*2</f>
        <v>2</v>
      </c>
      <c r="AQ294" s="5">
        <f>(COUNTIF($L$293:$L$384,"=*"&amp;AO294&amp;"*")+COUNTIF($T$294:$T$384,"=*"&amp;AO294&amp;"*")+COUNTIF($AJ$291:$AJ$385,"=*"&amp;AO294&amp;"*")+COUNTIF($AB$292:$AB$385,"=*"&amp;AO294&amp;"*"))*2</f>
        <v>2</v>
      </c>
      <c r="AR294" s="2"/>
    </row>
    <row r="295" spans="5:44" x14ac:dyDescent="0.25">
      <c r="E295" s="2"/>
      <c r="F295" s="125"/>
      <c r="G295" s="2"/>
      <c r="H295" s="2" t="s">
        <v>20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30" t="s">
        <v>21</v>
      </c>
      <c r="V295" s="30" t="s">
        <v>14</v>
      </c>
      <c r="W295" s="30"/>
      <c r="X295" s="31"/>
      <c r="AA295" s="2"/>
      <c r="AD295" s="2"/>
      <c r="AE295" s="3"/>
      <c r="AF295" s="2" t="s">
        <v>20</v>
      </c>
      <c r="AG295" s="70" t="s">
        <v>16</v>
      </c>
      <c r="AH295" s="32" t="s">
        <v>17</v>
      </c>
      <c r="AI295" s="2"/>
      <c r="AJ295" s="70" t="s">
        <v>16</v>
      </c>
      <c r="AK295" s="32" t="s">
        <v>17</v>
      </c>
      <c r="AL295" s="3"/>
      <c r="AM295" s="2"/>
      <c r="AN295" s="10" t="s">
        <v>22</v>
      </c>
      <c r="AO295" s="10" t="s">
        <v>23</v>
      </c>
      <c r="AP295" s="5">
        <f t="shared" ref="AP295:AP321" si="11">(COUNTIF($I$292:$I$383,"=*"&amp;AO295&amp;"*")+COUNTIF($Q$292:$Q$382,"=*"&amp;AO295&amp;"*")+COUNTIF($AG$291:$AG$385,"=*"&amp;AO295&amp;"*")+COUNTIF($Y$292:$Y$385,"=*"&amp;AO295&amp;"*"))*2</f>
        <v>0</v>
      </c>
      <c r="AQ295" s="5">
        <f t="shared" ref="AQ295:AQ321" si="12">(COUNTIF($L$293:$L$384,"=*"&amp;AO295&amp;"*")+COUNTIF($T$294:$T$384,"=*"&amp;AO295&amp;"*")+COUNTIF($AJ$291:$AJ$385,"=*"&amp;AO295&amp;"*")+COUNTIF($AB$292:$AB$385,"=*"&amp;AO295&amp;"*"))*2</f>
        <v>0</v>
      </c>
      <c r="AR295" s="2"/>
    </row>
    <row r="296" spans="5:44" x14ac:dyDescent="0.25">
      <c r="E296" s="2"/>
      <c r="F296" s="125"/>
      <c r="G296" s="2"/>
      <c r="H296" s="2" t="s">
        <v>24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30" t="s">
        <v>25</v>
      </c>
      <c r="V296" s="30" t="s">
        <v>14</v>
      </c>
      <c r="W296" s="30"/>
      <c r="X296" s="31"/>
      <c r="Z296" t="s">
        <v>15</v>
      </c>
      <c r="AA296" s="2"/>
      <c r="AC296" t="s">
        <v>15</v>
      </c>
      <c r="AD296" s="2"/>
      <c r="AE296" s="3"/>
      <c r="AF296" s="2" t="s">
        <v>24</v>
      </c>
      <c r="AG296" s="70" t="s">
        <v>16</v>
      </c>
      <c r="AH296" s="32" t="s">
        <v>17</v>
      </c>
      <c r="AI296" s="2"/>
      <c r="AJ296" s="70" t="s">
        <v>16</v>
      </c>
      <c r="AK296" s="32" t="s">
        <v>17</v>
      </c>
      <c r="AL296" s="3"/>
      <c r="AM296" s="2"/>
      <c r="AN296" s="11" t="s">
        <v>26</v>
      </c>
      <c r="AO296" s="11" t="s">
        <v>27</v>
      </c>
      <c r="AP296" s="5">
        <f t="shared" si="11"/>
        <v>14</v>
      </c>
      <c r="AQ296" s="5">
        <f t="shared" si="12"/>
        <v>14</v>
      </c>
      <c r="AR296" s="2"/>
    </row>
    <row r="297" spans="5:44" x14ac:dyDescent="0.25">
      <c r="E297" s="2"/>
      <c r="F297" s="125"/>
      <c r="G297" s="2"/>
      <c r="H297" s="2" t="s">
        <v>28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30" t="s">
        <v>29</v>
      </c>
      <c r="V297" s="30" t="s">
        <v>14</v>
      </c>
      <c r="W297" s="30"/>
      <c r="X297" s="31"/>
      <c r="Z297" t="s">
        <v>15</v>
      </c>
      <c r="AA297" s="2"/>
      <c r="AC297" t="s">
        <v>15</v>
      </c>
      <c r="AD297" s="2"/>
      <c r="AE297" s="3"/>
      <c r="AF297" s="2" t="s">
        <v>28</v>
      </c>
      <c r="AG297" s="70" t="s">
        <v>16</v>
      </c>
      <c r="AH297" s="32" t="s">
        <v>17</v>
      </c>
      <c r="AI297" s="2"/>
      <c r="AJ297" s="70" t="s">
        <v>16</v>
      </c>
      <c r="AK297" s="32" t="s">
        <v>17</v>
      </c>
      <c r="AL297" s="3"/>
      <c r="AM297" s="2"/>
      <c r="AN297" s="12" t="s">
        <v>30</v>
      </c>
      <c r="AO297" s="12" t="s">
        <v>31</v>
      </c>
      <c r="AP297" s="5">
        <f t="shared" si="11"/>
        <v>6</v>
      </c>
      <c r="AQ297" s="5">
        <f t="shared" si="12"/>
        <v>6</v>
      </c>
      <c r="AR297" s="2"/>
    </row>
    <row r="298" spans="5:44" x14ac:dyDescent="0.25">
      <c r="E298" s="2"/>
      <c r="F298" s="125"/>
      <c r="G298" s="2"/>
      <c r="H298" s="2" t="s">
        <v>32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31"/>
      <c r="V298" s="31"/>
      <c r="W298" s="31"/>
      <c r="X298" s="31"/>
      <c r="AA298" s="2"/>
      <c r="AD298" s="2"/>
      <c r="AE298" s="3"/>
      <c r="AF298" s="2" t="s">
        <v>32</v>
      </c>
      <c r="AG298" s="70" t="s">
        <v>16</v>
      </c>
      <c r="AH298" s="32" t="s">
        <v>17</v>
      </c>
      <c r="AI298" s="2"/>
      <c r="AJ298" s="70" t="s">
        <v>16</v>
      </c>
      <c r="AK298" s="32" t="s">
        <v>17</v>
      </c>
      <c r="AL298" s="3"/>
      <c r="AM298" s="2"/>
      <c r="AN298" s="14" t="s">
        <v>33</v>
      </c>
      <c r="AO298" s="14" t="s">
        <v>34</v>
      </c>
      <c r="AP298" s="5">
        <f t="shared" si="11"/>
        <v>2</v>
      </c>
      <c r="AQ298" s="5">
        <f t="shared" si="12"/>
        <v>2</v>
      </c>
      <c r="AR298" s="2"/>
    </row>
    <row r="299" spans="5:44" x14ac:dyDescent="0.25">
      <c r="E299" s="2"/>
      <c r="F299" s="125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3"/>
      <c r="AF299" s="2"/>
      <c r="AG299" s="2"/>
      <c r="AH299" s="2"/>
      <c r="AI299" s="2"/>
      <c r="AJ299" s="2"/>
      <c r="AK299" s="2"/>
      <c r="AL299" s="3"/>
      <c r="AM299" s="2"/>
      <c r="AN299" s="8" t="s">
        <v>35</v>
      </c>
      <c r="AO299" s="8" t="s">
        <v>36</v>
      </c>
      <c r="AP299" s="5">
        <f>(COUNTIF($I$292:$I$383,"=*"&amp;AO299&amp;"*")+COUNTIF($Q$292:$Q$382,"=*"&amp;AO299&amp;"*")+COUNTIF($AG$291:$AG$385,"=*"&amp;AO299&amp;"*")+COUNTIF($Y$292:$Y$385,"=*"&amp;AO299&amp;"*"))*2</f>
        <v>2</v>
      </c>
      <c r="AQ299" s="5">
        <f t="shared" si="12"/>
        <v>2</v>
      </c>
      <c r="AR299" s="2"/>
    </row>
    <row r="300" spans="5:44" x14ac:dyDescent="0.25">
      <c r="E300" s="2"/>
      <c r="F300" s="125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36">
        <v>2117</v>
      </c>
      <c r="Z300" s="36"/>
      <c r="AA300" s="36"/>
      <c r="AB300" s="36" t="s">
        <v>3</v>
      </c>
      <c r="AC300" s="37"/>
      <c r="AD300" s="2"/>
      <c r="AE300" s="3"/>
      <c r="AF300" s="2"/>
      <c r="AG300" s="25">
        <v>2207</v>
      </c>
      <c r="AH300" s="25"/>
      <c r="AI300" s="25"/>
      <c r="AJ300" s="25" t="s">
        <v>3</v>
      </c>
      <c r="AK300" s="3"/>
      <c r="AL300" s="3"/>
      <c r="AM300" s="2"/>
      <c r="AN300" s="16" t="s">
        <v>37</v>
      </c>
      <c r="AO300" s="16" t="s">
        <v>38</v>
      </c>
      <c r="AP300" s="5">
        <f t="shared" si="11"/>
        <v>0</v>
      </c>
      <c r="AQ300" s="5">
        <f t="shared" si="12"/>
        <v>0</v>
      </c>
      <c r="AR300" s="2"/>
    </row>
    <row r="301" spans="5:44" x14ac:dyDescent="0.25">
      <c r="E301" s="2"/>
      <c r="F301" s="125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6" t="s">
        <v>4</v>
      </c>
      <c r="Z301" s="26"/>
      <c r="AA301" s="26"/>
      <c r="AB301" s="26" t="s">
        <v>5</v>
      </c>
      <c r="AC301" s="26"/>
      <c r="AD301" s="26"/>
      <c r="AE301" s="3"/>
      <c r="AF301" s="2"/>
      <c r="AG301" s="26" t="s">
        <v>4</v>
      </c>
      <c r="AH301" s="26"/>
      <c r="AI301" s="26"/>
      <c r="AJ301" s="26" t="s">
        <v>5</v>
      </c>
      <c r="AK301" s="26"/>
      <c r="AL301" s="3"/>
      <c r="AM301" s="2"/>
      <c r="AN301" s="17" t="s">
        <v>39</v>
      </c>
      <c r="AO301" s="17" t="s">
        <v>40</v>
      </c>
      <c r="AP301" s="5">
        <f t="shared" si="11"/>
        <v>0</v>
      </c>
      <c r="AQ301" s="5">
        <f t="shared" si="12"/>
        <v>0</v>
      </c>
      <c r="AR301" s="2"/>
    </row>
    <row r="302" spans="5:44" x14ac:dyDescent="0.25">
      <c r="E302" s="2"/>
      <c r="F302" s="125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3"/>
      <c r="R302" s="33"/>
      <c r="S302" s="33"/>
      <c r="T302" s="33"/>
      <c r="U302" s="2"/>
      <c r="V302" s="2"/>
      <c r="W302" s="2"/>
      <c r="X302" s="2"/>
      <c r="Y302" s="27">
        <v>2117</v>
      </c>
      <c r="Z302" s="27" t="s">
        <v>7</v>
      </c>
      <c r="AA302" s="2"/>
      <c r="AB302" s="27">
        <v>2117</v>
      </c>
      <c r="AC302" s="27" t="s">
        <v>7</v>
      </c>
      <c r="AD302" s="28"/>
      <c r="AE302" s="3"/>
      <c r="AF302" s="2"/>
      <c r="AG302" s="27">
        <v>2207</v>
      </c>
      <c r="AH302" s="27" t="s">
        <v>7</v>
      </c>
      <c r="AI302" s="29"/>
      <c r="AJ302" s="27">
        <v>2207</v>
      </c>
      <c r="AK302" s="27" t="s">
        <v>7</v>
      </c>
      <c r="AL302" s="3"/>
      <c r="AM302" s="2"/>
      <c r="AN302" s="18" t="s">
        <v>41</v>
      </c>
      <c r="AO302" s="18" t="s">
        <v>42</v>
      </c>
      <c r="AP302" s="5">
        <f t="shared" si="11"/>
        <v>0</v>
      </c>
      <c r="AQ302" s="5">
        <f t="shared" si="12"/>
        <v>0</v>
      </c>
      <c r="AR302" s="2"/>
    </row>
    <row r="303" spans="5:44" x14ac:dyDescent="0.25">
      <c r="E303" s="2"/>
      <c r="F303" s="125"/>
      <c r="G303" s="2"/>
      <c r="H303" s="2" t="s">
        <v>12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 t="s">
        <v>12</v>
      </c>
      <c r="Y303" s="70" t="s">
        <v>16</v>
      </c>
      <c r="Z303" s="32" t="s">
        <v>17</v>
      </c>
      <c r="AA303" s="2"/>
      <c r="AB303" s="70" t="s">
        <v>16</v>
      </c>
      <c r="AC303" s="32" t="s">
        <v>17</v>
      </c>
      <c r="AD303" s="2"/>
      <c r="AE303" s="3"/>
      <c r="AF303" s="2" t="s">
        <v>12</v>
      </c>
      <c r="AG303" s="70" t="s">
        <v>16</v>
      </c>
      <c r="AH303" s="32" t="s">
        <v>17</v>
      </c>
      <c r="AI303" s="2"/>
      <c r="AJ303" s="70" t="s">
        <v>16</v>
      </c>
      <c r="AK303" s="32" t="s">
        <v>17</v>
      </c>
      <c r="AL303" s="3"/>
      <c r="AM303" s="2"/>
      <c r="AN303" s="19" t="s">
        <v>43</v>
      </c>
      <c r="AO303" s="19" t="s">
        <v>44</v>
      </c>
      <c r="AP303" s="5">
        <f t="shared" si="11"/>
        <v>2</v>
      </c>
      <c r="AQ303" s="5">
        <f t="shared" si="12"/>
        <v>2</v>
      </c>
      <c r="AR303" s="2"/>
    </row>
    <row r="304" spans="5:44" x14ac:dyDescent="0.25">
      <c r="E304" s="2"/>
      <c r="F304" s="125"/>
      <c r="G304" s="2"/>
      <c r="H304" s="2" t="s">
        <v>20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 t="s">
        <v>20</v>
      </c>
      <c r="Y304" s="70" t="s">
        <v>16</v>
      </c>
      <c r="Z304" s="32" t="s">
        <v>17</v>
      </c>
      <c r="AA304" s="2"/>
      <c r="AB304" s="70" t="s">
        <v>16</v>
      </c>
      <c r="AC304" s="32" t="s">
        <v>17</v>
      </c>
      <c r="AD304" s="2"/>
      <c r="AE304" s="3"/>
      <c r="AF304" s="2" t="s">
        <v>20</v>
      </c>
      <c r="AG304" s="70" t="s">
        <v>16</v>
      </c>
      <c r="AH304" s="32" t="s">
        <v>17</v>
      </c>
      <c r="AI304" s="2"/>
      <c r="AJ304" s="70" t="s">
        <v>16</v>
      </c>
      <c r="AK304" s="32" t="s">
        <v>17</v>
      </c>
      <c r="AL304" s="3"/>
      <c r="AM304" s="2"/>
      <c r="AN304" s="20" t="s">
        <v>45</v>
      </c>
      <c r="AO304" s="20" t="s">
        <v>46</v>
      </c>
      <c r="AP304" s="5">
        <f t="shared" si="11"/>
        <v>0</v>
      </c>
      <c r="AQ304" s="5">
        <f t="shared" si="12"/>
        <v>0</v>
      </c>
      <c r="AR304" s="2"/>
    </row>
    <row r="305" spans="5:44" x14ac:dyDescent="0.25">
      <c r="E305" s="2"/>
      <c r="F305" s="125"/>
      <c r="G305" s="2"/>
      <c r="H305" s="2" t="s">
        <v>24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 t="s">
        <v>24</v>
      </c>
      <c r="Y305" s="70" t="s">
        <v>16</v>
      </c>
      <c r="Z305" s="32" t="s">
        <v>17</v>
      </c>
      <c r="AA305" s="2"/>
      <c r="AB305" s="70" t="s">
        <v>16</v>
      </c>
      <c r="AC305" s="32" t="s">
        <v>17</v>
      </c>
      <c r="AD305" s="2"/>
      <c r="AE305" s="3"/>
      <c r="AF305" s="2" t="s">
        <v>24</v>
      </c>
      <c r="AG305" s="70" t="s">
        <v>16</v>
      </c>
      <c r="AH305" s="32" t="s">
        <v>17</v>
      </c>
      <c r="AI305" s="2"/>
      <c r="AJ305" s="70" t="s">
        <v>16</v>
      </c>
      <c r="AK305" s="32" t="s">
        <v>17</v>
      </c>
      <c r="AL305" s="3"/>
      <c r="AM305" s="2"/>
      <c r="AN305" s="21" t="s">
        <v>47</v>
      </c>
      <c r="AO305" s="21" t="s">
        <v>48</v>
      </c>
      <c r="AP305" s="5">
        <f t="shared" si="11"/>
        <v>0</v>
      </c>
      <c r="AQ305" s="5">
        <f t="shared" si="12"/>
        <v>0</v>
      </c>
      <c r="AR305" s="2"/>
    </row>
    <row r="306" spans="5:44" x14ac:dyDescent="0.25">
      <c r="E306" s="2"/>
      <c r="F306" s="125"/>
      <c r="G306" s="2"/>
      <c r="H306" s="2" t="s">
        <v>28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 t="s">
        <v>28</v>
      </c>
      <c r="Y306" s="70" t="s">
        <v>16</v>
      </c>
      <c r="Z306" s="32" t="s">
        <v>17</v>
      </c>
      <c r="AA306" s="2"/>
      <c r="AB306" s="70" t="s">
        <v>16</v>
      </c>
      <c r="AC306" s="32" t="s">
        <v>17</v>
      </c>
      <c r="AD306" s="2"/>
      <c r="AE306" s="3"/>
      <c r="AF306" s="2" t="s">
        <v>28</v>
      </c>
      <c r="AG306" s="70" t="s">
        <v>16</v>
      </c>
      <c r="AH306" s="32" t="s">
        <v>17</v>
      </c>
      <c r="AI306" s="2"/>
      <c r="AJ306" s="70" t="s">
        <v>16</v>
      </c>
      <c r="AK306" s="32" t="s">
        <v>17</v>
      </c>
      <c r="AL306" s="3"/>
      <c r="AM306" s="2"/>
      <c r="AN306" s="13" t="s">
        <v>49</v>
      </c>
      <c r="AO306" s="13" t="s">
        <v>50</v>
      </c>
      <c r="AP306" s="5">
        <f t="shared" si="11"/>
        <v>20</v>
      </c>
      <c r="AQ306" s="5">
        <f t="shared" si="12"/>
        <v>20</v>
      </c>
      <c r="AR306" s="2"/>
    </row>
    <row r="307" spans="5:44" x14ac:dyDescent="0.25">
      <c r="E307" s="2"/>
      <c r="F307" s="125"/>
      <c r="G307" s="2"/>
      <c r="H307" s="2" t="s">
        <v>32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 t="s">
        <v>32</v>
      </c>
      <c r="Y307" s="70" t="s">
        <v>16</v>
      </c>
      <c r="Z307" s="32" t="s">
        <v>17</v>
      </c>
      <c r="AA307" s="2"/>
      <c r="AB307" s="70" t="s">
        <v>16</v>
      </c>
      <c r="AC307" s="32" t="s">
        <v>17</v>
      </c>
      <c r="AD307" s="2"/>
      <c r="AE307" s="3"/>
      <c r="AF307" s="2" t="s">
        <v>32</v>
      </c>
      <c r="AG307" s="70" t="s">
        <v>16</v>
      </c>
      <c r="AH307" s="32" t="s">
        <v>17</v>
      </c>
      <c r="AI307" s="2"/>
      <c r="AJ307" s="70" t="s">
        <v>16</v>
      </c>
      <c r="AK307" s="32" t="s">
        <v>17</v>
      </c>
      <c r="AL307" s="3"/>
      <c r="AM307" s="2"/>
      <c r="AN307" s="4" t="s">
        <v>51</v>
      </c>
      <c r="AO307" s="4" t="s">
        <v>52</v>
      </c>
      <c r="AP307" s="5">
        <f t="shared" si="11"/>
        <v>0</v>
      </c>
      <c r="AQ307" s="5">
        <f t="shared" si="12"/>
        <v>0</v>
      </c>
      <c r="AR307" s="2"/>
    </row>
    <row r="308" spans="5:44" x14ac:dyDescent="0.25">
      <c r="E308" s="2"/>
      <c r="F308" s="125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3"/>
      <c r="AF308" s="2"/>
      <c r="AG308" s="2"/>
      <c r="AH308" s="2"/>
      <c r="AI308" s="2"/>
      <c r="AJ308" s="2"/>
      <c r="AK308" s="2"/>
      <c r="AL308" s="3"/>
      <c r="AM308" s="2"/>
      <c r="AN308" s="22" t="s">
        <v>53</v>
      </c>
      <c r="AO308" s="22" t="s">
        <v>54</v>
      </c>
      <c r="AP308" s="5">
        <f t="shared" si="11"/>
        <v>0</v>
      </c>
      <c r="AQ308" s="5">
        <f t="shared" si="12"/>
        <v>0</v>
      </c>
      <c r="AR308" s="2"/>
    </row>
    <row r="309" spans="5:44" x14ac:dyDescent="0.25">
      <c r="E309" s="2"/>
      <c r="F309" s="125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36">
        <v>1701</v>
      </c>
      <c r="Z309" s="36"/>
      <c r="AA309" s="36"/>
      <c r="AB309" s="36" t="s">
        <v>3</v>
      </c>
      <c r="AC309" s="37"/>
      <c r="AD309" s="2"/>
      <c r="AE309" s="3"/>
      <c r="AF309" s="2"/>
      <c r="AG309" s="36">
        <v>1785</v>
      </c>
      <c r="AH309" s="36"/>
      <c r="AI309" s="36"/>
      <c r="AJ309" s="36" t="s">
        <v>3</v>
      </c>
      <c r="AK309" s="37"/>
      <c r="AL309" s="3"/>
      <c r="AM309" s="2"/>
      <c r="AN309" s="24" t="s">
        <v>55</v>
      </c>
      <c r="AO309" s="24" t="s">
        <v>56</v>
      </c>
      <c r="AP309" s="5">
        <f t="shared" si="11"/>
        <v>0</v>
      </c>
      <c r="AQ309" s="5">
        <f t="shared" si="12"/>
        <v>0</v>
      </c>
      <c r="AR309" s="2"/>
    </row>
    <row r="310" spans="5:44" x14ac:dyDescent="0.25">
      <c r="E310" s="2"/>
      <c r="F310" s="125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6" t="s">
        <v>4</v>
      </c>
      <c r="Z310" s="26"/>
      <c r="AA310" s="26"/>
      <c r="AB310" s="26" t="s">
        <v>5</v>
      </c>
      <c r="AC310" s="26"/>
      <c r="AD310" s="26"/>
      <c r="AE310" s="3"/>
      <c r="AF310" s="2"/>
      <c r="AG310" s="26" t="s">
        <v>4</v>
      </c>
      <c r="AH310" s="26"/>
      <c r="AI310" s="26"/>
      <c r="AJ310" s="26" t="s">
        <v>5</v>
      </c>
      <c r="AK310" s="26"/>
      <c r="AL310" s="3"/>
      <c r="AM310" s="2"/>
      <c r="AN310" s="35" t="s">
        <v>57</v>
      </c>
      <c r="AO310" s="35" t="s">
        <v>16</v>
      </c>
      <c r="AP310" s="5">
        <f t="shared" si="11"/>
        <v>50</v>
      </c>
      <c r="AQ310" s="5">
        <f t="shared" si="12"/>
        <v>50</v>
      </c>
      <c r="AR310" s="2"/>
    </row>
    <row r="311" spans="5:44" x14ac:dyDescent="0.25">
      <c r="E311" s="2"/>
      <c r="F311" s="12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7">
        <v>1701</v>
      </c>
      <c r="Z311" s="27" t="s">
        <v>7</v>
      </c>
      <c r="AA311" s="2"/>
      <c r="AB311" s="27">
        <v>1701</v>
      </c>
      <c r="AC311" s="27" t="s">
        <v>7</v>
      </c>
      <c r="AD311" s="28"/>
      <c r="AE311" s="3"/>
      <c r="AF311" s="2"/>
      <c r="AG311" s="27">
        <v>1785</v>
      </c>
      <c r="AH311" s="27" t="s">
        <v>7</v>
      </c>
      <c r="AI311" s="29"/>
      <c r="AJ311" s="27">
        <v>1785</v>
      </c>
      <c r="AK311" s="27" t="s">
        <v>7</v>
      </c>
      <c r="AL311" s="3"/>
      <c r="AM311" s="2"/>
      <c r="AN311" s="4" t="s">
        <v>58</v>
      </c>
      <c r="AO311" s="4" t="s">
        <v>59</v>
      </c>
      <c r="AP311" s="5">
        <f t="shared" si="11"/>
        <v>2</v>
      </c>
      <c r="AQ311" s="5">
        <f t="shared" si="12"/>
        <v>2</v>
      </c>
      <c r="AR311" s="2"/>
    </row>
    <row r="312" spans="5:44" x14ac:dyDescent="0.25">
      <c r="E312" s="2"/>
      <c r="F312" s="125"/>
      <c r="G312" s="2"/>
      <c r="H312" s="2" t="s">
        <v>12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 t="s">
        <v>12</v>
      </c>
      <c r="Y312" s="70" t="s">
        <v>16</v>
      </c>
      <c r="Z312" s="32" t="s">
        <v>17</v>
      </c>
      <c r="AA312" s="2"/>
      <c r="AB312" s="70" t="s">
        <v>16</v>
      </c>
      <c r="AC312" s="32" t="s">
        <v>17</v>
      </c>
      <c r="AD312" s="2"/>
      <c r="AE312" s="3"/>
      <c r="AF312" s="2" t="s">
        <v>12</v>
      </c>
      <c r="AG312" s="70" t="s">
        <v>16</v>
      </c>
      <c r="AH312" s="32" t="s">
        <v>17</v>
      </c>
      <c r="AI312" s="2"/>
      <c r="AJ312" s="70" t="s">
        <v>16</v>
      </c>
      <c r="AK312" s="32" t="s">
        <v>17</v>
      </c>
      <c r="AL312" s="3"/>
      <c r="AM312" s="2"/>
      <c r="AN312" s="4" t="s">
        <v>60</v>
      </c>
      <c r="AO312" s="4" t="s">
        <v>61</v>
      </c>
      <c r="AP312" s="5">
        <f t="shared" si="11"/>
        <v>6</v>
      </c>
      <c r="AQ312" s="5">
        <f t="shared" si="12"/>
        <v>6</v>
      </c>
      <c r="AR312" s="2"/>
    </row>
    <row r="313" spans="5:44" x14ac:dyDescent="0.25">
      <c r="E313" s="2"/>
      <c r="F313" s="125"/>
      <c r="G313" s="2"/>
      <c r="H313" s="2" t="s">
        <v>20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 t="s">
        <v>20</v>
      </c>
      <c r="Y313" s="70" t="s">
        <v>16</v>
      </c>
      <c r="Z313" s="32" t="s">
        <v>17</v>
      </c>
      <c r="AA313" s="2"/>
      <c r="AB313" s="70" t="s">
        <v>16</v>
      </c>
      <c r="AC313" s="32" t="s">
        <v>17</v>
      </c>
      <c r="AD313" s="2"/>
      <c r="AE313" s="3"/>
      <c r="AF313" s="2" t="s">
        <v>20</v>
      </c>
      <c r="AG313" s="70" t="s">
        <v>16</v>
      </c>
      <c r="AH313" s="32" t="s">
        <v>17</v>
      </c>
      <c r="AI313" s="2"/>
      <c r="AJ313" s="70" t="s">
        <v>16</v>
      </c>
      <c r="AK313" s="32" t="s">
        <v>17</v>
      </c>
      <c r="AL313" s="3"/>
      <c r="AM313" s="2"/>
      <c r="AN313" s="4" t="s">
        <v>62</v>
      </c>
      <c r="AO313" s="4" t="s">
        <v>62</v>
      </c>
      <c r="AP313" s="5">
        <f t="shared" si="11"/>
        <v>0</v>
      </c>
      <c r="AQ313" s="5">
        <f t="shared" si="12"/>
        <v>0</v>
      </c>
      <c r="AR313" s="2"/>
    </row>
    <row r="314" spans="5:44" x14ac:dyDescent="0.25">
      <c r="E314" s="2"/>
      <c r="F314" s="125"/>
      <c r="G314" s="2"/>
      <c r="H314" s="2" t="s">
        <v>24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 t="s">
        <v>24</v>
      </c>
      <c r="Y314" s="70" t="s">
        <v>16</v>
      </c>
      <c r="Z314" s="32" t="s">
        <v>17</v>
      </c>
      <c r="AA314" s="2"/>
      <c r="AB314" s="70" t="s">
        <v>16</v>
      </c>
      <c r="AC314" s="32" t="s">
        <v>17</v>
      </c>
      <c r="AD314" s="2"/>
      <c r="AE314" s="3"/>
      <c r="AF314" s="2" t="s">
        <v>24</v>
      </c>
      <c r="AG314" s="70" t="s">
        <v>16</v>
      </c>
      <c r="AH314" s="32" t="s">
        <v>17</v>
      </c>
      <c r="AI314" s="2"/>
      <c r="AJ314" s="70" t="s">
        <v>16</v>
      </c>
      <c r="AK314" s="32" t="s">
        <v>17</v>
      </c>
      <c r="AL314" s="3"/>
      <c r="AM314" s="2"/>
      <c r="AN314" s="4" t="s">
        <v>62</v>
      </c>
      <c r="AO314" s="4" t="s">
        <v>62</v>
      </c>
      <c r="AP314" s="5">
        <f t="shared" si="11"/>
        <v>0</v>
      </c>
      <c r="AQ314" s="5">
        <f t="shared" si="12"/>
        <v>0</v>
      </c>
      <c r="AR314" s="2"/>
    </row>
    <row r="315" spans="5:44" x14ac:dyDescent="0.25">
      <c r="E315" s="2"/>
      <c r="F315" s="125"/>
      <c r="G315" s="2"/>
      <c r="H315" s="2" t="s">
        <v>28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 t="s">
        <v>28</v>
      </c>
      <c r="Y315" s="70" t="s">
        <v>16</v>
      </c>
      <c r="Z315" s="32" t="s">
        <v>17</v>
      </c>
      <c r="AA315" s="2"/>
      <c r="AB315" s="70" t="s">
        <v>16</v>
      </c>
      <c r="AC315" s="32" t="s">
        <v>17</v>
      </c>
      <c r="AD315" s="2"/>
      <c r="AE315" s="3"/>
      <c r="AF315" s="2" t="s">
        <v>28</v>
      </c>
      <c r="AG315" s="70" t="s">
        <v>16</v>
      </c>
      <c r="AH315" s="32" t="s">
        <v>17</v>
      </c>
      <c r="AI315" s="2"/>
      <c r="AJ315" s="70" t="s">
        <v>16</v>
      </c>
      <c r="AK315" s="32" t="s">
        <v>17</v>
      </c>
      <c r="AL315" s="3"/>
      <c r="AM315" s="2"/>
      <c r="AN315" s="4" t="s">
        <v>62</v>
      </c>
      <c r="AO315" s="4" t="s">
        <v>62</v>
      </c>
      <c r="AP315" s="5">
        <f t="shared" si="11"/>
        <v>0</v>
      </c>
      <c r="AQ315" s="5">
        <f t="shared" si="12"/>
        <v>0</v>
      </c>
      <c r="AR315" s="2"/>
    </row>
    <row r="316" spans="5:44" x14ac:dyDescent="0.25">
      <c r="E316" s="2"/>
      <c r="F316" s="125"/>
      <c r="G316" s="2"/>
      <c r="H316" s="2" t="s">
        <v>32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 t="s">
        <v>32</v>
      </c>
      <c r="Y316" s="70" t="s">
        <v>16</v>
      </c>
      <c r="Z316" s="32" t="s">
        <v>17</v>
      </c>
      <c r="AA316" s="2"/>
      <c r="AB316" s="70" t="s">
        <v>16</v>
      </c>
      <c r="AC316" s="32" t="s">
        <v>17</v>
      </c>
      <c r="AD316" s="2"/>
      <c r="AE316" s="3"/>
      <c r="AF316" s="2" t="s">
        <v>32</v>
      </c>
      <c r="AG316" s="70" t="s">
        <v>16</v>
      </c>
      <c r="AH316" s="32" t="s">
        <v>17</v>
      </c>
      <c r="AI316" s="2"/>
      <c r="AJ316" s="70" t="s">
        <v>16</v>
      </c>
      <c r="AK316" s="32" t="s">
        <v>17</v>
      </c>
      <c r="AL316" s="3"/>
      <c r="AM316" s="2"/>
      <c r="AN316" s="4" t="s">
        <v>62</v>
      </c>
      <c r="AO316" s="4" t="s">
        <v>62</v>
      </c>
      <c r="AP316" s="5">
        <f t="shared" si="11"/>
        <v>0</v>
      </c>
      <c r="AQ316" s="5">
        <f t="shared" si="12"/>
        <v>0</v>
      </c>
      <c r="AR316" s="2"/>
    </row>
    <row r="317" spans="5:44" x14ac:dyDescent="0.25">
      <c r="E317" s="2"/>
      <c r="F317" s="12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3"/>
      <c r="AF317" s="2"/>
      <c r="AG317" s="2"/>
      <c r="AH317" s="2"/>
      <c r="AI317" s="2"/>
      <c r="AJ317" s="2"/>
      <c r="AK317" s="2"/>
      <c r="AL317" s="3"/>
      <c r="AM317" s="2"/>
      <c r="AN317" s="4" t="s">
        <v>62</v>
      </c>
      <c r="AO317" s="4" t="s">
        <v>62</v>
      </c>
      <c r="AP317" s="5">
        <f t="shared" si="11"/>
        <v>0</v>
      </c>
      <c r="AQ317" s="5">
        <f t="shared" si="12"/>
        <v>0</v>
      </c>
      <c r="AR317" s="2"/>
    </row>
    <row r="318" spans="5:44" x14ac:dyDescent="0.25">
      <c r="E318" s="2"/>
      <c r="F318" s="125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36">
        <v>1439</v>
      </c>
      <c r="Z318" s="36"/>
      <c r="AA318" s="36"/>
      <c r="AB318" s="36" t="s">
        <v>63</v>
      </c>
      <c r="AC318" s="37"/>
      <c r="AD318" s="2"/>
      <c r="AE318" s="3"/>
      <c r="AF318" s="2"/>
      <c r="AG318" s="25">
        <v>1455</v>
      </c>
      <c r="AH318" s="25"/>
      <c r="AI318" s="25"/>
      <c r="AJ318" s="25" t="s">
        <v>63</v>
      </c>
      <c r="AK318" s="3"/>
      <c r="AL318" s="3"/>
      <c r="AM318" s="2"/>
      <c r="AN318" s="4" t="s">
        <v>62</v>
      </c>
      <c r="AO318" s="4" t="s">
        <v>62</v>
      </c>
      <c r="AP318" s="5">
        <f t="shared" si="11"/>
        <v>0</v>
      </c>
      <c r="AQ318" s="5">
        <f t="shared" si="12"/>
        <v>0</v>
      </c>
      <c r="AR318" s="2"/>
    </row>
    <row r="319" spans="5:44" x14ac:dyDescent="0.25">
      <c r="E319" s="2"/>
      <c r="F319" s="12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6" t="s">
        <v>4</v>
      </c>
      <c r="Z319" s="26"/>
      <c r="AA319" s="26"/>
      <c r="AB319" s="26" t="s">
        <v>5</v>
      </c>
      <c r="AC319" s="26"/>
      <c r="AD319" s="26"/>
      <c r="AE319" s="3"/>
      <c r="AF319" s="2"/>
      <c r="AG319" s="26" t="s">
        <v>4</v>
      </c>
      <c r="AH319" s="26"/>
      <c r="AI319" s="26"/>
      <c r="AJ319" s="26" t="s">
        <v>5</v>
      </c>
      <c r="AK319" s="26"/>
      <c r="AL319" s="3"/>
      <c r="AM319" s="2"/>
      <c r="AN319" s="4" t="s">
        <v>64</v>
      </c>
      <c r="AO319" s="4" t="s">
        <v>64</v>
      </c>
      <c r="AP319" s="5">
        <f t="shared" si="11"/>
        <v>10</v>
      </c>
      <c r="AQ319" s="5">
        <f t="shared" si="12"/>
        <v>10</v>
      </c>
      <c r="AR319" s="2"/>
    </row>
    <row r="320" spans="5:44" x14ac:dyDescent="0.25">
      <c r="E320" s="2"/>
      <c r="F320" s="125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7">
        <v>1439</v>
      </c>
      <c r="Z320" s="27" t="s">
        <v>7</v>
      </c>
      <c r="AA320" s="2"/>
      <c r="AB320" s="27">
        <v>1439</v>
      </c>
      <c r="AC320" s="27" t="s">
        <v>7</v>
      </c>
      <c r="AD320" s="28"/>
      <c r="AE320" s="3"/>
      <c r="AF320" s="2"/>
      <c r="AG320" s="27">
        <v>1455</v>
      </c>
      <c r="AH320" s="27" t="s">
        <v>7</v>
      </c>
      <c r="AI320" s="29"/>
      <c r="AJ320" s="27">
        <v>1455</v>
      </c>
      <c r="AK320" s="27" t="s">
        <v>7</v>
      </c>
      <c r="AL320" s="3"/>
      <c r="AM320" s="2"/>
      <c r="AN320" s="4" t="s">
        <v>65</v>
      </c>
      <c r="AO320" s="4" t="s">
        <v>66</v>
      </c>
      <c r="AP320" s="5">
        <f t="shared" si="11"/>
        <v>64</v>
      </c>
      <c r="AQ320" s="5">
        <f t="shared" si="12"/>
        <v>64</v>
      </c>
      <c r="AR320" s="2"/>
    </row>
    <row r="321" spans="5:44" x14ac:dyDescent="0.25">
      <c r="E321" s="2"/>
      <c r="F321" s="125"/>
      <c r="G321" s="2"/>
      <c r="H321" s="2" t="s">
        <v>12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 t="s">
        <v>12</v>
      </c>
      <c r="Y321" t="s">
        <v>66</v>
      </c>
      <c r="Z321" s="32" t="s">
        <v>67</v>
      </c>
      <c r="AA321" s="2"/>
      <c r="AB321" t="s">
        <v>66</v>
      </c>
      <c r="AC321" s="32" t="s">
        <v>67</v>
      </c>
      <c r="AD321" s="2"/>
      <c r="AE321" s="3"/>
      <c r="AF321" s="2" t="s">
        <v>12</v>
      </c>
      <c r="AG321" t="s">
        <v>66</v>
      </c>
      <c r="AH321" s="32" t="s">
        <v>67</v>
      </c>
      <c r="AI321" s="2"/>
      <c r="AJ321" t="s">
        <v>66</v>
      </c>
      <c r="AK321" s="32" t="s">
        <v>67</v>
      </c>
      <c r="AL321" s="3"/>
      <c r="AM321" s="2"/>
      <c r="AN321" s="4" t="s">
        <v>68</v>
      </c>
      <c r="AO321" s="4" t="s">
        <v>68</v>
      </c>
      <c r="AP321" s="5">
        <f t="shared" si="11"/>
        <v>0</v>
      </c>
      <c r="AQ321" s="5">
        <f t="shared" si="12"/>
        <v>0</v>
      </c>
      <c r="AR321" s="2"/>
    </row>
    <row r="322" spans="5:44" x14ac:dyDescent="0.25">
      <c r="E322" s="2"/>
      <c r="F322" s="125"/>
      <c r="G322" s="2"/>
      <c r="H322" s="2" t="s">
        <v>20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 t="s">
        <v>20</v>
      </c>
      <c r="Y322" t="s">
        <v>66</v>
      </c>
      <c r="Z322" s="32" t="s">
        <v>67</v>
      </c>
      <c r="AA322" s="2"/>
      <c r="AB322" t="s">
        <v>66</v>
      </c>
      <c r="AC322" s="32" t="s">
        <v>67</v>
      </c>
      <c r="AD322" s="2"/>
      <c r="AE322" s="3"/>
      <c r="AF322" s="2" t="s">
        <v>20</v>
      </c>
      <c r="AG322" t="s">
        <v>66</v>
      </c>
      <c r="AH322" s="32" t="s">
        <v>67</v>
      </c>
      <c r="AI322" s="2"/>
      <c r="AJ322" t="s">
        <v>66</v>
      </c>
      <c r="AK322" s="32" t="s">
        <v>67</v>
      </c>
      <c r="AL322" s="3"/>
      <c r="AM322" s="2"/>
      <c r="AN322" s="4"/>
      <c r="AO322" s="4" t="s">
        <v>69</v>
      </c>
      <c r="AP322" s="5">
        <f>+SUM(AP294:AP321)</f>
        <v>180</v>
      </c>
      <c r="AQ322" s="5">
        <f>+SUM(AQ294:AQ321)</f>
        <v>180</v>
      </c>
      <c r="AR322" s="2"/>
    </row>
    <row r="323" spans="5:44" x14ac:dyDescent="0.25">
      <c r="E323" s="2"/>
      <c r="F323" s="125"/>
      <c r="G323" s="2"/>
      <c r="H323" s="2" t="s">
        <v>24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 t="s">
        <v>24</v>
      </c>
      <c r="Y323" t="s">
        <v>66</v>
      </c>
      <c r="Z323" s="32" t="s">
        <v>67</v>
      </c>
      <c r="AA323" s="2"/>
      <c r="AB323" t="s">
        <v>66</v>
      </c>
      <c r="AC323" s="32" t="s">
        <v>67</v>
      </c>
      <c r="AD323" s="2"/>
      <c r="AE323" s="3"/>
      <c r="AF323" s="2" t="s">
        <v>24</v>
      </c>
      <c r="AG323" t="s">
        <v>66</v>
      </c>
      <c r="AH323" s="32" t="s">
        <v>67</v>
      </c>
      <c r="AI323" s="2"/>
      <c r="AJ323" t="s">
        <v>66</v>
      </c>
      <c r="AK323" s="32" t="s">
        <v>67</v>
      </c>
      <c r="AL323" s="3"/>
      <c r="AM323" s="2"/>
      <c r="AN323" s="2"/>
      <c r="AO323" s="2"/>
      <c r="AP323" s="2"/>
      <c r="AQ323" s="2"/>
      <c r="AR323" s="2"/>
    </row>
    <row r="324" spans="5:44" x14ac:dyDescent="0.25">
      <c r="E324" s="2"/>
      <c r="F324" s="125"/>
      <c r="G324" s="2"/>
      <c r="H324" s="2" t="s">
        <v>28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 t="s">
        <v>28</v>
      </c>
      <c r="Y324" t="s">
        <v>66</v>
      </c>
      <c r="Z324" s="32" t="s">
        <v>67</v>
      </c>
      <c r="AA324" s="2"/>
      <c r="AB324" t="s">
        <v>66</v>
      </c>
      <c r="AC324" s="32" t="s">
        <v>67</v>
      </c>
      <c r="AD324" s="2"/>
      <c r="AE324" s="3"/>
      <c r="AF324" s="2" t="s">
        <v>28</v>
      </c>
      <c r="AG324" t="s">
        <v>66</v>
      </c>
      <c r="AH324" s="32" t="s">
        <v>67</v>
      </c>
      <c r="AI324" s="2"/>
      <c r="AJ324" t="s">
        <v>66</v>
      </c>
      <c r="AK324" s="32" t="s">
        <v>67</v>
      </c>
      <c r="AL324" s="3"/>
      <c r="AM324" s="2"/>
      <c r="AN324" s="2"/>
      <c r="AO324" s="2"/>
      <c r="AP324" s="2"/>
      <c r="AQ324" s="2"/>
      <c r="AR324" s="2"/>
    </row>
    <row r="325" spans="5:44" x14ac:dyDescent="0.25">
      <c r="E325" s="2"/>
      <c r="F325" s="125"/>
      <c r="G325" s="2"/>
      <c r="H325" s="2" t="s">
        <v>32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 t="s">
        <v>32</v>
      </c>
      <c r="Y325" t="s">
        <v>66</v>
      </c>
      <c r="Z325" s="32" t="s">
        <v>67</v>
      </c>
      <c r="AA325" s="2"/>
      <c r="AB325" t="s">
        <v>66</v>
      </c>
      <c r="AC325" s="32" t="s">
        <v>67</v>
      </c>
      <c r="AD325" s="2"/>
      <c r="AE325" s="3"/>
      <c r="AF325" s="2" t="s">
        <v>32</v>
      </c>
      <c r="AG325" t="s">
        <v>66</v>
      </c>
      <c r="AH325" s="32" t="s">
        <v>67</v>
      </c>
      <c r="AI325" s="2"/>
      <c r="AJ325" t="s">
        <v>66</v>
      </c>
      <c r="AK325" s="32" t="s">
        <v>67</v>
      </c>
      <c r="AL325" s="3"/>
      <c r="AM325" s="2"/>
      <c r="AN325" s="2"/>
      <c r="AO325" s="2"/>
      <c r="AP325" s="2"/>
      <c r="AQ325" s="2"/>
      <c r="AR325" s="2"/>
    </row>
    <row r="326" spans="5:44" x14ac:dyDescent="0.25">
      <c r="E326" s="2"/>
      <c r="F326" s="12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3"/>
      <c r="AF326" s="2"/>
      <c r="AG326" s="2"/>
      <c r="AH326" s="2"/>
      <c r="AI326" s="2"/>
      <c r="AJ326" s="2"/>
      <c r="AK326" s="2"/>
      <c r="AL326" s="3"/>
      <c r="AM326" s="2"/>
      <c r="AN326" s="2"/>
      <c r="AO326" s="2"/>
      <c r="AP326" s="2"/>
      <c r="AQ326" s="2"/>
      <c r="AR326" s="2"/>
    </row>
    <row r="327" spans="5:44" x14ac:dyDescent="0.25">
      <c r="E327" s="2"/>
      <c r="F327" s="125"/>
      <c r="G327" s="2"/>
      <c r="H327" s="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2"/>
      <c r="AN327" s="2"/>
      <c r="AO327" s="2"/>
      <c r="AP327" s="2"/>
      <c r="AQ327" s="2"/>
      <c r="AR327" s="2"/>
    </row>
    <row r="328" spans="5:44" x14ac:dyDescent="0.25">
      <c r="E328" s="2"/>
      <c r="F328" s="125"/>
      <c r="G328" s="2"/>
      <c r="H328" s="2"/>
      <c r="I328" s="2"/>
      <c r="J328" s="2"/>
      <c r="K328" s="2"/>
      <c r="L328" s="2"/>
      <c r="M328" s="2"/>
      <c r="N328" s="2"/>
      <c r="O328" s="3"/>
      <c r="P328" s="2"/>
      <c r="Q328" s="2"/>
      <c r="R328" s="2"/>
      <c r="S328" s="2"/>
      <c r="T328" s="2"/>
      <c r="U328" s="2"/>
      <c r="V328" s="2"/>
      <c r="W328" s="3"/>
      <c r="X328" s="2"/>
      <c r="Y328" s="2"/>
      <c r="Z328" s="2"/>
      <c r="AA328" s="2"/>
      <c r="AB328" s="2"/>
      <c r="AC328" s="2"/>
      <c r="AD328" s="2"/>
      <c r="AE328" s="3"/>
      <c r="AF328" s="2"/>
      <c r="AG328" s="2"/>
      <c r="AH328" s="2"/>
      <c r="AI328" s="2"/>
      <c r="AJ328" s="2"/>
      <c r="AK328" s="2"/>
      <c r="AL328" s="3"/>
      <c r="AM328" s="2"/>
      <c r="AN328" s="2"/>
      <c r="AO328" s="2"/>
      <c r="AP328" s="2"/>
      <c r="AQ328" s="2"/>
      <c r="AR328" s="2"/>
    </row>
    <row r="329" spans="5:44" x14ac:dyDescent="0.25">
      <c r="E329" s="2"/>
      <c r="F329" s="125"/>
      <c r="G329" s="2"/>
      <c r="H329" s="2"/>
      <c r="I329" s="25">
        <v>2930</v>
      </c>
      <c r="J329" s="25"/>
      <c r="K329" s="25"/>
      <c r="L329" s="25" t="s">
        <v>63</v>
      </c>
      <c r="M329" s="3"/>
      <c r="N329" s="2"/>
      <c r="O329" s="3"/>
      <c r="P329" s="2"/>
      <c r="Q329" s="25"/>
      <c r="R329" s="25"/>
      <c r="S329" s="25"/>
      <c r="T329" s="25"/>
      <c r="U329" s="3"/>
      <c r="V329" s="2"/>
      <c r="W329" s="3"/>
      <c r="X329" s="2"/>
      <c r="Y329" s="25"/>
      <c r="Z329" s="25"/>
      <c r="AA329" s="25"/>
      <c r="AB329" s="25"/>
      <c r="AC329" s="3"/>
      <c r="AD329" s="2"/>
      <c r="AE329" s="3"/>
      <c r="AF329" s="2"/>
      <c r="AG329" s="25"/>
      <c r="AH329" s="25"/>
      <c r="AI329" s="25"/>
      <c r="AJ329" s="25"/>
      <c r="AK329" s="3"/>
      <c r="AL329" s="3"/>
      <c r="AM329" s="2"/>
      <c r="AN329" s="2"/>
      <c r="AO329" s="2"/>
      <c r="AP329" s="2"/>
      <c r="AQ329" s="2"/>
      <c r="AR329" s="2"/>
    </row>
    <row r="330" spans="5:44" x14ac:dyDescent="0.25">
      <c r="E330" s="2"/>
      <c r="F330" s="125"/>
      <c r="G330" s="2"/>
      <c r="H330" s="2"/>
      <c r="I330" s="26" t="s">
        <v>4</v>
      </c>
      <c r="J330" s="26"/>
      <c r="K330" s="26"/>
      <c r="L330" s="26" t="s">
        <v>5</v>
      </c>
      <c r="M330" s="26"/>
      <c r="N330" s="2"/>
      <c r="O330" s="3"/>
      <c r="P330" s="2"/>
      <c r="Q330" s="26"/>
      <c r="R330" s="26"/>
      <c r="S330" s="26"/>
      <c r="T330" s="26"/>
      <c r="U330" s="26"/>
      <c r="V330" s="2"/>
      <c r="W330" s="3"/>
      <c r="X330" s="2"/>
      <c r="Y330" s="26"/>
      <c r="Z330" s="26"/>
      <c r="AA330" s="26"/>
      <c r="AB330" s="26"/>
      <c r="AC330" s="26"/>
      <c r="AD330" s="26"/>
      <c r="AE330" s="3"/>
      <c r="AF330" s="2"/>
      <c r="AG330" s="26"/>
      <c r="AH330" s="26"/>
      <c r="AI330" s="26"/>
      <c r="AJ330" s="26"/>
      <c r="AK330" s="26"/>
      <c r="AL330" s="3"/>
      <c r="AM330" s="2"/>
      <c r="AN330" s="2"/>
      <c r="AO330" s="2"/>
      <c r="AP330" s="2"/>
      <c r="AQ330" s="2"/>
      <c r="AR330" s="2"/>
    </row>
    <row r="331" spans="5:44" x14ac:dyDescent="0.25">
      <c r="E331" s="2"/>
      <c r="F331" s="125"/>
      <c r="G331" s="2"/>
      <c r="H331" s="2"/>
      <c r="I331" s="27">
        <v>2930</v>
      </c>
      <c r="J331" s="27" t="s">
        <v>7</v>
      </c>
      <c r="K331" s="2"/>
      <c r="L331" s="27">
        <v>2930</v>
      </c>
      <c r="M331" s="27" t="s">
        <v>7</v>
      </c>
      <c r="N331" s="2"/>
      <c r="O331" s="3"/>
      <c r="P331" s="2"/>
      <c r="Q331" s="27"/>
      <c r="R331" s="27"/>
      <c r="S331" s="2"/>
      <c r="T331" s="27"/>
      <c r="U331" s="27"/>
      <c r="V331" s="2"/>
      <c r="W331" s="3"/>
      <c r="X331" s="2"/>
      <c r="Y331" s="27"/>
      <c r="Z331" s="27"/>
      <c r="AA331" s="2"/>
      <c r="AB331" s="27"/>
      <c r="AC331" s="27"/>
      <c r="AD331" s="28"/>
      <c r="AE331" s="3"/>
      <c r="AF331" s="2"/>
      <c r="AG331" s="27"/>
      <c r="AH331" s="27"/>
      <c r="AI331" s="29"/>
      <c r="AJ331" s="27"/>
      <c r="AK331" s="27"/>
      <c r="AL331" s="3"/>
      <c r="AM331" s="2"/>
      <c r="AN331" s="2"/>
      <c r="AO331" s="2"/>
      <c r="AP331" s="2"/>
      <c r="AQ331" s="2"/>
      <c r="AR331" s="2"/>
    </row>
    <row r="332" spans="5:44" x14ac:dyDescent="0.25">
      <c r="E332" s="2"/>
      <c r="F332" s="125"/>
      <c r="G332" s="2"/>
      <c r="H332" s="2" t="s">
        <v>12</v>
      </c>
      <c r="I332" s="81" t="s">
        <v>31</v>
      </c>
      <c r="J332" s="32" t="s">
        <v>70</v>
      </c>
      <c r="K332" s="2"/>
      <c r="L332" s="81" t="s">
        <v>31</v>
      </c>
      <c r="M332" s="32" t="s">
        <v>70</v>
      </c>
      <c r="N332" s="2"/>
      <c r="O332" s="3"/>
      <c r="P332" s="2" t="s">
        <v>12</v>
      </c>
      <c r="R332" s="32"/>
      <c r="S332" s="2"/>
      <c r="U332" s="32"/>
      <c r="V332" s="2"/>
      <c r="W332" s="3"/>
      <c r="X332" s="2" t="s">
        <v>12</v>
      </c>
      <c r="Z332" s="32"/>
      <c r="AA332" s="2"/>
      <c r="AC332" s="32"/>
      <c r="AD332" s="2"/>
      <c r="AE332" s="3"/>
      <c r="AF332" s="2" t="s">
        <v>12</v>
      </c>
      <c r="AH332" s="32"/>
      <c r="AI332" s="2"/>
      <c r="AK332" s="32"/>
      <c r="AL332" s="3"/>
      <c r="AM332" s="2"/>
      <c r="AN332" s="2"/>
      <c r="AO332" s="2"/>
      <c r="AP332" s="2"/>
      <c r="AQ332" s="2"/>
      <c r="AR332" s="2"/>
    </row>
    <row r="333" spans="5:44" x14ac:dyDescent="0.25">
      <c r="E333" s="2"/>
      <c r="F333" s="125"/>
      <c r="G333" s="2"/>
      <c r="H333" s="2" t="s">
        <v>20</v>
      </c>
      <c r="I333" s="81" t="s">
        <v>31</v>
      </c>
      <c r="J333" s="32" t="s">
        <v>70</v>
      </c>
      <c r="K333" s="2"/>
      <c r="L333" s="81" t="s">
        <v>31</v>
      </c>
      <c r="M333" s="32" t="s">
        <v>70</v>
      </c>
      <c r="N333" s="2"/>
      <c r="O333" s="3"/>
      <c r="P333" s="2" t="s">
        <v>20</v>
      </c>
      <c r="R333" s="32"/>
      <c r="S333" s="2"/>
      <c r="U333" s="32"/>
      <c r="V333" s="2"/>
      <c r="W333" s="3"/>
      <c r="X333" s="2" t="s">
        <v>20</v>
      </c>
      <c r="Z333" s="32"/>
      <c r="AA333" s="2"/>
      <c r="AC333" s="32"/>
      <c r="AD333" s="2"/>
      <c r="AE333" s="3"/>
      <c r="AF333" s="2" t="s">
        <v>20</v>
      </c>
      <c r="AH333" s="32"/>
      <c r="AI333" s="2"/>
      <c r="AK333" s="32"/>
      <c r="AL333" s="3"/>
      <c r="AM333" s="2"/>
      <c r="AN333" s="2"/>
      <c r="AO333" s="12" t="s">
        <v>71</v>
      </c>
      <c r="AP333" s="5">
        <f>(COUNTIF($I$292:$I$383,"=*"&amp;AO333&amp;"*")+COUNTIF($Q$292:$Q$382,"=*"&amp;AO333&amp;"*")+COUNTIF($AG$291:$AG$385,"=*"&amp;AO333&amp;"*")+COUNTIF($Y$292:$Y$385,"=*"&amp;AO333&amp;"*"))*2</f>
        <v>8</v>
      </c>
      <c r="AQ333" s="2"/>
      <c r="AR333" s="2"/>
    </row>
    <row r="334" spans="5:44" x14ac:dyDescent="0.25">
      <c r="E334" s="2"/>
      <c r="F334" s="125"/>
      <c r="G334" s="2"/>
      <c r="H334" s="2" t="s">
        <v>24</v>
      </c>
      <c r="I334" s="81" t="s">
        <v>31</v>
      </c>
      <c r="J334" s="32" t="s">
        <v>70</v>
      </c>
      <c r="K334" s="2"/>
      <c r="L334" s="81" t="s">
        <v>31</v>
      </c>
      <c r="M334" s="32" t="s">
        <v>70</v>
      </c>
      <c r="N334" s="2"/>
      <c r="O334" s="3"/>
      <c r="P334" s="2" t="s">
        <v>24</v>
      </c>
      <c r="R334" s="32"/>
      <c r="S334" s="2"/>
      <c r="U334" s="32"/>
      <c r="V334" s="2"/>
      <c r="W334" s="3"/>
      <c r="X334" s="2" t="s">
        <v>24</v>
      </c>
      <c r="Z334" s="32"/>
      <c r="AA334" s="2"/>
      <c r="AC334" s="32"/>
      <c r="AD334" s="2"/>
      <c r="AE334" s="3"/>
      <c r="AF334" s="2" t="s">
        <v>24</v>
      </c>
      <c r="AH334" s="32"/>
      <c r="AI334" s="2"/>
      <c r="AK334" s="32"/>
      <c r="AL334" s="3"/>
      <c r="AM334" s="2"/>
      <c r="AN334" s="2"/>
      <c r="AO334" s="12" t="s">
        <v>72</v>
      </c>
      <c r="AP334" s="5">
        <f t="shared" ref="AP334:AP342" si="13">(COUNTIF($I$292:$I$383,"=*"&amp;AO334&amp;"*")+COUNTIF($Q$292:$Q$382,"=*"&amp;AO334&amp;"*")+COUNTIF($AG$291:$AG$385,"=*"&amp;AO334&amp;"*")+COUNTIF($Y$292:$Y$385,"=*"&amp;AO334&amp;"*"))*2</f>
        <v>2</v>
      </c>
      <c r="AQ334" s="2"/>
      <c r="AR334" s="2"/>
    </row>
    <row r="335" spans="5:44" x14ac:dyDescent="0.25">
      <c r="E335" s="2"/>
      <c r="F335" s="125"/>
      <c r="G335" s="2"/>
      <c r="H335" s="2" t="s">
        <v>28</v>
      </c>
      <c r="I335" s="34" t="s">
        <v>73</v>
      </c>
      <c r="J335" s="32" t="s">
        <v>70</v>
      </c>
      <c r="K335" s="2"/>
      <c r="L335" s="34" t="s">
        <v>73</v>
      </c>
      <c r="M335" s="32" t="s">
        <v>70</v>
      </c>
      <c r="N335" s="2"/>
      <c r="O335" s="3"/>
      <c r="P335" s="2" t="s">
        <v>28</v>
      </c>
      <c r="R335" s="32"/>
      <c r="S335" s="2"/>
      <c r="U335" s="32"/>
      <c r="V335" s="2"/>
      <c r="W335" s="3"/>
      <c r="X335" s="2" t="s">
        <v>28</v>
      </c>
      <c r="Z335" s="32"/>
      <c r="AA335" s="2"/>
      <c r="AC335" s="32"/>
      <c r="AD335" s="2"/>
      <c r="AE335" s="3"/>
      <c r="AF335" s="2" t="s">
        <v>28</v>
      </c>
      <c r="AH335" s="32"/>
      <c r="AI335" s="2"/>
      <c r="AK335" s="32"/>
      <c r="AL335" s="3"/>
      <c r="AM335" s="2"/>
      <c r="AN335" s="2"/>
      <c r="AO335" s="23" t="s">
        <v>74</v>
      </c>
      <c r="AP335" s="5">
        <f t="shared" si="13"/>
        <v>0</v>
      </c>
      <c r="AQ335" s="2"/>
      <c r="AR335" s="2"/>
    </row>
    <row r="336" spans="5:44" x14ac:dyDescent="0.25">
      <c r="E336" s="2"/>
      <c r="F336" s="125"/>
      <c r="G336" s="2"/>
      <c r="H336" s="2" t="s">
        <v>32</v>
      </c>
      <c r="I336" s="34" t="s">
        <v>73</v>
      </c>
      <c r="J336" s="32" t="s">
        <v>70</v>
      </c>
      <c r="K336" s="2"/>
      <c r="L336" s="34" t="s">
        <v>73</v>
      </c>
      <c r="M336" s="32" t="s">
        <v>70</v>
      </c>
      <c r="N336" s="2"/>
      <c r="O336" s="3"/>
      <c r="P336" s="2" t="s">
        <v>32</v>
      </c>
      <c r="R336" s="32"/>
      <c r="S336" s="2"/>
      <c r="U336" s="32"/>
      <c r="V336" s="2"/>
      <c r="W336" s="3"/>
      <c r="X336" s="2" t="s">
        <v>32</v>
      </c>
      <c r="Z336" s="32"/>
      <c r="AA336" s="2"/>
      <c r="AC336" s="32"/>
      <c r="AD336" s="2"/>
      <c r="AE336" s="3"/>
      <c r="AF336" s="2" t="s">
        <v>32</v>
      </c>
      <c r="AH336" s="32"/>
      <c r="AI336" s="2"/>
      <c r="AK336" s="32"/>
      <c r="AL336" s="3"/>
      <c r="AM336" s="2"/>
      <c r="AN336" s="2"/>
      <c r="AO336" s="8" t="s">
        <v>93</v>
      </c>
      <c r="AP336" s="5">
        <f t="shared" si="13"/>
        <v>0</v>
      </c>
      <c r="AQ336" s="2"/>
      <c r="AR336" s="2"/>
    </row>
    <row r="337" spans="5:44" x14ac:dyDescent="0.25">
      <c r="E337" s="2"/>
      <c r="F337" s="125"/>
      <c r="G337" s="2"/>
      <c r="H337" s="2"/>
      <c r="I337" s="2"/>
      <c r="J337" s="2"/>
      <c r="K337" s="2"/>
      <c r="L337" s="2"/>
      <c r="M337" s="2"/>
      <c r="N337" s="2"/>
      <c r="O337" s="3"/>
      <c r="P337" s="2"/>
      <c r="Q337" s="2"/>
      <c r="R337" s="2"/>
      <c r="S337" s="2"/>
      <c r="T337" s="2"/>
      <c r="U337" s="2"/>
      <c r="V337" s="2"/>
      <c r="W337" s="3"/>
      <c r="X337" s="2"/>
      <c r="Y337" s="2"/>
      <c r="Z337" s="2"/>
      <c r="AA337" s="2"/>
      <c r="AB337" s="2"/>
      <c r="AC337" s="2"/>
      <c r="AD337" s="2"/>
      <c r="AE337" s="3"/>
      <c r="AF337" s="2"/>
      <c r="AG337" s="2"/>
      <c r="AH337" s="2"/>
      <c r="AI337" s="2"/>
      <c r="AJ337" s="2"/>
      <c r="AK337" s="2"/>
      <c r="AL337" s="3"/>
      <c r="AM337" s="2"/>
      <c r="AN337" s="2"/>
      <c r="AO337" s="10" t="s">
        <v>75</v>
      </c>
      <c r="AP337" s="5">
        <f t="shared" si="13"/>
        <v>0</v>
      </c>
      <c r="AQ337" s="2"/>
      <c r="AR337" s="2"/>
    </row>
    <row r="338" spans="5:44" x14ac:dyDescent="0.25">
      <c r="E338" s="2"/>
      <c r="F338" s="125"/>
      <c r="G338" s="2"/>
      <c r="H338" s="2"/>
      <c r="I338" s="25">
        <v>3415</v>
      </c>
      <c r="J338" s="25"/>
      <c r="K338" s="25"/>
      <c r="L338" s="25" t="s">
        <v>63</v>
      </c>
      <c r="M338" s="3"/>
      <c r="N338" s="2"/>
      <c r="O338" s="3"/>
      <c r="P338" s="2"/>
      <c r="Q338" s="36">
        <v>2989</v>
      </c>
      <c r="R338" s="36"/>
      <c r="S338" s="36"/>
      <c r="T338" s="36" t="s">
        <v>3</v>
      </c>
      <c r="U338" s="37"/>
      <c r="V338" s="2"/>
      <c r="W338" s="3"/>
      <c r="X338" s="2"/>
      <c r="Y338" s="25"/>
      <c r="Z338" s="25"/>
      <c r="AA338" s="25"/>
      <c r="AB338" s="25"/>
      <c r="AC338" s="3"/>
      <c r="AD338" s="2"/>
      <c r="AE338" s="3"/>
      <c r="AF338" s="2"/>
      <c r="AG338" s="36">
        <v>1852</v>
      </c>
      <c r="AH338" s="36"/>
      <c r="AI338" s="36"/>
      <c r="AJ338" s="36" t="s">
        <v>63</v>
      </c>
      <c r="AK338" s="37"/>
      <c r="AL338" s="3"/>
      <c r="AM338" s="2"/>
      <c r="AN338" s="2"/>
      <c r="AO338" s="10" t="s">
        <v>76</v>
      </c>
      <c r="AP338" s="5">
        <f t="shared" si="13"/>
        <v>0</v>
      </c>
      <c r="AQ338" s="2"/>
      <c r="AR338" s="2"/>
    </row>
    <row r="339" spans="5:44" x14ac:dyDescent="0.25">
      <c r="E339" s="2"/>
      <c r="F339" s="125"/>
      <c r="G339" s="2"/>
      <c r="H339" s="2"/>
      <c r="I339" s="26" t="s">
        <v>4</v>
      </c>
      <c r="J339" s="26"/>
      <c r="K339" s="26"/>
      <c r="L339" s="26" t="s">
        <v>5</v>
      </c>
      <c r="M339" s="26"/>
      <c r="N339" s="2"/>
      <c r="O339" s="3"/>
      <c r="P339" s="2"/>
      <c r="Q339" s="26" t="s">
        <v>4</v>
      </c>
      <c r="R339" s="26"/>
      <c r="S339" s="26"/>
      <c r="T339" s="26" t="s">
        <v>5</v>
      </c>
      <c r="U339" s="26"/>
      <c r="V339" s="2"/>
      <c r="W339" s="3"/>
      <c r="X339" s="2"/>
      <c r="Y339" s="26"/>
      <c r="Z339" s="26"/>
      <c r="AA339" s="26"/>
      <c r="AB339" s="26"/>
      <c r="AC339" s="26"/>
      <c r="AD339" s="26"/>
      <c r="AE339" s="3"/>
      <c r="AF339" s="2"/>
      <c r="AG339" s="26" t="s">
        <v>4</v>
      </c>
      <c r="AH339" s="26"/>
      <c r="AI339" s="26"/>
      <c r="AJ339" s="26" t="s">
        <v>5</v>
      </c>
      <c r="AK339" s="26"/>
      <c r="AL339" s="3"/>
      <c r="AM339" s="2"/>
      <c r="AN339" s="2"/>
      <c r="AO339" s="19" t="s">
        <v>77</v>
      </c>
      <c r="AP339" s="5">
        <f t="shared" si="13"/>
        <v>0</v>
      </c>
      <c r="AQ339" s="2"/>
      <c r="AR339" s="2"/>
    </row>
    <row r="340" spans="5:44" x14ac:dyDescent="0.25">
      <c r="E340" s="2"/>
      <c r="F340" s="125"/>
      <c r="G340" s="2"/>
      <c r="H340" s="2"/>
      <c r="I340" s="27">
        <v>3415</v>
      </c>
      <c r="J340" s="27" t="s">
        <v>7</v>
      </c>
      <c r="K340" s="2"/>
      <c r="L340" s="27">
        <v>3415</v>
      </c>
      <c r="M340" s="27" t="s">
        <v>7</v>
      </c>
      <c r="N340" s="2"/>
      <c r="O340" s="3"/>
      <c r="P340" s="2"/>
      <c r="Q340" s="27">
        <v>2989</v>
      </c>
      <c r="R340" s="27" t="s">
        <v>7</v>
      </c>
      <c r="S340" s="2"/>
      <c r="T340" s="27">
        <v>2989</v>
      </c>
      <c r="U340" s="27" t="s">
        <v>7</v>
      </c>
      <c r="V340" s="2"/>
      <c r="W340" s="3"/>
      <c r="X340" s="2"/>
      <c r="Y340" s="27"/>
      <c r="Z340" s="27"/>
      <c r="AA340" s="2"/>
      <c r="AB340" s="27"/>
      <c r="AC340" s="27"/>
      <c r="AD340" s="28"/>
      <c r="AE340" s="3"/>
      <c r="AF340" s="2"/>
      <c r="AG340" s="27">
        <v>1852</v>
      </c>
      <c r="AH340" s="27" t="s">
        <v>7</v>
      </c>
      <c r="AI340" s="29"/>
      <c r="AJ340" s="27">
        <v>1852</v>
      </c>
      <c r="AK340" s="27" t="s">
        <v>7</v>
      </c>
      <c r="AL340" s="3"/>
      <c r="AM340" s="2"/>
      <c r="AN340" s="2"/>
      <c r="AO340" s="16" t="s">
        <v>78</v>
      </c>
      <c r="AP340" s="5">
        <f t="shared" si="13"/>
        <v>0</v>
      </c>
      <c r="AQ340" s="2"/>
      <c r="AR340" s="2"/>
    </row>
    <row r="341" spans="5:44" x14ac:dyDescent="0.25">
      <c r="E341" s="2"/>
      <c r="F341" s="125"/>
      <c r="G341" s="2"/>
      <c r="H341" s="2" t="s">
        <v>12</v>
      </c>
      <c r="I341" s="81" t="s">
        <v>71</v>
      </c>
      <c r="J341" s="32" t="s">
        <v>70</v>
      </c>
      <c r="K341" s="2"/>
      <c r="L341" s="81" t="s">
        <v>71</v>
      </c>
      <c r="M341" s="32" t="s">
        <v>70</v>
      </c>
      <c r="N341" s="2"/>
      <c r="O341" s="3"/>
      <c r="P341" s="2" t="s">
        <v>12</v>
      </c>
      <c r="Q341" t="s">
        <v>66</v>
      </c>
      <c r="R341" s="32" t="s">
        <v>67</v>
      </c>
      <c r="S341" s="2"/>
      <c r="T341" t="s">
        <v>66</v>
      </c>
      <c r="U341" s="32" t="s">
        <v>67</v>
      </c>
      <c r="V341" s="2"/>
      <c r="W341" s="3"/>
      <c r="X341" s="2" t="s">
        <v>12</v>
      </c>
      <c r="Z341" s="32"/>
      <c r="AA341" s="2"/>
      <c r="AC341" s="32"/>
      <c r="AD341" s="2"/>
      <c r="AE341" s="3"/>
      <c r="AF341" s="2" t="s">
        <v>12</v>
      </c>
      <c r="AG341" t="s">
        <v>66</v>
      </c>
      <c r="AH341" s="32" t="s">
        <v>67</v>
      </c>
      <c r="AI341" s="2"/>
      <c r="AJ341" t="s">
        <v>66</v>
      </c>
      <c r="AK341" s="32" t="s">
        <v>67</v>
      </c>
      <c r="AL341" s="3"/>
      <c r="AM341" s="2"/>
      <c r="AN341" s="2"/>
      <c r="AO341" s="8" t="s">
        <v>80</v>
      </c>
      <c r="AP341" s="5">
        <f t="shared" si="13"/>
        <v>0</v>
      </c>
      <c r="AQ341" s="2"/>
      <c r="AR341" s="2"/>
    </row>
    <row r="342" spans="5:44" x14ac:dyDescent="0.25">
      <c r="E342" s="2"/>
      <c r="F342" s="125"/>
      <c r="G342" s="2"/>
      <c r="H342" s="2" t="s">
        <v>20</v>
      </c>
      <c r="I342" s="81" t="s">
        <v>71</v>
      </c>
      <c r="J342" s="32" t="s">
        <v>70</v>
      </c>
      <c r="K342" s="2"/>
      <c r="L342" s="81" t="s">
        <v>71</v>
      </c>
      <c r="M342" s="32" t="s">
        <v>70</v>
      </c>
      <c r="N342" s="2"/>
      <c r="O342" s="3"/>
      <c r="P342" s="2" t="s">
        <v>20</v>
      </c>
      <c r="Q342" t="s">
        <v>66</v>
      </c>
      <c r="R342" s="32" t="s">
        <v>67</v>
      </c>
      <c r="S342" s="2"/>
      <c r="T342" t="s">
        <v>66</v>
      </c>
      <c r="U342" s="32" t="s">
        <v>67</v>
      </c>
      <c r="V342" s="2"/>
      <c r="W342" s="3"/>
      <c r="X342" s="2" t="s">
        <v>20</v>
      </c>
      <c r="Z342" s="32"/>
      <c r="AA342" s="2"/>
      <c r="AC342" s="32"/>
      <c r="AD342" s="2"/>
      <c r="AE342" s="3"/>
      <c r="AF342" s="2" t="s">
        <v>20</v>
      </c>
      <c r="AG342" t="s">
        <v>66</v>
      </c>
      <c r="AH342" s="32" t="s">
        <v>67</v>
      </c>
      <c r="AI342" s="2"/>
      <c r="AJ342" t="s">
        <v>66</v>
      </c>
      <c r="AK342" s="32" t="s">
        <v>67</v>
      </c>
      <c r="AL342" s="3"/>
      <c r="AM342" s="2"/>
      <c r="AN342" s="2"/>
      <c r="AO342" s="8" t="s">
        <v>80</v>
      </c>
      <c r="AP342" s="5">
        <f t="shared" si="13"/>
        <v>0</v>
      </c>
      <c r="AQ342" s="2"/>
      <c r="AR342" s="2"/>
    </row>
    <row r="343" spans="5:44" x14ac:dyDescent="0.25">
      <c r="E343" s="2"/>
      <c r="F343" s="125"/>
      <c r="G343" s="2"/>
      <c r="H343" s="2" t="s">
        <v>24</v>
      </c>
      <c r="I343" s="81" t="s">
        <v>71</v>
      </c>
      <c r="J343" s="32" t="s">
        <v>70</v>
      </c>
      <c r="K343" s="2"/>
      <c r="L343" s="81" t="s">
        <v>71</v>
      </c>
      <c r="M343" s="32" t="s">
        <v>70</v>
      </c>
      <c r="N343" s="2"/>
      <c r="O343" s="3"/>
      <c r="P343" s="2" t="s">
        <v>24</v>
      </c>
      <c r="Q343" t="s">
        <v>66</v>
      </c>
      <c r="R343" s="32" t="s">
        <v>67</v>
      </c>
      <c r="S343" s="2"/>
      <c r="T343" t="s">
        <v>66</v>
      </c>
      <c r="U343" s="32" t="s">
        <v>67</v>
      </c>
      <c r="V343" s="2"/>
      <c r="W343" s="3"/>
      <c r="X343" s="2" t="s">
        <v>24</v>
      </c>
      <c r="Z343" s="32"/>
      <c r="AA343" s="2"/>
      <c r="AC343" s="32"/>
      <c r="AD343" s="2"/>
      <c r="AE343" s="3"/>
      <c r="AF343" s="2" t="s">
        <v>24</v>
      </c>
      <c r="AG343" t="s">
        <v>66</v>
      </c>
      <c r="AH343" s="32" t="s">
        <v>67</v>
      </c>
      <c r="AI343" s="2"/>
      <c r="AJ343" t="s">
        <v>66</v>
      </c>
      <c r="AK343" s="32" t="s">
        <v>67</v>
      </c>
      <c r="AL343" s="3"/>
      <c r="AM343" s="2"/>
      <c r="AN343" s="2"/>
      <c r="AO343" s="18" t="s">
        <v>82</v>
      </c>
      <c r="AP343" s="5">
        <v>2</v>
      </c>
      <c r="AQ343" s="2"/>
      <c r="AR343" s="2"/>
    </row>
    <row r="344" spans="5:44" x14ac:dyDescent="0.25">
      <c r="E344" s="2"/>
      <c r="F344" s="125"/>
      <c r="G344" s="2"/>
      <c r="H344" s="2" t="s">
        <v>28</v>
      </c>
      <c r="I344" s="81" t="s">
        <v>71</v>
      </c>
      <c r="J344" s="32" t="s">
        <v>83</v>
      </c>
      <c r="K344" s="2"/>
      <c r="L344" s="81" t="s">
        <v>71</v>
      </c>
      <c r="M344" s="32" t="s">
        <v>83</v>
      </c>
      <c r="N344" s="2"/>
      <c r="O344" s="3"/>
      <c r="P344" s="2" t="s">
        <v>28</v>
      </c>
      <c r="Q344" t="s">
        <v>66</v>
      </c>
      <c r="R344" s="32" t="s">
        <v>67</v>
      </c>
      <c r="S344" s="2"/>
      <c r="T344" t="s">
        <v>66</v>
      </c>
      <c r="U344" s="32" t="s">
        <v>67</v>
      </c>
      <c r="V344" s="2"/>
      <c r="W344" s="3"/>
      <c r="X344" s="2" t="s">
        <v>28</v>
      </c>
      <c r="Z344" s="32"/>
      <c r="AA344" s="2"/>
      <c r="AC344" s="32"/>
      <c r="AD344" s="2"/>
      <c r="AE344" s="3"/>
      <c r="AF344" s="2" t="s">
        <v>28</v>
      </c>
      <c r="AG344" t="s">
        <v>66</v>
      </c>
      <c r="AH344" s="32" t="s">
        <v>67</v>
      </c>
      <c r="AI344" s="2"/>
      <c r="AJ344" t="s">
        <v>66</v>
      </c>
      <c r="AK344" s="32" t="s">
        <v>67</v>
      </c>
      <c r="AL344" s="3"/>
      <c r="AM344" s="2"/>
      <c r="AN344" s="2"/>
      <c r="AO344" s="2"/>
      <c r="AP344" s="2"/>
      <c r="AQ344" s="2"/>
      <c r="AR344" s="2"/>
    </row>
    <row r="345" spans="5:44" x14ac:dyDescent="0.25">
      <c r="E345" s="2"/>
      <c r="F345" s="125"/>
      <c r="G345" s="2"/>
      <c r="H345" s="2" t="s">
        <v>32</v>
      </c>
      <c r="I345" t="s">
        <v>72</v>
      </c>
      <c r="J345" s="32" t="s">
        <v>70</v>
      </c>
      <c r="K345" s="2"/>
      <c r="L345" t="s">
        <v>72</v>
      </c>
      <c r="M345" s="32" t="s">
        <v>70</v>
      </c>
      <c r="N345" s="2"/>
      <c r="O345" s="3"/>
      <c r="P345" s="2" t="s">
        <v>32</v>
      </c>
      <c r="Q345" t="s">
        <v>66</v>
      </c>
      <c r="R345" s="32" t="s">
        <v>67</v>
      </c>
      <c r="S345" s="2"/>
      <c r="T345" t="s">
        <v>66</v>
      </c>
      <c r="U345" s="32" t="s">
        <v>67</v>
      </c>
      <c r="V345" s="2"/>
      <c r="W345" s="3"/>
      <c r="X345" s="2" t="s">
        <v>32</v>
      </c>
      <c r="Z345" s="32"/>
      <c r="AA345" s="2"/>
      <c r="AC345" s="32"/>
      <c r="AD345" s="2"/>
      <c r="AE345" s="3"/>
      <c r="AF345" s="2" t="s">
        <v>32</v>
      </c>
      <c r="AG345" t="s">
        <v>66</v>
      </c>
      <c r="AH345" s="32" t="s">
        <v>67</v>
      </c>
      <c r="AI345" s="2"/>
      <c r="AJ345" t="s">
        <v>66</v>
      </c>
      <c r="AK345" s="32" t="s">
        <v>67</v>
      </c>
      <c r="AL345" s="3"/>
      <c r="AM345" s="2"/>
      <c r="AN345" s="2"/>
      <c r="AO345" s="2"/>
      <c r="AP345" s="2"/>
      <c r="AQ345" s="2"/>
      <c r="AR345" s="2"/>
    </row>
    <row r="346" spans="5:44" x14ac:dyDescent="0.25">
      <c r="E346" s="2"/>
      <c r="F346" s="125"/>
      <c r="G346" s="2"/>
      <c r="H346" s="2"/>
      <c r="I346" s="2"/>
      <c r="J346" s="2"/>
      <c r="K346" s="2"/>
      <c r="L346" s="2"/>
      <c r="M346" s="2"/>
      <c r="N346" s="2"/>
      <c r="O346" s="3"/>
      <c r="P346" s="2"/>
      <c r="Q346" s="2"/>
      <c r="R346" s="2"/>
      <c r="S346" s="2"/>
      <c r="T346" s="2"/>
      <c r="U346" s="2"/>
      <c r="V346" s="2"/>
      <c r="W346" s="3"/>
      <c r="X346" s="2"/>
      <c r="Y346" s="2"/>
      <c r="Z346" s="2"/>
      <c r="AA346" s="2"/>
      <c r="AB346" s="2"/>
      <c r="AC346" s="2"/>
      <c r="AD346" s="2"/>
      <c r="AE346" s="3"/>
      <c r="AF346" s="2"/>
      <c r="AG346" s="2"/>
      <c r="AH346" s="2"/>
      <c r="AI346" s="2"/>
      <c r="AJ346" s="2"/>
      <c r="AK346" s="2"/>
      <c r="AL346" s="3"/>
      <c r="AM346" s="2"/>
      <c r="AN346" s="2"/>
      <c r="AO346" s="2"/>
      <c r="AP346" s="2"/>
      <c r="AQ346" s="2"/>
      <c r="AR346" s="2"/>
    </row>
    <row r="347" spans="5:44" x14ac:dyDescent="0.25">
      <c r="E347" s="2"/>
      <c r="F347" s="125"/>
      <c r="G347" s="2"/>
      <c r="H347" s="2"/>
      <c r="I347" s="25">
        <v>3707</v>
      </c>
      <c r="J347" s="25"/>
      <c r="K347" s="25"/>
      <c r="L347" s="25" t="s">
        <v>63</v>
      </c>
      <c r="M347" s="3"/>
      <c r="N347" s="2"/>
      <c r="O347" s="3"/>
      <c r="P347" s="2"/>
      <c r="Q347" s="25">
        <v>5275</v>
      </c>
      <c r="R347" s="25"/>
      <c r="S347" s="25"/>
      <c r="T347" s="25" t="s">
        <v>63</v>
      </c>
      <c r="U347" s="3"/>
      <c r="V347" s="2"/>
      <c r="W347" s="3"/>
      <c r="X347" s="2"/>
      <c r="Y347" s="2"/>
      <c r="Z347" s="2"/>
      <c r="AA347" s="2"/>
      <c r="AB347" s="2"/>
      <c r="AC347" s="2"/>
      <c r="AD347" s="2"/>
      <c r="AE347" s="3"/>
      <c r="AF347" s="2"/>
      <c r="AG347" s="36">
        <v>1848</v>
      </c>
      <c r="AH347" s="36"/>
      <c r="AI347" s="36"/>
      <c r="AJ347" s="36" t="s">
        <v>63</v>
      </c>
      <c r="AK347" s="37"/>
      <c r="AL347" s="3"/>
      <c r="AM347" s="2"/>
      <c r="AN347" s="2"/>
      <c r="AO347" s="2"/>
      <c r="AP347" s="2"/>
      <c r="AQ347" s="2"/>
      <c r="AR347" s="2"/>
    </row>
    <row r="348" spans="5:44" x14ac:dyDescent="0.25">
      <c r="E348" s="2"/>
      <c r="F348" s="125"/>
      <c r="G348" s="2"/>
      <c r="H348" s="2"/>
      <c r="I348" s="26" t="s">
        <v>4</v>
      </c>
      <c r="J348" s="26"/>
      <c r="K348" s="26"/>
      <c r="L348" s="26" t="s">
        <v>5</v>
      </c>
      <c r="M348" s="26"/>
      <c r="N348" s="2"/>
      <c r="O348" s="3"/>
      <c r="P348" s="2"/>
      <c r="Q348" s="26" t="s">
        <v>4</v>
      </c>
      <c r="R348" s="26"/>
      <c r="S348" s="26"/>
      <c r="T348" s="26" t="s">
        <v>5</v>
      </c>
      <c r="U348" s="26"/>
      <c r="V348" s="2"/>
      <c r="W348" s="3"/>
      <c r="X348" s="2"/>
      <c r="Y348" s="2"/>
      <c r="Z348" s="2"/>
      <c r="AA348" s="2"/>
      <c r="AB348" s="2"/>
      <c r="AC348" s="2"/>
      <c r="AD348" s="2"/>
      <c r="AE348" s="3"/>
      <c r="AF348" s="2"/>
      <c r="AG348" s="26" t="s">
        <v>4</v>
      </c>
      <c r="AH348" s="26"/>
      <c r="AI348" s="26"/>
      <c r="AJ348" s="26"/>
      <c r="AK348" s="26" t="s">
        <v>84</v>
      </c>
      <c r="AL348" s="3"/>
      <c r="AM348" s="2"/>
      <c r="AN348" s="2"/>
      <c r="AO348" s="2"/>
      <c r="AP348" s="2"/>
      <c r="AQ348" s="2"/>
      <c r="AR348" s="2"/>
    </row>
    <row r="349" spans="5:44" x14ac:dyDescent="0.25">
      <c r="E349" s="2"/>
      <c r="F349" s="125"/>
      <c r="G349" s="2"/>
      <c r="H349" s="2"/>
      <c r="I349" s="27">
        <v>3707</v>
      </c>
      <c r="J349" s="27" t="s">
        <v>7</v>
      </c>
      <c r="K349" s="2"/>
      <c r="L349" s="27">
        <v>3707</v>
      </c>
      <c r="M349" s="27" t="s">
        <v>7</v>
      </c>
      <c r="N349" s="2"/>
      <c r="O349" s="3"/>
      <c r="P349" s="2"/>
      <c r="Q349" s="27">
        <v>5275</v>
      </c>
      <c r="R349" s="27" t="s">
        <v>7</v>
      </c>
      <c r="S349" s="2"/>
      <c r="T349" s="27">
        <v>5275</v>
      </c>
      <c r="U349" s="27" t="s">
        <v>7</v>
      </c>
      <c r="V349" s="2"/>
      <c r="W349" s="3"/>
      <c r="X349" s="2"/>
      <c r="Y349" s="2"/>
      <c r="Z349" s="2"/>
      <c r="AA349" s="2"/>
      <c r="AB349" s="2"/>
      <c r="AC349" s="2"/>
      <c r="AD349" s="2"/>
      <c r="AE349" s="3"/>
      <c r="AF349" s="2"/>
      <c r="AG349" s="27">
        <v>1848</v>
      </c>
      <c r="AH349" s="27" t="s">
        <v>7</v>
      </c>
      <c r="AI349" s="29"/>
      <c r="AJ349" s="27">
        <v>1848</v>
      </c>
      <c r="AK349" s="27" t="s">
        <v>7</v>
      </c>
      <c r="AL349" s="3"/>
      <c r="AM349" s="2"/>
      <c r="AN349" s="2"/>
      <c r="AO349" s="2"/>
      <c r="AP349" s="2"/>
      <c r="AQ349" s="2"/>
      <c r="AR349" s="2"/>
    </row>
    <row r="350" spans="5:44" x14ac:dyDescent="0.25">
      <c r="E350" s="2"/>
      <c r="F350" s="125"/>
      <c r="G350" s="2"/>
      <c r="H350" s="2" t="s">
        <v>12</v>
      </c>
      <c r="I350" t="s">
        <v>66</v>
      </c>
      <c r="J350" s="32" t="s">
        <v>67</v>
      </c>
      <c r="K350" s="2"/>
      <c r="L350" t="s">
        <v>66</v>
      </c>
      <c r="M350" s="32" t="s">
        <v>67</v>
      </c>
      <c r="N350" s="2"/>
      <c r="O350" s="3"/>
      <c r="P350" s="2" t="s">
        <v>12</v>
      </c>
      <c r="Q350" t="s">
        <v>66</v>
      </c>
      <c r="R350" s="32" t="s">
        <v>67</v>
      </c>
      <c r="S350" s="2"/>
      <c r="T350" t="s">
        <v>66</v>
      </c>
      <c r="U350" s="32" t="s">
        <v>67</v>
      </c>
      <c r="V350" s="2"/>
      <c r="W350" s="3"/>
      <c r="X350" s="2"/>
      <c r="Y350" s="2"/>
      <c r="Z350" s="2"/>
      <c r="AA350" s="2"/>
      <c r="AB350" s="2"/>
      <c r="AC350" s="2"/>
      <c r="AD350" s="2"/>
      <c r="AE350" s="3"/>
      <c r="AF350" s="2" t="s">
        <v>12</v>
      </c>
      <c r="AG350" s="15" t="s">
        <v>50</v>
      </c>
      <c r="AH350" s="32" t="s">
        <v>70</v>
      </c>
      <c r="AI350" s="2"/>
      <c r="AJ350" s="15" t="s">
        <v>50</v>
      </c>
      <c r="AK350" s="32" t="s">
        <v>70</v>
      </c>
      <c r="AL350" s="3"/>
      <c r="AM350" s="2"/>
      <c r="AN350" s="2"/>
      <c r="AO350" s="2"/>
      <c r="AP350" s="2"/>
      <c r="AQ350" s="2"/>
      <c r="AR350" s="2"/>
    </row>
    <row r="351" spans="5:44" x14ac:dyDescent="0.25">
      <c r="E351" s="2"/>
      <c r="F351" s="125"/>
      <c r="G351" s="2"/>
      <c r="H351" s="2" t="s">
        <v>20</v>
      </c>
      <c r="I351" t="s">
        <v>66</v>
      </c>
      <c r="J351" s="32" t="s">
        <v>67</v>
      </c>
      <c r="K351" s="2"/>
      <c r="L351" t="s">
        <v>66</v>
      </c>
      <c r="M351" s="32" t="s">
        <v>67</v>
      </c>
      <c r="N351" s="2"/>
      <c r="O351" s="3"/>
      <c r="P351" s="2" t="s">
        <v>20</v>
      </c>
      <c r="Q351" t="s">
        <v>66</v>
      </c>
      <c r="R351" s="32" t="s">
        <v>67</v>
      </c>
      <c r="S351" s="2"/>
      <c r="T351" t="s">
        <v>66</v>
      </c>
      <c r="U351" s="32" t="s">
        <v>67</v>
      </c>
      <c r="V351" s="2"/>
      <c r="W351" s="3"/>
      <c r="X351" s="2"/>
      <c r="Y351" s="2"/>
      <c r="Z351" s="2"/>
      <c r="AA351" s="2"/>
      <c r="AB351" s="2"/>
      <c r="AC351" s="2"/>
      <c r="AD351" s="2"/>
      <c r="AE351" s="3"/>
      <c r="AF351" s="2" t="s">
        <v>20</v>
      </c>
      <c r="AG351" s="15" t="s">
        <v>50</v>
      </c>
      <c r="AH351" s="32" t="s">
        <v>70</v>
      </c>
      <c r="AI351" s="2"/>
      <c r="AJ351" s="15" t="s">
        <v>50</v>
      </c>
      <c r="AK351" s="32" t="s">
        <v>70</v>
      </c>
      <c r="AL351" s="3"/>
      <c r="AM351" s="2"/>
      <c r="AN351" s="2"/>
      <c r="AO351" s="2"/>
      <c r="AP351" s="2"/>
      <c r="AQ351" s="2"/>
      <c r="AR351" s="2"/>
    </row>
    <row r="352" spans="5:44" x14ac:dyDescent="0.25">
      <c r="E352" s="2"/>
      <c r="F352" s="125"/>
      <c r="G352" s="2"/>
      <c r="H352" s="2" t="s">
        <v>24</v>
      </c>
      <c r="I352" t="s">
        <v>66</v>
      </c>
      <c r="J352" s="32" t="s">
        <v>67</v>
      </c>
      <c r="K352" s="2"/>
      <c r="L352" t="s">
        <v>66</v>
      </c>
      <c r="M352" s="32" t="s">
        <v>67</v>
      </c>
      <c r="N352" s="2"/>
      <c r="O352" s="3"/>
      <c r="P352" s="2" t="s">
        <v>24</v>
      </c>
      <c r="Q352" t="s">
        <v>66</v>
      </c>
      <c r="R352" s="32" t="s">
        <v>67</v>
      </c>
      <c r="S352" s="2"/>
      <c r="T352" t="s">
        <v>66</v>
      </c>
      <c r="U352" s="32" t="s">
        <v>67</v>
      </c>
      <c r="V352" s="2"/>
      <c r="W352" s="3"/>
      <c r="X352" s="2"/>
      <c r="Y352" s="2"/>
      <c r="Z352" s="2"/>
      <c r="AA352" s="2"/>
      <c r="AB352" s="2"/>
      <c r="AC352" s="2"/>
      <c r="AD352" s="2"/>
      <c r="AE352" s="3"/>
      <c r="AF352" s="2" t="s">
        <v>24</v>
      </c>
      <c r="AG352" s="15" t="s">
        <v>50</v>
      </c>
      <c r="AH352" s="32" t="s">
        <v>70</v>
      </c>
      <c r="AI352" s="2"/>
      <c r="AJ352" s="15" t="s">
        <v>50</v>
      </c>
      <c r="AK352" s="32" t="s">
        <v>70</v>
      </c>
      <c r="AL352" s="3"/>
      <c r="AM352" s="2"/>
      <c r="AN352" s="2"/>
      <c r="AO352" s="2"/>
      <c r="AP352" s="2"/>
      <c r="AQ352" s="2"/>
      <c r="AR352" s="2"/>
    </row>
    <row r="353" spans="5:44" x14ac:dyDescent="0.25">
      <c r="E353" s="2"/>
      <c r="F353" s="125"/>
      <c r="G353" s="2"/>
      <c r="H353" s="2" t="s">
        <v>28</v>
      </c>
      <c r="I353" t="s">
        <v>66</v>
      </c>
      <c r="J353" s="32" t="s">
        <v>67</v>
      </c>
      <c r="K353" s="2"/>
      <c r="L353" t="s">
        <v>66</v>
      </c>
      <c r="M353" s="32" t="s">
        <v>67</v>
      </c>
      <c r="N353" s="2"/>
      <c r="O353" s="3"/>
      <c r="P353" s="2" t="s">
        <v>28</v>
      </c>
      <c r="Q353" t="s">
        <v>66</v>
      </c>
      <c r="R353" s="32" t="s">
        <v>67</v>
      </c>
      <c r="S353" s="2"/>
      <c r="T353" t="s">
        <v>66</v>
      </c>
      <c r="U353" s="32" t="s">
        <v>67</v>
      </c>
      <c r="V353" s="2"/>
      <c r="W353" s="3"/>
      <c r="X353" s="2"/>
      <c r="Y353" s="2"/>
      <c r="Z353" s="2"/>
      <c r="AA353" s="2"/>
      <c r="AB353" s="2"/>
      <c r="AC353" s="2"/>
      <c r="AD353" s="2"/>
      <c r="AE353" s="3"/>
      <c r="AF353" s="2" t="s">
        <v>28</v>
      </c>
      <c r="AG353" s="15" t="s">
        <v>50</v>
      </c>
      <c r="AH353" s="32" t="s">
        <v>70</v>
      </c>
      <c r="AI353" s="2"/>
      <c r="AJ353" s="15" t="s">
        <v>50</v>
      </c>
      <c r="AK353" s="32" t="s">
        <v>70</v>
      </c>
      <c r="AL353" s="3"/>
      <c r="AM353" s="2"/>
      <c r="AN353" s="2"/>
      <c r="AO353" s="2"/>
      <c r="AP353" s="2"/>
      <c r="AQ353" s="2"/>
      <c r="AR353" s="2"/>
    </row>
    <row r="354" spans="5:44" x14ac:dyDescent="0.25">
      <c r="E354" s="2"/>
      <c r="F354" s="125"/>
      <c r="G354" s="2"/>
      <c r="H354" s="2" t="s">
        <v>32</v>
      </c>
      <c r="I354" t="s">
        <v>66</v>
      </c>
      <c r="J354" s="32" t="s">
        <v>67</v>
      </c>
      <c r="K354" s="2"/>
      <c r="L354" t="s">
        <v>66</v>
      </c>
      <c r="M354" s="32" t="s">
        <v>67</v>
      </c>
      <c r="N354" s="2"/>
      <c r="O354" s="3"/>
      <c r="P354" s="2" t="s">
        <v>32</v>
      </c>
      <c r="Q354" t="s">
        <v>66</v>
      </c>
      <c r="R354" s="32" t="s">
        <v>67</v>
      </c>
      <c r="S354" s="2"/>
      <c r="T354" t="s">
        <v>66</v>
      </c>
      <c r="U354" s="32" t="s">
        <v>67</v>
      </c>
      <c r="V354" s="2"/>
      <c r="W354" s="3"/>
      <c r="X354" s="2"/>
      <c r="Y354" s="2"/>
      <c r="Z354" s="2"/>
      <c r="AA354" s="2"/>
      <c r="AB354" s="2"/>
      <c r="AC354" s="2"/>
      <c r="AD354" s="2"/>
      <c r="AE354" s="3"/>
      <c r="AF354" s="2" t="s">
        <v>32</v>
      </c>
      <c r="AG354" s="15" t="s">
        <v>50</v>
      </c>
      <c r="AH354" s="32" t="s">
        <v>70</v>
      </c>
      <c r="AI354" s="2"/>
      <c r="AJ354" s="15" t="s">
        <v>50</v>
      </c>
      <c r="AK354" s="32" t="s">
        <v>70</v>
      </c>
      <c r="AL354" s="3"/>
      <c r="AM354" s="2"/>
      <c r="AN354" s="2"/>
      <c r="AO354" s="2"/>
      <c r="AP354" s="2"/>
      <c r="AQ354" s="2"/>
      <c r="AR354" s="2"/>
    </row>
    <row r="355" spans="5:44" x14ac:dyDescent="0.25">
      <c r="E355" s="2"/>
      <c r="F355" s="125"/>
      <c r="G355" s="2"/>
      <c r="H355" s="2"/>
      <c r="I355" s="2"/>
      <c r="J355" s="2"/>
      <c r="K355" s="2"/>
      <c r="L355" s="2"/>
      <c r="M355" s="2"/>
      <c r="N355" s="2"/>
      <c r="O355" s="3"/>
      <c r="P355" s="2"/>
      <c r="Q355" s="2"/>
      <c r="R355" s="2"/>
      <c r="S355" s="2"/>
      <c r="T355" s="2"/>
      <c r="U355" s="2"/>
      <c r="V355" s="2"/>
      <c r="W355" s="3"/>
      <c r="X355" s="2"/>
      <c r="Y355" s="2"/>
      <c r="Z355" s="2"/>
      <c r="AA355" s="2"/>
      <c r="AB355" s="2"/>
      <c r="AC355" s="2"/>
      <c r="AD355" s="2"/>
      <c r="AE355" s="3"/>
      <c r="AF355" s="2"/>
      <c r="AG355" s="2"/>
      <c r="AH355" s="2"/>
      <c r="AI355" s="2"/>
      <c r="AJ355" s="2"/>
      <c r="AK355" s="2"/>
      <c r="AL355" s="3"/>
      <c r="AM355" s="2"/>
      <c r="AN355" s="2"/>
      <c r="AO355" s="2"/>
      <c r="AP355" s="2"/>
      <c r="AQ355" s="2"/>
      <c r="AR355" s="2"/>
    </row>
    <row r="356" spans="5:44" x14ac:dyDescent="0.25">
      <c r="E356" s="2"/>
      <c r="F356" s="125"/>
      <c r="G356" s="2"/>
      <c r="H356" s="2"/>
      <c r="I356" s="2"/>
      <c r="J356" s="2"/>
      <c r="K356" s="2"/>
      <c r="L356" s="2"/>
      <c r="M356" s="2"/>
      <c r="N356" s="2"/>
      <c r="O356" s="3"/>
      <c r="P356" s="2"/>
      <c r="Q356" s="2"/>
      <c r="R356" s="2"/>
      <c r="S356" s="2"/>
      <c r="T356" s="2"/>
      <c r="U356" s="2"/>
      <c r="V356" s="2"/>
      <c r="W356" s="3"/>
      <c r="X356" s="2"/>
      <c r="Y356" s="2"/>
      <c r="Z356" s="2"/>
      <c r="AA356" s="2"/>
      <c r="AB356" s="2"/>
      <c r="AC356" s="2"/>
      <c r="AD356" s="2"/>
      <c r="AE356" s="3"/>
      <c r="AF356" s="2"/>
      <c r="AG356" s="36" t="s">
        <v>85</v>
      </c>
      <c r="AH356" s="36"/>
      <c r="AI356" s="36"/>
      <c r="AJ356" s="36" t="s">
        <v>63</v>
      </c>
      <c r="AK356" s="37"/>
      <c r="AL356" s="3"/>
      <c r="AM356" s="2"/>
      <c r="AN356" s="2"/>
      <c r="AO356" s="2"/>
      <c r="AP356" s="2"/>
      <c r="AQ356" s="2"/>
      <c r="AR356" s="2"/>
    </row>
    <row r="357" spans="5:44" x14ac:dyDescent="0.25">
      <c r="E357" s="2"/>
      <c r="F357" s="125"/>
      <c r="G357" s="2"/>
      <c r="H357" s="2"/>
      <c r="I357" s="2"/>
      <c r="J357" s="2"/>
      <c r="K357" s="2"/>
      <c r="L357" s="2"/>
      <c r="M357" s="2"/>
      <c r="N357" s="2"/>
      <c r="O357" s="3"/>
      <c r="P357" s="2"/>
      <c r="Q357" s="2"/>
      <c r="R357" s="2"/>
      <c r="S357" s="2"/>
      <c r="T357" s="2"/>
      <c r="U357" s="2"/>
      <c r="V357" s="2"/>
      <c r="W357" s="3"/>
      <c r="X357" s="2"/>
      <c r="Y357" s="2"/>
      <c r="Z357" s="2"/>
      <c r="AA357" s="2"/>
      <c r="AB357" s="2"/>
      <c r="AC357" s="2"/>
      <c r="AD357" s="2"/>
      <c r="AE357" s="3"/>
      <c r="AF357" s="2"/>
      <c r="AG357" s="26" t="s">
        <v>4</v>
      </c>
      <c r="AH357" s="26"/>
      <c r="AI357" s="26"/>
      <c r="AJ357" s="26" t="s">
        <v>5</v>
      </c>
      <c r="AK357" s="26"/>
      <c r="AL357" s="3"/>
      <c r="AM357" s="2"/>
      <c r="AN357" s="2"/>
      <c r="AO357" s="2"/>
      <c r="AP357" s="2"/>
      <c r="AQ357" s="2"/>
      <c r="AR357" s="2"/>
    </row>
    <row r="358" spans="5:44" x14ac:dyDescent="0.25">
      <c r="E358" s="2"/>
      <c r="F358" s="125"/>
      <c r="G358" s="2"/>
      <c r="H358" s="2"/>
      <c r="I358" s="2"/>
      <c r="J358" s="2"/>
      <c r="K358" s="2"/>
      <c r="L358" s="2"/>
      <c r="M358" s="2"/>
      <c r="N358" s="2"/>
      <c r="O358" s="3"/>
      <c r="P358" s="2"/>
      <c r="Q358" s="2"/>
      <c r="R358" s="2"/>
      <c r="S358" s="2"/>
      <c r="T358" s="2"/>
      <c r="U358" s="2"/>
      <c r="V358" s="2"/>
      <c r="W358" s="3"/>
      <c r="X358" s="2"/>
      <c r="Y358" s="2"/>
      <c r="Z358" s="2"/>
      <c r="AA358" s="2"/>
      <c r="AB358" s="2"/>
      <c r="AC358" s="2"/>
      <c r="AD358" s="2"/>
      <c r="AE358" s="3"/>
      <c r="AF358" s="2"/>
      <c r="AG358" s="27" t="s">
        <v>85</v>
      </c>
      <c r="AH358" s="27" t="s">
        <v>7</v>
      </c>
      <c r="AI358" s="29"/>
      <c r="AJ358" s="27" t="s">
        <v>85</v>
      </c>
      <c r="AK358" s="27" t="s">
        <v>7</v>
      </c>
      <c r="AL358" s="3"/>
      <c r="AM358" s="2"/>
      <c r="AN358" s="2"/>
      <c r="AO358" s="2"/>
      <c r="AP358" s="2"/>
      <c r="AQ358" s="2"/>
      <c r="AR358" s="2"/>
    </row>
    <row r="359" spans="5:44" x14ac:dyDescent="0.25">
      <c r="E359" s="2"/>
      <c r="F359" s="125"/>
      <c r="G359" s="2"/>
      <c r="H359" s="2" t="s">
        <v>12</v>
      </c>
      <c r="I359" s="2"/>
      <c r="J359" s="2"/>
      <c r="K359" s="2"/>
      <c r="L359" s="2"/>
      <c r="M359" s="2"/>
      <c r="N359" s="2"/>
      <c r="O359" s="3"/>
      <c r="P359" s="2"/>
      <c r="Q359" s="2"/>
      <c r="R359" s="2"/>
      <c r="S359" s="2"/>
      <c r="T359" s="2"/>
      <c r="U359" s="2"/>
      <c r="V359" s="2"/>
      <c r="W359" s="3"/>
      <c r="X359" s="2"/>
      <c r="Y359" s="2"/>
      <c r="Z359" s="2"/>
      <c r="AA359" s="2"/>
      <c r="AB359" s="2"/>
      <c r="AC359" s="2"/>
      <c r="AD359" s="2"/>
      <c r="AE359" s="3"/>
      <c r="AF359" s="2" t="s">
        <v>12</v>
      </c>
      <c r="AG359" t="s">
        <v>66</v>
      </c>
      <c r="AH359" s="32" t="s">
        <v>79</v>
      </c>
      <c r="AI359" s="2"/>
      <c r="AJ359" t="s">
        <v>66</v>
      </c>
      <c r="AK359" s="32" t="s">
        <v>79</v>
      </c>
      <c r="AL359" s="3"/>
      <c r="AM359" s="2"/>
      <c r="AN359" s="2"/>
      <c r="AO359" s="2"/>
      <c r="AP359" s="2"/>
      <c r="AQ359" s="2"/>
      <c r="AR359" s="2"/>
    </row>
    <row r="360" spans="5:44" x14ac:dyDescent="0.25">
      <c r="E360" s="2"/>
      <c r="F360" s="125"/>
      <c r="G360" s="2"/>
      <c r="H360" s="2" t="s">
        <v>20</v>
      </c>
      <c r="I360" s="2"/>
      <c r="J360" s="2"/>
      <c r="K360" s="2"/>
      <c r="L360" s="2"/>
      <c r="M360" s="2"/>
      <c r="N360" s="2"/>
      <c r="O360" s="3"/>
      <c r="P360" s="2"/>
      <c r="Q360" s="2"/>
      <c r="R360" s="2"/>
      <c r="S360" s="2"/>
      <c r="T360" s="2"/>
      <c r="U360" s="2"/>
      <c r="V360" s="2"/>
      <c r="W360" s="3"/>
      <c r="X360" s="2"/>
      <c r="Y360" s="2"/>
      <c r="Z360" s="2"/>
      <c r="AA360" s="2"/>
      <c r="AB360" s="2"/>
      <c r="AC360" s="2"/>
      <c r="AD360" s="2"/>
      <c r="AE360" s="3"/>
      <c r="AF360" s="2" t="s">
        <v>20</v>
      </c>
      <c r="AG360" s="2" t="s">
        <v>59</v>
      </c>
      <c r="AH360" s="32" t="s">
        <v>70</v>
      </c>
      <c r="AI360" s="2"/>
      <c r="AJ360" s="2" t="s">
        <v>59</v>
      </c>
      <c r="AK360" s="32" t="s">
        <v>70</v>
      </c>
      <c r="AL360" s="3"/>
      <c r="AM360" s="2"/>
      <c r="AN360" s="2"/>
      <c r="AO360" s="2"/>
      <c r="AP360" s="2"/>
      <c r="AQ360" s="2"/>
      <c r="AR360" s="2"/>
    </row>
    <row r="361" spans="5:44" x14ac:dyDescent="0.25">
      <c r="E361" s="2"/>
      <c r="F361" s="125"/>
      <c r="G361" s="2"/>
      <c r="H361" s="2" t="s">
        <v>24</v>
      </c>
      <c r="I361" s="2"/>
      <c r="J361" s="2"/>
      <c r="K361" s="2"/>
      <c r="L361" s="2"/>
      <c r="M361" s="2"/>
      <c r="N361" s="2"/>
      <c r="O361" s="3"/>
      <c r="P361" s="2"/>
      <c r="Q361" s="2"/>
      <c r="R361" s="2"/>
      <c r="S361" s="2"/>
      <c r="T361" s="2"/>
      <c r="U361" s="2"/>
      <c r="V361" s="2"/>
      <c r="W361" s="3"/>
      <c r="X361" s="2"/>
      <c r="Y361" s="2"/>
      <c r="Z361" s="2"/>
      <c r="AA361" s="2"/>
      <c r="AB361" s="2"/>
      <c r="AC361" s="2"/>
      <c r="AD361" s="2"/>
      <c r="AE361" s="3"/>
      <c r="AF361" s="2" t="s">
        <v>24</v>
      </c>
      <c r="AG361" s="2" t="s">
        <v>61</v>
      </c>
      <c r="AH361" s="32" t="s">
        <v>70</v>
      </c>
      <c r="AI361" s="2"/>
      <c r="AJ361" s="2" t="s">
        <v>61</v>
      </c>
      <c r="AK361" s="32" t="s">
        <v>70</v>
      </c>
      <c r="AL361" s="3"/>
      <c r="AM361" s="2"/>
      <c r="AN361" s="2"/>
      <c r="AO361" s="2"/>
      <c r="AP361" s="2"/>
      <c r="AQ361" s="2"/>
      <c r="AR361" s="2"/>
    </row>
    <row r="362" spans="5:44" x14ac:dyDescent="0.25">
      <c r="E362" s="2"/>
      <c r="F362" s="125"/>
      <c r="G362" s="2"/>
      <c r="H362" s="2" t="s">
        <v>28</v>
      </c>
      <c r="I362" s="2"/>
      <c r="J362" s="2"/>
      <c r="K362" s="2"/>
      <c r="L362" s="2"/>
      <c r="M362" s="2"/>
      <c r="N362" s="2"/>
      <c r="O362" s="3"/>
      <c r="P362" s="2"/>
      <c r="Q362" s="2"/>
      <c r="R362" s="2"/>
      <c r="S362" s="2"/>
      <c r="T362" s="2"/>
      <c r="U362" s="2"/>
      <c r="V362" s="2"/>
      <c r="W362" s="3"/>
      <c r="X362" s="2"/>
      <c r="Y362" s="2"/>
      <c r="Z362" s="2"/>
      <c r="AA362" s="2"/>
      <c r="AB362" s="2"/>
      <c r="AC362" s="2"/>
      <c r="AD362" s="2"/>
      <c r="AE362" s="3"/>
      <c r="AF362" s="2" t="s">
        <v>28</v>
      </c>
      <c r="AG362" s="2" t="s">
        <v>61</v>
      </c>
      <c r="AH362" s="32" t="s">
        <v>70</v>
      </c>
      <c r="AI362" s="2"/>
      <c r="AJ362" s="2" t="s">
        <v>61</v>
      </c>
      <c r="AK362" s="32" t="s">
        <v>70</v>
      </c>
      <c r="AL362" s="3"/>
      <c r="AM362" s="2"/>
      <c r="AN362" s="2"/>
      <c r="AO362" s="2"/>
      <c r="AP362" s="2"/>
      <c r="AQ362" s="2"/>
      <c r="AR362" s="2"/>
    </row>
    <row r="363" spans="5:44" x14ac:dyDescent="0.25">
      <c r="E363" s="2"/>
      <c r="F363" s="125"/>
      <c r="G363" s="2"/>
      <c r="H363" s="2" t="s">
        <v>32</v>
      </c>
      <c r="I363" s="2"/>
      <c r="J363" s="2"/>
      <c r="K363" s="2"/>
      <c r="L363" s="2"/>
      <c r="M363" s="2"/>
      <c r="N363" s="2"/>
      <c r="O363" s="3"/>
      <c r="P363" s="2"/>
      <c r="Q363" s="2"/>
      <c r="R363" s="2"/>
      <c r="S363" s="2"/>
      <c r="T363" s="2"/>
      <c r="U363" s="2"/>
      <c r="V363" s="2"/>
      <c r="W363" s="3"/>
      <c r="X363" s="2"/>
      <c r="Y363" s="2"/>
      <c r="Z363" s="2"/>
      <c r="AA363" s="2"/>
      <c r="AB363" s="2"/>
      <c r="AC363" s="2"/>
      <c r="AD363" s="2"/>
      <c r="AE363" s="3"/>
      <c r="AF363" s="2" t="s">
        <v>32</v>
      </c>
      <c r="AG363" s="2" t="s">
        <v>61</v>
      </c>
      <c r="AH363" s="32" t="s">
        <v>70</v>
      </c>
      <c r="AI363" s="2"/>
      <c r="AJ363" s="2" t="s">
        <v>61</v>
      </c>
      <c r="AK363" s="32" t="s">
        <v>70</v>
      </c>
      <c r="AL363" s="3"/>
      <c r="AM363" s="2"/>
      <c r="AN363" s="2"/>
      <c r="AO363" s="2"/>
      <c r="AP363" s="2"/>
      <c r="AQ363" s="2"/>
      <c r="AR363" s="2"/>
    </row>
    <row r="364" spans="5:44" x14ac:dyDescent="0.25">
      <c r="E364" s="2"/>
      <c r="F364" s="125"/>
      <c r="G364" s="2"/>
      <c r="H364" s="2"/>
      <c r="I364" s="2"/>
      <c r="J364" s="2"/>
      <c r="K364" s="2"/>
      <c r="L364" s="2"/>
      <c r="M364" s="2"/>
      <c r="N364" s="2"/>
      <c r="O364" s="3"/>
      <c r="P364" s="2"/>
      <c r="Q364" s="2"/>
      <c r="R364" s="2"/>
      <c r="S364" s="2"/>
      <c r="T364" s="2"/>
      <c r="U364" s="2"/>
      <c r="V364" s="2"/>
      <c r="W364" s="3"/>
      <c r="X364" s="2"/>
      <c r="Y364" s="2"/>
      <c r="Z364" s="2"/>
      <c r="AA364" s="2"/>
      <c r="AB364" s="2"/>
      <c r="AC364" s="2"/>
      <c r="AD364" s="2"/>
      <c r="AE364" s="3"/>
      <c r="AF364" s="2"/>
      <c r="AG364" s="2"/>
      <c r="AH364" s="2"/>
      <c r="AI364" s="2"/>
      <c r="AJ364" s="2"/>
      <c r="AK364" s="2"/>
      <c r="AL364" s="3"/>
      <c r="AM364" s="2"/>
      <c r="AN364" s="2"/>
      <c r="AO364" s="2"/>
      <c r="AP364" s="2"/>
      <c r="AQ364" s="2"/>
      <c r="AR364" s="2"/>
    </row>
    <row r="365" spans="5:44" x14ac:dyDescent="0.25">
      <c r="E365" s="2"/>
      <c r="F365" s="125"/>
      <c r="G365" s="2"/>
      <c r="H365" s="2"/>
      <c r="I365" s="2"/>
      <c r="J365" s="2"/>
      <c r="K365" s="2"/>
      <c r="L365" s="2"/>
      <c r="M365" s="2"/>
      <c r="N365" s="2"/>
      <c r="O365" s="3"/>
      <c r="P365" s="2"/>
      <c r="Q365" s="2"/>
      <c r="R365" s="2"/>
      <c r="S365" s="2"/>
      <c r="T365" s="2"/>
      <c r="U365" s="2"/>
      <c r="V365" s="2"/>
      <c r="W365" s="3"/>
      <c r="X365" s="2"/>
      <c r="Y365" s="25">
        <v>1823</v>
      </c>
      <c r="Z365" s="25"/>
      <c r="AA365" s="25"/>
      <c r="AB365" s="25" t="s">
        <v>63</v>
      </c>
      <c r="AC365" s="3"/>
      <c r="AD365" s="2"/>
      <c r="AE365" s="3"/>
      <c r="AF365" s="2"/>
      <c r="AG365" s="36">
        <v>1878</v>
      </c>
      <c r="AH365" s="36"/>
      <c r="AI365" s="36"/>
      <c r="AJ365" s="36" t="s">
        <v>63</v>
      </c>
      <c r="AK365" s="37"/>
      <c r="AL365" s="3"/>
      <c r="AM365" s="2"/>
      <c r="AN365" s="2"/>
      <c r="AO365" s="2"/>
      <c r="AP365" s="2"/>
      <c r="AQ365" s="2"/>
      <c r="AR365" s="2"/>
    </row>
    <row r="366" spans="5:44" x14ac:dyDescent="0.25">
      <c r="E366" s="2"/>
      <c r="F366" s="125"/>
      <c r="G366" s="2"/>
      <c r="H366" s="2"/>
      <c r="I366" s="2"/>
      <c r="J366" s="2"/>
      <c r="K366" s="2"/>
      <c r="L366" s="2"/>
      <c r="M366" s="2"/>
      <c r="N366" s="2"/>
      <c r="O366" s="3"/>
      <c r="P366" s="2"/>
      <c r="Q366" s="2"/>
      <c r="R366" s="2"/>
      <c r="S366" s="2"/>
      <c r="T366" s="2"/>
      <c r="U366" s="2"/>
      <c r="V366" s="2"/>
      <c r="W366" s="3"/>
      <c r="X366" s="2"/>
      <c r="Y366" s="26" t="s">
        <v>4</v>
      </c>
      <c r="Z366" s="26"/>
      <c r="AA366" s="26"/>
      <c r="AB366" s="26" t="s">
        <v>5</v>
      </c>
      <c r="AC366" s="26"/>
      <c r="AD366" s="26"/>
      <c r="AE366" s="3"/>
      <c r="AF366" s="2"/>
      <c r="AG366" s="26" t="s">
        <v>4</v>
      </c>
      <c r="AH366" s="26"/>
      <c r="AI366" s="26"/>
      <c r="AJ366" s="26" t="s">
        <v>5</v>
      </c>
      <c r="AK366" s="26"/>
      <c r="AL366" s="3"/>
      <c r="AM366" s="2"/>
      <c r="AN366" s="2"/>
      <c r="AO366" s="2"/>
      <c r="AP366" s="2"/>
      <c r="AQ366" s="2"/>
      <c r="AR366" s="2"/>
    </row>
    <row r="367" spans="5:44" x14ac:dyDescent="0.25">
      <c r="E367" s="2"/>
      <c r="F367" s="125"/>
      <c r="G367" s="2"/>
      <c r="H367" s="2"/>
      <c r="I367" s="2"/>
      <c r="J367" s="2"/>
      <c r="K367" s="2"/>
      <c r="L367" s="2"/>
      <c r="M367" s="2"/>
      <c r="N367" s="2"/>
      <c r="O367" s="3"/>
      <c r="P367" s="2"/>
      <c r="Q367" s="2"/>
      <c r="R367" s="2"/>
      <c r="S367" s="2"/>
      <c r="T367" s="2"/>
      <c r="U367" s="2"/>
      <c r="V367" s="2"/>
      <c r="W367" s="3"/>
      <c r="X367" s="2"/>
      <c r="Y367" s="27">
        <v>1823</v>
      </c>
      <c r="Z367" s="27" t="s">
        <v>7</v>
      </c>
      <c r="AA367" s="29"/>
      <c r="AB367" s="27">
        <v>1823</v>
      </c>
      <c r="AC367" s="27" t="s">
        <v>7</v>
      </c>
      <c r="AD367" s="28"/>
      <c r="AE367" s="3"/>
      <c r="AF367" s="2"/>
      <c r="AG367" s="27">
        <v>1878</v>
      </c>
      <c r="AH367" s="27" t="s">
        <v>7</v>
      </c>
      <c r="AI367" s="29"/>
      <c r="AJ367" s="27">
        <v>1878</v>
      </c>
      <c r="AK367" s="27" t="s">
        <v>7</v>
      </c>
      <c r="AL367" s="3"/>
      <c r="AM367" s="2"/>
      <c r="AN367" s="2"/>
      <c r="AO367" s="2"/>
      <c r="AP367" s="2"/>
      <c r="AQ367" s="2"/>
      <c r="AR367" s="2"/>
    </row>
    <row r="368" spans="5:44" x14ac:dyDescent="0.25">
      <c r="E368" s="2"/>
      <c r="F368" s="125"/>
      <c r="G368" s="2"/>
      <c r="H368" s="2" t="s">
        <v>12</v>
      </c>
      <c r="I368" s="2"/>
      <c r="J368" s="2"/>
      <c r="K368" s="2"/>
      <c r="L368" s="2"/>
      <c r="M368" s="2"/>
      <c r="N368" s="2"/>
      <c r="O368" s="3"/>
      <c r="P368" s="2"/>
      <c r="Q368" s="2"/>
      <c r="R368" s="2"/>
      <c r="S368" s="2"/>
      <c r="T368" s="2"/>
      <c r="U368" s="2"/>
      <c r="V368" s="2"/>
      <c r="W368" s="3"/>
      <c r="X368" s="2" t="s">
        <v>12</v>
      </c>
      <c r="Y368" s="34" t="s">
        <v>86</v>
      </c>
      <c r="Z368" s="32" t="s">
        <v>70</v>
      </c>
      <c r="AA368" s="2"/>
      <c r="AB368" s="34" t="s">
        <v>86</v>
      </c>
      <c r="AC368" s="32" t="s">
        <v>70</v>
      </c>
      <c r="AD368" s="2"/>
      <c r="AE368" s="3"/>
      <c r="AF368" s="2" t="s">
        <v>12</v>
      </c>
      <c r="AG368" t="s">
        <v>50</v>
      </c>
      <c r="AH368" s="32" t="s">
        <v>70</v>
      </c>
      <c r="AI368" s="2"/>
      <c r="AJ368" t="s">
        <v>50</v>
      </c>
      <c r="AK368" s="32" t="s">
        <v>70</v>
      </c>
      <c r="AL368" s="3"/>
      <c r="AM368" s="2"/>
      <c r="AN368" s="2"/>
      <c r="AO368" s="2"/>
      <c r="AP368" s="2"/>
      <c r="AQ368" s="2"/>
      <c r="AR368" s="2"/>
    </row>
    <row r="369" spans="5:44" x14ac:dyDescent="0.25">
      <c r="E369" s="2"/>
      <c r="F369" s="125"/>
      <c r="G369" s="2"/>
      <c r="H369" s="2" t="s">
        <v>20</v>
      </c>
      <c r="I369" s="2"/>
      <c r="J369" s="2"/>
      <c r="K369" s="2"/>
      <c r="L369" s="2"/>
      <c r="M369" s="2"/>
      <c r="N369" s="2"/>
      <c r="O369" s="3"/>
      <c r="P369" s="2"/>
      <c r="Q369" s="2"/>
      <c r="R369" s="2"/>
      <c r="S369" s="2"/>
      <c r="T369" s="2"/>
      <c r="U369" s="2"/>
      <c r="V369" s="2"/>
      <c r="W369" s="3"/>
      <c r="X369" s="2" t="s">
        <v>20</v>
      </c>
      <c r="Y369" s="34" t="s">
        <v>86</v>
      </c>
      <c r="Z369" s="32" t="s">
        <v>70</v>
      </c>
      <c r="AA369" s="2"/>
      <c r="AB369" s="34" t="s">
        <v>86</v>
      </c>
      <c r="AC369" s="32" t="s">
        <v>70</v>
      </c>
      <c r="AD369" s="2"/>
      <c r="AE369" s="3"/>
      <c r="AF369" s="2" t="s">
        <v>20</v>
      </c>
      <c r="AG369" t="s">
        <v>50</v>
      </c>
      <c r="AH369" s="32" t="s">
        <v>70</v>
      </c>
      <c r="AI369" s="2"/>
      <c r="AJ369" t="s">
        <v>50</v>
      </c>
      <c r="AK369" s="32" t="s">
        <v>70</v>
      </c>
      <c r="AL369" s="3"/>
      <c r="AM369" s="2"/>
      <c r="AN369" s="2"/>
      <c r="AO369" s="2"/>
      <c r="AP369" s="2"/>
      <c r="AQ369" s="2"/>
      <c r="AR369" s="2"/>
    </row>
    <row r="370" spans="5:44" x14ac:dyDescent="0.25">
      <c r="E370" s="2"/>
      <c r="F370" s="125"/>
      <c r="G370" s="2"/>
      <c r="H370" s="2" t="s">
        <v>24</v>
      </c>
      <c r="I370" s="2"/>
      <c r="J370" s="2"/>
      <c r="K370" s="2"/>
      <c r="L370" s="2"/>
      <c r="M370" s="2"/>
      <c r="N370" s="2"/>
      <c r="O370" s="3"/>
      <c r="P370" s="2"/>
      <c r="Q370" s="2"/>
      <c r="R370" s="2"/>
      <c r="S370" s="2"/>
      <c r="T370" s="2"/>
      <c r="U370" s="2"/>
      <c r="V370" s="2"/>
      <c r="W370" s="3"/>
      <c r="X370" s="2" t="s">
        <v>24</v>
      </c>
      <c r="Y370" s="34" t="s">
        <v>87</v>
      </c>
      <c r="Z370" s="32" t="s">
        <v>70</v>
      </c>
      <c r="AA370" s="2"/>
      <c r="AB370" s="34" t="s">
        <v>87</v>
      </c>
      <c r="AC370" s="32" t="s">
        <v>70</v>
      </c>
      <c r="AD370" s="2"/>
      <c r="AE370" s="3"/>
      <c r="AF370" s="2" t="s">
        <v>24</v>
      </c>
      <c r="AG370" t="s">
        <v>50</v>
      </c>
      <c r="AH370" s="32" t="s">
        <v>70</v>
      </c>
      <c r="AI370" s="2"/>
      <c r="AJ370" t="s">
        <v>50</v>
      </c>
      <c r="AK370" s="32" t="s">
        <v>70</v>
      </c>
      <c r="AL370" s="3"/>
      <c r="AM370" s="2"/>
      <c r="AN370" s="2"/>
      <c r="AO370" s="2"/>
      <c r="AP370" s="2"/>
      <c r="AQ370" s="2"/>
      <c r="AR370" s="2"/>
    </row>
    <row r="371" spans="5:44" x14ac:dyDescent="0.25">
      <c r="E371" s="2"/>
      <c r="F371" s="125"/>
      <c r="G371" s="2"/>
      <c r="H371" s="2" t="s">
        <v>28</v>
      </c>
      <c r="I371" s="2"/>
      <c r="J371" s="2"/>
      <c r="K371" s="2"/>
      <c r="L371" s="2"/>
      <c r="M371" s="2"/>
      <c r="N371" s="2"/>
      <c r="O371" s="3"/>
      <c r="P371" s="2"/>
      <c r="Q371" s="2"/>
      <c r="R371" s="2"/>
      <c r="S371" s="2"/>
      <c r="T371" s="2"/>
      <c r="U371" s="2"/>
      <c r="V371" s="2"/>
      <c r="W371" s="3"/>
      <c r="X371" s="2" t="s">
        <v>28</v>
      </c>
      <c r="Y371" s="34" t="s">
        <v>87</v>
      </c>
      <c r="Z371" s="32" t="s">
        <v>70</v>
      </c>
      <c r="AA371" s="2"/>
      <c r="AB371" s="34" t="s">
        <v>87</v>
      </c>
      <c r="AC371" s="32" t="s">
        <v>70</v>
      </c>
      <c r="AD371" s="2"/>
      <c r="AE371" s="3"/>
      <c r="AF371" s="2" t="s">
        <v>28</v>
      </c>
      <c r="AG371" t="s">
        <v>50</v>
      </c>
      <c r="AH371" s="32" t="s">
        <v>70</v>
      </c>
      <c r="AI371" s="2"/>
      <c r="AJ371" t="s">
        <v>50</v>
      </c>
      <c r="AK371" s="32" t="s">
        <v>70</v>
      </c>
      <c r="AL371" s="3"/>
      <c r="AM371" s="2"/>
      <c r="AN371" s="2"/>
      <c r="AO371" s="2"/>
      <c r="AP371" s="2"/>
      <c r="AQ371" s="2"/>
      <c r="AR371" s="2"/>
    </row>
    <row r="372" spans="5:44" x14ac:dyDescent="0.25">
      <c r="E372" s="2"/>
      <c r="F372" s="125"/>
      <c r="G372" s="2"/>
      <c r="H372" s="2" t="s">
        <v>32</v>
      </c>
      <c r="I372" s="2"/>
      <c r="J372" s="2"/>
      <c r="K372" s="2"/>
      <c r="L372" s="2"/>
      <c r="M372" s="2"/>
      <c r="N372" s="2"/>
      <c r="O372" s="3"/>
      <c r="P372" s="2"/>
      <c r="Q372" s="2"/>
      <c r="R372" s="2"/>
      <c r="S372" s="2"/>
      <c r="T372" s="2"/>
      <c r="U372" s="2"/>
      <c r="V372" s="2"/>
      <c r="W372" s="3"/>
      <c r="X372" s="2" t="s">
        <v>32</v>
      </c>
      <c r="Y372" s="34" t="s">
        <v>87</v>
      </c>
      <c r="Z372" s="32" t="s">
        <v>70</v>
      </c>
      <c r="AA372" s="2"/>
      <c r="AB372" s="34" t="s">
        <v>87</v>
      </c>
      <c r="AC372" s="32" t="s">
        <v>70</v>
      </c>
      <c r="AD372" s="2"/>
      <c r="AE372" s="3"/>
      <c r="AF372" s="2" t="s">
        <v>32</v>
      </c>
      <c r="AG372" t="s">
        <v>50</v>
      </c>
      <c r="AH372" s="32" t="s">
        <v>70</v>
      </c>
      <c r="AI372" s="2"/>
      <c r="AJ372" t="s">
        <v>50</v>
      </c>
      <c r="AK372" s="32" t="s">
        <v>70</v>
      </c>
      <c r="AL372" s="3"/>
      <c r="AM372" s="2"/>
      <c r="AN372" s="2"/>
      <c r="AO372" s="2"/>
      <c r="AP372" s="2"/>
      <c r="AQ372" s="2"/>
      <c r="AR372" s="2"/>
    </row>
    <row r="373" spans="5:44" x14ac:dyDescent="0.25">
      <c r="E373" s="2"/>
      <c r="F373" s="125"/>
      <c r="G373" s="2"/>
      <c r="H373" s="2"/>
      <c r="I373" s="2"/>
      <c r="J373" s="2"/>
      <c r="K373" s="2"/>
      <c r="L373" s="2"/>
      <c r="M373" s="2"/>
      <c r="N373" s="2"/>
      <c r="O373" s="3"/>
      <c r="P373" s="2"/>
      <c r="Q373" s="2"/>
      <c r="R373" s="2"/>
      <c r="S373" s="2"/>
      <c r="T373" s="2"/>
      <c r="U373" s="2"/>
      <c r="V373" s="2"/>
      <c r="W373" s="3"/>
      <c r="X373" s="2"/>
      <c r="Y373" s="2"/>
      <c r="Z373" s="2"/>
      <c r="AA373" s="2"/>
      <c r="AB373" s="2"/>
      <c r="AC373" s="2"/>
      <c r="AD373" s="2"/>
      <c r="AE373" s="3"/>
      <c r="AF373" s="2"/>
      <c r="AG373" s="2"/>
      <c r="AH373" s="2"/>
      <c r="AI373" s="2"/>
      <c r="AJ373" s="2"/>
      <c r="AK373" s="2"/>
      <c r="AL373" s="3"/>
      <c r="AM373" s="2"/>
      <c r="AN373" s="2"/>
      <c r="AO373" s="2"/>
      <c r="AP373" s="2"/>
      <c r="AQ373" s="2"/>
      <c r="AR373" s="2"/>
    </row>
    <row r="374" spans="5:44" x14ac:dyDescent="0.25">
      <c r="E374" s="2"/>
      <c r="F374" s="125"/>
      <c r="G374" s="2"/>
      <c r="H374" s="2"/>
      <c r="I374" s="2"/>
      <c r="J374" s="2"/>
      <c r="K374" s="2"/>
      <c r="L374" s="2"/>
      <c r="M374" s="2"/>
      <c r="N374" s="2"/>
      <c r="O374" s="3"/>
      <c r="P374" s="2"/>
      <c r="Q374" s="2"/>
      <c r="R374" s="2"/>
      <c r="S374" s="2"/>
      <c r="T374" s="2"/>
      <c r="U374" s="2"/>
      <c r="V374" s="2"/>
      <c r="W374" s="3"/>
      <c r="X374" s="2"/>
      <c r="Y374" s="25" t="s">
        <v>88</v>
      </c>
      <c r="Z374" s="25"/>
      <c r="AA374" s="25"/>
      <c r="AB374" s="25" t="s">
        <v>89</v>
      </c>
      <c r="AC374" s="3"/>
      <c r="AD374" s="2"/>
      <c r="AE374" s="3"/>
      <c r="AF374" s="2"/>
      <c r="AG374" s="2"/>
      <c r="AH374" s="2"/>
      <c r="AI374" s="2"/>
      <c r="AJ374" s="2"/>
      <c r="AK374" s="2"/>
      <c r="AL374" s="3"/>
      <c r="AM374" s="2"/>
      <c r="AN374" s="2"/>
      <c r="AO374" s="2"/>
      <c r="AP374" s="2"/>
      <c r="AQ374" s="2"/>
      <c r="AR374" s="2"/>
    </row>
    <row r="375" spans="5:44" x14ac:dyDescent="0.25">
      <c r="E375" s="2"/>
      <c r="F375" s="125"/>
      <c r="G375" s="2"/>
      <c r="H375" s="2"/>
      <c r="I375" s="2"/>
      <c r="J375" s="2"/>
      <c r="K375" s="2"/>
      <c r="L375" s="2"/>
      <c r="M375" s="2"/>
      <c r="N375" s="2"/>
      <c r="O375" s="3"/>
      <c r="P375" s="2"/>
      <c r="Q375" s="2"/>
      <c r="R375" s="2"/>
      <c r="S375" s="2"/>
      <c r="T375" s="2"/>
      <c r="U375" s="2"/>
      <c r="V375" s="2"/>
      <c r="W375" s="3"/>
      <c r="X375" s="2"/>
      <c r="Y375" s="26" t="s">
        <v>4</v>
      </c>
      <c r="Z375" s="26"/>
      <c r="AA375" s="26"/>
      <c r="AB375" s="26" t="s">
        <v>5</v>
      </c>
      <c r="AC375" s="26"/>
      <c r="AD375" s="2"/>
      <c r="AE375" s="3"/>
      <c r="AF375" s="2"/>
      <c r="AG375" s="2"/>
      <c r="AH375" s="2"/>
      <c r="AI375" s="2"/>
      <c r="AJ375" s="2"/>
      <c r="AK375" s="2"/>
      <c r="AL375" s="3"/>
      <c r="AM375" s="2"/>
      <c r="AN375" s="2"/>
      <c r="AO375" s="2"/>
      <c r="AP375" s="2"/>
      <c r="AQ375" s="2"/>
      <c r="AR375" s="2"/>
    </row>
    <row r="376" spans="5:44" x14ac:dyDescent="0.25">
      <c r="E376" s="2"/>
      <c r="F376" s="125"/>
      <c r="G376" s="2"/>
      <c r="H376" s="2"/>
      <c r="I376" s="2"/>
      <c r="J376" s="2"/>
      <c r="K376" s="2"/>
      <c r="L376" s="2"/>
      <c r="M376" s="2"/>
      <c r="N376" s="2"/>
      <c r="O376" s="3"/>
      <c r="P376" s="2"/>
      <c r="Q376" s="2"/>
      <c r="R376" s="2"/>
      <c r="S376" s="2"/>
      <c r="T376" s="2"/>
      <c r="U376" s="2"/>
      <c r="V376" s="2"/>
      <c r="W376" s="3"/>
      <c r="X376" s="2"/>
      <c r="Y376" s="27" t="s">
        <v>90</v>
      </c>
      <c r="Z376" s="27" t="s">
        <v>7</v>
      </c>
      <c r="AA376" s="29"/>
      <c r="AB376" s="27" t="s">
        <v>90</v>
      </c>
      <c r="AC376" s="27" t="s">
        <v>7</v>
      </c>
      <c r="AD376" s="2"/>
      <c r="AE376" s="3"/>
      <c r="AF376" s="2"/>
      <c r="AG376" s="2"/>
      <c r="AH376" s="2"/>
      <c r="AI376" s="2"/>
      <c r="AJ376" s="2"/>
      <c r="AK376" s="2"/>
      <c r="AL376" s="3"/>
      <c r="AM376" s="2"/>
      <c r="AN376" s="2"/>
      <c r="AO376" s="2"/>
      <c r="AP376" s="2"/>
      <c r="AQ376" s="2"/>
      <c r="AR376" s="2"/>
    </row>
    <row r="377" spans="5:44" x14ac:dyDescent="0.25">
      <c r="E377" s="2"/>
      <c r="F377" s="125"/>
      <c r="G377" s="2"/>
      <c r="H377" s="2" t="s">
        <v>12</v>
      </c>
      <c r="I377" s="2"/>
      <c r="J377" s="2"/>
      <c r="K377" s="2"/>
      <c r="L377" s="2"/>
      <c r="M377" s="2"/>
      <c r="N377" s="2"/>
      <c r="O377" s="3"/>
      <c r="P377" s="2"/>
      <c r="Q377" s="2"/>
      <c r="R377" s="2"/>
      <c r="S377" s="2"/>
      <c r="T377" s="2"/>
      <c r="U377" s="2"/>
      <c r="V377" s="2"/>
      <c r="W377" s="3"/>
      <c r="X377" s="2" t="s">
        <v>12</v>
      </c>
      <c r="Y377" t="s">
        <v>19</v>
      </c>
      <c r="Z377" s="32" t="s">
        <v>79</v>
      </c>
      <c r="AA377" s="2"/>
      <c r="AB377" t="s">
        <v>19</v>
      </c>
      <c r="AC377" s="32" t="s">
        <v>79</v>
      </c>
      <c r="AD377" s="2"/>
      <c r="AE377" s="3"/>
      <c r="AF377" s="2"/>
      <c r="AG377" s="2"/>
      <c r="AH377" s="2"/>
      <c r="AI377" s="2"/>
      <c r="AJ377" s="2"/>
      <c r="AK377" s="2"/>
      <c r="AL377" s="3"/>
      <c r="AM377" s="2"/>
      <c r="AN377" s="2"/>
      <c r="AO377" s="2"/>
      <c r="AP377" s="2"/>
      <c r="AQ377" s="2"/>
      <c r="AR377" s="2"/>
    </row>
    <row r="378" spans="5:44" x14ac:dyDescent="0.25">
      <c r="E378" s="2"/>
      <c r="F378" s="125"/>
      <c r="G378" s="2"/>
      <c r="H378" s="2" t="s">
        <v>20</v>
      </c>
      <c r="I378" s="2"/>
      <c r="J378" s="2"/>
      <c r="K378" s="2"/>
      <c r="L378" s="2"/>
      <c r="M378" s="2"/>
      <c r="N378" s="2"/>
      <c r="O378" s="3"/>
      <c r="P378" s="2"/>
      <c r="Q378" s="2"/>
      <c r="R378" s="2"/>
      <c r="S378" s="2"/>
      <c r="T378" s="2"/>
      <c r="U378" s="2"/>
      <c r="V378" s="2"/>
      <c r="W378" s="3"/>
      <c r="X378" s="2" t="s">
        <v>20</v>
      </c>
      <c r="Y378" t="s">
        <v>66</v>
      </c>
      <c r="Z378" s="32" t="s">
        <v>79</v>
      </c>
      <c r="AA378" s="2"/>
      <c r="AB378" t="s">
        <v>66</v>
      </c>
      <c r="AC378" s="32" t="s">
        <v>79</v>
      </c>
      <c r="AD378" s="2"/>
      <c r="AE378" s="3"/>
      <c r="AF378" s="2"/>
      <c r="AG378" s="2"/>
      <c r="AH378" s="2"/>
      <c r="AI378" s="2"/>
      <c r="AJ378" s="2"/>
      <c r="AK378" s="2"/>
      <c r="AL378" s="3"/>
      <c r="AM378" s="2"/>
      <c r="AN378" s="2"/>
      <c r="AO378" s="2"/>
      <c r="AP378" s="2"/>
      <c r="AQ378" s="2"/>
      <c r="AR378" s="2"/>
    </row>
    <row r="379" spans="5:44" x14ac:dyDescent="0.25">
      <c r="E379" s="2"/>
      <c r="F379" s="125"/>
      <c r="G379" s="2"/>
      <c r="H379" s="2" t="s">
        <v>24</v>
      </c>
      <c r="I379" s="2"/>
      <c r="J379" s="2"/>
      <c r="K379" s="2"/>
      <c r="L379" s="2"/>
      <c r="M379" s="2"/>
      <c r="N379" s="2"/>
      <c r="O379" s="3"/>
      <c r="P379" s="2"/>
      <c r="Q379" s="2"/>
      <c r="R379" s="2"/>
      <c r="S379" s="2"/>
      <c r="T379" s="2"/>
      <c r="U379" s="2"/>
      <c r="V379" s="2"/>
      <c r="W379" s="3"/>
      <c r="X379" s="2" t="s">
        <v>24</v>
      </c>
      <c r="Y379" s="19" t="s">
        <v>44</v>
      </c>
      <c r="Z379" s="32" t="s">
        <v>70</v>
      </c>
      <c r="AA379" s="2"/>
      <c r="AB379" s="19" t="s">
        <v>44</v>
      </c>
      <c r="AC379" s="32" t="s">
        <v>70</v>
      </c>
      <c r="AD379" s="2"/>
      <c r="AE379" s="3"/>
      <c r="AF379" s="2"/>
      <c r="AG379" s="2"/>
      <c r="AH379" s="2"/>
      <c r="AI379" s="2"/>
      <c r="AJ379" s="2"/>
      <c r="AK379" s="2"/>
      <c r="AL379" s="3"/>
      <c r="AM379" s="2"/>
      <c r="AN379" s="2"/>
      <c r="AO379" s="2"/>
      <c r="AP379" s="2"/>
      <c r="AQ379" s="2"/>
      <c r="AR379" s="2"/>
    </row>
    <row r="380" spans="5:44" x14ac:dyDescent="0.25">
      <c r="E380" s="2"/>
      <c r="F380" s="125"/>
      <c r="G380" s="2"/>
      <c r="H380" s="2" t="s">
        <v>28</v>
      </c>
      <c r="I380" s="2"/>
      <c r="J380" s="2"/>
      <c r="K380" s="2"/>
      <c r="L380" s="2"/>
      <c r="M380" s="2"/>
      <c r="N380" s="2"/>
      <c r="O380" s="3"/>
      <c r="P380" s="2"/>
      <c r="Q380" s="2"/>
      <c r="R380" s="2"/>
      <c r="S380" s="2"/>
      <c r="T380" s="2"/>
      <c r="U380" s="2"/>
      <c r="V380" s="2"/>
      <c r="W380" s="3"/>
      <c r="X380" s="2" t="s">
        <v>28</v>
      </c>
      <c r="Y380" s="14" t="s">
        <v>34</v>
      </c>
      <c r="Z380" s="32" t="s">
        <v>70</v>
      </c>
      <c r="AA380" s="2"/>
      <c r="AB380" s="14" t="s">
        <v>34</v>
      </c>
      <c r="AC380" s="32" t="s">
        <v>70</v>
      </c>
      <c r="AD380" s="2"/>
      <c r="AE380" s="3"/>
      <c r="AF380" s="2"/>
      <c r="AG380" s="2"/>
      <c r="AH380" s="2"/>
      <c r="AI380" s="2"/>
      <c r="AJ380" s="2"/>
      <c r="AK380" s="2"/>
      <c r="AL380" s="3"/>
      <c r="AM380" s="2"/>
      <c r="AN380" s="2"/>
      <c r="AO380" s="2"/>
      <c r="AP380" s="2"/>
      <c r="AQ380" s="2"/>
      <c r="AR380" s="2"/>
    </row>
    <row r="381" spans="5:44" x14ac:dyDescent="0.25">
      <c r="E381" s="2"/>
      <c r="F381" s="125"/>
      <c r="G381" s="2"/>
      <c r="H381" s="2" t="s">
        <v>32</v>
      </c>
      <c r="I381" s="2"/>
      <c r="J381" s="2"/>
      <c r="K381" s="2"/>
      <c r="L381" s="2"/>
      <c r="M381" s="2"/>
      <c r="N381" s="2"/>
      <c r="O381" s="3"/>
      <c r="P381" s="2"/>
      <c r="Q381" s="2"/>
      <c r="R381" s="2"/>
      <c r="S381" s="2"/>
      <c r="T381" s="2"/>
      <c r="U381" s="2"/>
      <c r="V381" s="2"/>
      <c r="W381" s="3"/>
      <c r="X381" s="2" t="s">
        <v>32</v>
      </c>
      <c r="Y381" s="8" t="s">
        <v>36</v>
      </c>
      <c r="Z381" s="32" t="s">
        <v>91</v>
      </c>
      <c r="AA381" s="2"/>
      <c r="AB381" s="8" t="s">
        <v>36</v>
      </c>
      <c r="AC381" s="32" t="s">
        <v>91</v>
      </c>
      <c r="AD381" s="2"/>
      <c r="AE381" s="3"/>
      <c r="AF381" s="2"/>
      <c r="AG381" s="2"/>
      <c r="AH381" s="2"/>
      <c r="AI381" s="2"/>
      <c r="AJ381" s="2"/>
      <c r="AK381" s="2"/>
      <c r="AL381" s="3"/>
      <c r="AM381" s="2"/>
      <c r="AN381" s="2"/>
      <c r="AO381" s="2"/>
      <c r="AP381" s="2"/>
      <c r="AQ381" s="2"/>
      <c r="AR381" s="2"/>
    </row>
    <row r="382" spans="5:44" x14ac:dyDescent="0.25">
      <c r="E382" s="2"/>
      <c r="F382" s="125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 spans="5:44" x14ac:dyDescent="0.25">
      <c r="E383" s="2"/>
      <c r="F383" s="125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 spans="5:44" x14ac:dyDescent="0.25">
      <c r="E384" s="2"/>
      <c r="F384" s="125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 spans="5:44" x14ac:dyDescent="0.25"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7" spans="5:44" ht="14.85" customHeight="1" x14ac:dyDescent="0.25"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124"/>
      <c r="V387" s="124"/>
      <c r="W387" s="124"/>
      <c r="X387" s="124"/>
      <c r="Y387" s="124" t="s">
        <v>1</v>
      </c>
      <c r="Z387" s="124"/>
      <c r="AA387" s="124"/>
      <c r="AB387" s="124"/>
      <c r="AC387" s="124"/>
      <c r="AD387" s="26"/>
      <c r="AE387" s="3"/>
      <c r="AF387" s="2"/>
      <c r="AG387" s="36" t="s">
        <v>2</v>
      </c>
      <c r="AH387" s="36"/>
      <c r="AI387" s="36"/>
      <c r="AJ387" s="36" t="s">
        <v>3</v>
      </c>
      <c r="AK387" s="37"/>
      <c r="AL387" s="3"/>
      <c r="AM387" s="2"/>
      <c r="AN387" s="2"/>
      <c r="AO387" s="2"/>
      <c r="AP387" s="2"/>
      <c r="AQ387" s="2"/>
      <c r="AR387" s="2"/>
    </row>
    <row r="388" spans="5:44" ht="14.45" customHeight="1" x14ac:dyDescent="0.25">
      <c r="E388" s="2"/>
      <c r="F388" s="125" t="str">
        <f>"ww"&amp;IF(LEFT($F$1,2)+1&lt;10,"0"&amp;LEFT($F$1,2)+1,LEFT($F$1,2)+1)&amp;".2"</f>
        <v>ww17.2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6" t="s">
        <v>4</v>
      </c>
      <c r="Z388" s="26"/>
      <c r="AA388" s="26"/>
      <c r="AB388" s="26" t="s">
        <v>5</v>
      </c>
      <c r="AC388" s="26"/>
      <c r="AD388" s="26"/>
      <c r="AE388" s="3"/>
      <c r="AF388" s="2"/>
      <c r="AG388" s="26" t="s">
        <v>4</v>
      </c>
      <c r="AH388" s="26"/>
      <c r="AI388" s="26"/>
      <c r="AJ388" s="26" t="s">
        <v>5</v>
      </c>
      <c r="AK388" s="26"/>
      <c r="AL388" s="3"/>
      <c r="AM388" s="2"/>
      <c r="AN388" s="2"/>
      <c r="AO388" s="2"/>
      <c r="AP388" s="2"/>
      <c r="AQ388" s="2"/>
      <c r="AR388" s="2"/>
    </row>
    <row r="389" spans="5:44" ht="14.45" customHeight="1" x14ac:dyDescent="0.25">
      <c r="E389" s="2"/>
      <c r="F389" s="125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7" t="s">
        <v>6</v>
      </c>
      <c r="Z389" s="27" t="s">
        <v>7</v>
      </c>
      <c r="AA389" s="2"/>
      <c r="AB389" s="27" t="s">
        <v>6</v>
      </c>
      <c r="AC389" s="27" t="s">
        <v>7</v>
      </c>
      <c r="AD389" s="28"/>
      <c r="AE389" s="3"/>
      <c r="AF389" s="2"/>
      <c r="AG389" s="27" t="s">
        <v>2</v>
      </c>
      <c r="AH389" s="27" t="s">
        <v>7</v>
      </c>
      <c r="AI389" s="29"/>
      <c r="AJ389" s="27" t="s">
        <v>2</v>
      </c>
      <c r="AK389" s="27" t="s">
        <v>7</v>
      </c>
      <c r="AL389" s="3"/>
      <c r="AM389" s="2"/>
      <c r="AN389" s="6" t="s">
        <v>8</v>
      </c>
      <c r="AO389" s="6" t="s">
        <v>9</v>
      </c>
      <c r="AP389" s="7" t="s">
        <v>10</v>
      </c>
      <c r="AQ389" s="7" t="s">
        <v>11</v>
      </c>
      <c r="AR389" s="2"/>
    </row>
    <row r="390" spans="5:44" ht="14.45" customHeight="1" x14ac:dyDescent="0.25">
      <c r="E390" s="2"/>
      <c r="F390" s="125"/>
      <c r="G390" s="2"/>
      <c r="H390" s="2" t="s">
        <v>12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30" t="s">
        <v>13</v>
      </c>
      <c r="V390" s="30" t="s">
        <v>14</v>
      </c>
      <c r="W390" s="30"/>
      <c r="X390" s="31"/>
      <c r="Z390" t="s">
        <v>15</v>
      </c>
      <c r="AA390" s="2"/>
      <c r="AC390" t="s">
        <v>15</v>
      </c>
      <c r="AD390" s="2"/>
      <c r="AE390" s="3"/>
      <c r="AF390" s="2" t="s">
        <v>12</v>
      </c>
      <c r="AG390" s="70" t="s">
        <v>16</v>
      </c>
      <c r="AH390" s="32" t="s">
        <v>17</v>
      </c>
      <c r="AI390" s="2"/>
      <c r="AJ390" s="70" t="s">
        <v>16</v>
      </c>
      <c r="AK390" s="32" t="s">
        <v>17</v>
      </c>
      <c r="AL390" s="3"/>
      <c r="AM390" s="2"/>
      <c r="AN390" s="9" t="s">
        <v>18</v>
      </c>
      <c r="AO390" s="9" t="s">
        <v>19</v>
      </c>
      <c r="AP390" s="5">
        <f>(COUNTIF($I$387:$I$481,"=*"&amp;AO390&amp;"*")+COUNTIF($Q$387:$Q$481,"=*"&amp;AO390&amp;"*")+COUNTIF($AG$387:$AG$481,"=*"&amp;AO390&amp;"*")+COUNTIF($Y$387:$Y$481,"=*"&amp;AO390&amp;"*"))*2</f>
        <v>2</v>
      </c>
      <c r="AQ390" s="5">
        <f>(COUNTIF($L$387:$L$481,"=*"&amp;AO390&amp;"*")+COUNTIF($T$387:$T$481,"=*"&amp;AO390&amp;"*")+COUNTIF($AJ$387:$AJ$481,"=*"&amp;AO390&amp;"*")+COUNTIF($AB$387:$AB$481,"=*"&amp;AO390&amp;"*"))*2</f>
        <v>2</v>
      </c>
      <c r="AR390" s="2"/>
    </row>
    <row r="391" spans="5:44" ht="14.45" customHeight="1" x14ac:dyDescent="0.25">
      <c r="E391" s="2"/>
      <c r="F391" s="125"/>
      <c r="G391" s="2"/>
      <c r="H391" s="2" t="s">
        <v>20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30" t="s">
        <v>21</v>
      </c>
      <c r="V391" s="30" t="s">
        <v>14</v>
      </c>
      <c r="W391" s="30"/>
      <c r="X391" s="31"/>
      <c r="AA391" s="2"/>
      <c r="AD391" s="2"/>
      <c r="AE391" s="3"/>
      <c r="AF391" s="2" t="s">
        <v>20</v>
      </c>
      <c r="AG391" s="70" t="s">
        <v>16</v>
      </c>
      <c r="AH391" s="32" t="s">
        <v>17</v>
      </c>
      <c r="AI391" s="2"/>
      <c r="AJ391" s="70" t="s">
        <v>16</v>
      </c>
      <c r="AK391" s="32" t="s">
        <v>17</v>
      </c>
      <c r="AL391" s="3"/>
      <c r="AM391" s="2"/>
      <c r="AN391" s="10" t="s">
        <v>22</v>
      </c>
      <c r="AO391" s="10" t="s">
        <v>23</v>
      </c>
      <c r="AP391" s="5">
        <f t="shared" ref="AP391:AP417" si="14">(COUNTIF($I$387:$I$481,"=*"&amp;AO391&amp;"*")+COUNTIF($Q$387:$Q$481,"=*"&amp;AO391&amp;"*")+COUNTIF($AG$387:$AG$481,"=*"&amp;AO391&amp;"*")+COUNTIF($Y$387:$Y$481,"=*"&amp;AO391&amp;"*"))*2</f>
        <v>0</v>
      </c>
      <c r="AQ391" s="5">
        <f t="shared" ref="AQ391:AQ417" si="15">(COUNTIF($L$387:$L$481,"=*"&amp;AO391&amp;"*")+COUNTIF($T$387:$T$481,"=*"&amp;AO391&amp;"*")+COUNTIF($AJ$387:$AJ$481,"=*"&amp;AO391&amp;"*")+COUNTIF($AB$387:$AB$481,"=*"&amp;AO391&amp;"*"))*2</f>
        <v>0</v>
      </c>
      <c r="AR391" s="2"/>
    </row>
    <row r="392" spans="5:44" ht="14.45" customHeight="1" x14ac:dyDescent="0.25">
      <c r="E392" s="2"/>
      <c r="F392" s="125"/>
      <c r="G392" s="2"/>
      <c r="H392" s="2" t="s">
        <v>24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30" t="s">
        <v>25</v>
      </c>
      <c r="V392" s="30" t="s">
        <v>14</v>
      </c>
      <c r="W392" s="30"/>
      <c r="X392" s="31"/>
      <c r="Z392" t="s">
        <v>15</v>
      </c>
      <c r="AA392" s="2"/>
      <c r="AC392" t="s">
        <v>15</v>
      </c>
      <c r="AD392" s="2"/>
      <c r="AE392" s="3"/>
      <c r="AF392" s="2" t="s">
        <v>24</v>
      </c>
      <c r="AG392" s="70" t="s">
        <v>16</v>
      </c>
      <c r="AH392" s="32" t="s">
        <v>17</v>
      </c>
      <c r="AI392" s="2"/>
      <c r="AJ392" s="70" t="s">
        <v>16</v>
      </c>
      <c r="AK392" s="32" t="s">
        <v>17</v>
      </c>
      <c r="AL392" s="3"/>
      <c r="AM392" s="2"/>
      <c r="AN392" s="11" t="s">
        <v>26</v>
      </c>
      <c r="AO392" s="11" t="s">
        <v>27</v>
      </c>
      <c r="AP392" s="5">
        <f t="shared" si="14"/>
        <v>14</v>
      </c>
      <c r="AQ392" s="5">
        <f t="shared" si="15"/>
        <v>14</v>
      </c>
      <c r="AR392" s="2"/>
    </row>
    <row r="393" spans="5:44" ht="14.45" customHeight="1" x14ac:dyDescent="0.25">
      <c r="E393" s="2"/>
      <c r="F393" s="125"/>
      <c r="G393" s="2"/>
      <c r="H393" s="2" t="s">
        <v>28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30" t="s">
        <v>29</v>
      </c>
      <c r="V393" s="30" t="s">
        <v>14</v>
      </c>
      <c r="W393" s="30"/>
      <c r="X393" s="31"/>
      <c r="Z393" t="s">
        <v>15</v>
      </c>
      <c r="AA393" s="2"/>
      <c r="AC393" t="s">
        <v>15</v>
      </c>
      <c r="AD393" s="2"/>
      <c r="AE393" s="3"/>
      <c r="AF393" s="2" t="s">
        <v>28</v>
      </c>
      <c r="AG393" s="70" t="s">
        <v>16</v>
      </c>
      <c r="AH393" s="32" t="s">
        <v>17</v>
      </c>
      <c r="AI393" s="2"/>
      <c r="AJ393" s="70" t="s">
        <v>16</v>
      </c>
      <c r="AK393" s="32" t="s">
        <v>17</v>
      </c>
      <c r="AL393" s="3"/>
      <c r="AM393" s="2"/>
      <c r="AN393" s="12" t="s">
        <v>30</v>
      </c>
      <c r="AO393" s="12" t="s">
        <v>31</v>
      </c>
      <c r="AP393" s="5">
        <f t="shared" si="14"/>
        <v>6</v>
      </c>
      <c r="AQ393" s="5">
        <f t="shared" si="15"/>
        <v>6</v>
      </c>
      <c r="AR393" s="2"/>
    </row>
    <row r="394" spans="5:44" ht="14.45" customHeight="1" x14ac:dyDescent="0.25">
      <c r="E394" s="2"/>
      <c r="F394" s="125"/>
      <c r="G394" s="2"/>
      <c r="H394" s="2" t="s">
        <v>32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31"/>
      <c r="V394" s="31"/>
      <c r="W394" s="31"/>
      <c r="X394" s="31"/>
      <c r="AA394" s="2"/>
      <c r="AD394" s="2"/>
      <c r="AE394" s="3"/>
      <c r="AF394" s="2" t="s">
        <v>32</v>
      </c>
      <c r="AG394" s="70" t="s">
        <v>16</v>
      </c>
      <c r="AH394" s="32" t="s">
        <v>17</v>
      </c>
      <c r="AI394" s="2"/>
      <c r="AJ394" s="70" t="s">
        <v>16</v>
      </c>
      <c r="AK394" s="32" t="s">
        <v>17</v>
      </c>
      <c r="AL394" s="3"/>
      <c r="AM394" s="2"/>
      <c r="AN394" s="14" t="s">
        <v>33</v>
      </c>
      <c r="AO394" s="14" t="s">
        <v>34</v>
      </c>
      <c r="AP394" s="5">
        <f t="shared" si="14"/>
        <v>2</v>
      </c>
      <c r="AQ394" s="5">
        <f t="shared" si="15"/>
        <v>2</v>
      </c>
      <c r="AR394" s="2"/>
    </row>
    <row r="395" spans="5:44" ht="14.45" customHeight="1" x14ac:dyDescent="0.25">
      <c r="E395" s="2"/>
      <c r="F395" s="125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3"/>
      <c r="AF395" s="2"/>
      <c r="AG395" s="2"/>
      <c r="AH395" s="2"/>
      <c r="AI395" s="2"/>
      <c r="AJ395" s="2"/>
      <c r="AK395" s="2"/>
      <c r="AL395" s="3"/>
      <c r="AM395" s="2"/>
      <c r="AN395" s="8" t="s">
        <v>35</v>
      </c>
      <c r="AO395" s="8" t="s">
        <v>36</v>
      </c>
      <c r="AP395" s="5">
        <f t="shared" si="14"/>
        <v>2</v>
      </c>
      <c r="AQ395" s="5">
        <f t="shared" si="15"/>
        <v>2</v>
      </c>
      <c r="AR395" s="2"/>
    </row>
    <row r="396" spans="5:44" ht="14.45" customHeight="1" x14ac:dyDescent="0.25">
      <c r="E396" s="2"/>
      <c r="F396" s="125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36">
        <v>2117</v>
      </c>
      <c r="Z396" s="36"/>
      <c r="AA396" s="36"/>
      <c r="AB396" s="36" t="s">
        <v>3</v>
      </c>
      <c r="AC396" s="37"/>
      <c r="AD396" s="2"/>
      <c r="AE396" s="3"/>
      <c r="AF396" s="2"/>
      <c r="AG396" s="25">
        <v>2207</v>
      </c>
      <c r="AH396" s="25"/>
      <c r="AI396" s="25"/>
      <c r="AJ396" s="25" t="s">
        <v>3</v>
      </c>
      <c r="AK396" s="3"/>
      <c r="AL396" s="3"/>
      <c r="AM396" s="2"/>
      <c r="AN396" s="16" t="s">
        <v>37</v>
      </c>
      <c r="AO396" s="16" t="s">
        <v>38</v>
      </c>
      <c r="AP396" s="5">
        <f t="shared" si="14"/>
        <v>0</v>
      </c>
      <c r="AQ396" s="5">
        <f t="shared" si="15"/>
        <v>0</v>
      </c>
      <c r="AR396" s="2"/>
    </row>
    <row r="397" spans="5:44" ht="14.45" customHeight="1" x14ac:dyDescent="0.25">
      <c r="E397" s="2"/>
      <c r="F397" s="125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6" t="s">
        <v>4</v>
      </c>
      <c r="Z397" s="26"/>
      <c r="AA397" s="26"/>
      <c r="AB397" s="26" t="s">
        <v>5</v>
      </c>
      <c r="AC397" s="26"/>
      <c r="AD397" s="26"/>
      <c r="AE397" s="3"/>
      <c r="AF397" s="2"/>
      <c r="AG397" s="26" t="s">
        <v>4</v>
      </c>
      <c r="AH397" s="26"/>
      <c r="AI397" s="26"/>
      <c r="AJ397" s="26" t="s">
        <v>5</v>
      </c>
      <c r="AK397" s="26"/>
      <c r="AL397" s="3"/>
      <c r="AM397" s="2"/>
      <c r="AN397" s="17" t="s">
        <v>39</v>
      </c>
      <c r="AO397" s="17" t="s">
        <v>40</v>
      </c>
      <c r="AP397" s="5">
        <f t="shared" si="14"/>
        <v>0</v>
      </c>
      <c r="AQ397" s="5">
        <f t="shared" si="15"/>
        <v>0</v>
      </c>
      <c r="AR397" s="2"/>
    </row>
    <row r="398" spans="5:44" ht="14.45" customHeight="1" x14ac:dyDescent="0.25">
      <c r="E398" s="2"/>
      <c r="F398" s="125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3"/>
      <c r="R398" s="33"/>
      <c r="S398" s="33"/>
      <c r="T398" s="33"/>
      <c r="U398" s="2"/>
      <c r="V398" s="2"/>
      <c r="W398" s="2"/>
      <c r="X398" s="2"/>
      <c r="Y398" s="27">
        <v>2117</v>
      </c>
      <c r="Z398" s="27" t="s">
        <v>7</v>
      </c>
      <c r="AA398" s="2"/>
      <c r="AB398" s="27">
        <v>2117</v>
      </c>
      <c r="AC398" s="27" t="s">
        <v>7</v>
      </c>
      <c r="AD398" s="28"/>
      <c r="AE398" s="3"/>
      <c r="AF398" s="2"/>
      <c r="AG398" s="27">
        <v>2207</v>
      </c>
      <c r="AH398" s="27" t="s">
        <v>7</v>
      </c>
      <c r="AI398" s="29"/>
      <c r="AJ398" s="27">
        <v>2207</v>
      </c>
      <c r="AK398" s="27" t="s">
        <v>7</v>
      </c>
      <c r="AL398" s="3"/>
      <c r="AM398" s="2"/>
      <c r="AN398" s="18" t="s">
        <v>41</v>
      </c>
      <c r="AO398" s="18" t="s">
        <v>42</v>
      </c>
      <c r="AP398" s="5">
        <f t="shared" si="14"/>
        <v>0</v>
      </c>
      <c r="AQ398" s="5">
        <f t="shared" si="15"/>
        <v>0</v>
      </c>
      <c r="AR398" s="2"/>
    </row>
    <row r="399" spans="5:44" ht="14.45" customHeight="1" x14ac:dyDescent="0.25">
      <c r="E399" s="2"/>
      <c r="F399" s="125"/>
      <c r="G399" s="2"/>
      <c r="H399" s="2" t="s">
        <v>12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 t="s">
        <v>12</v>
      </c>
      <c r="Y399" s="70" t="s">
        <v>16</v>
      </c>
      <c r="Z399" s="32" t="s">
        <v>17</v>
      </c>
      <c r="AA399" s="2"/>
      <c r="AB399" s="70" t="s">
        <v>16</v>
      </c>
      <c r="AC399" s="32" t="s">
        <v>17</v>
      </c>
      <c r="AD399" s="2"/>
      <c r="AE399" s="3"/>
      <c r="AF399" s="2" t="s">
        <v>12</v>
      </c>
      <c r="AG399" s="70" t="s">
        <v>16</v>
      </c>
      <c r="AH399" s="32" t="s">
        <v>17</v>
      </c>
      <c r="AI399" s="2"/>
      <c r="AJ399" s="70" t="s">
        <v>16</v>
      </c>
      <c r="AK399" s="32" t="s">
        <v>17</v>
      </c>
      <c r="AL399" s="3"/>
      <c r="AM399" s="2"/>
      <c r="AN399" s="19" t="s">
        <v>43</v>
      </c>
      <c r="AO399" s="19" t="s">
        <v>44</v>
      </c>
      <c r="AP399" s="5">
        <f t="shared" si="14"/>
        <v>2</v>
      </c>
      <c r="AQ399" s="5">
        <f t="shared" si="15"/>
        <v>2</v>
      </c>
      <c r="AR399" s="2"/>
    </row>
    <row r="400" spans="5:44" ht="14.45" customHeight="1" x14ac:dyDescent="0.25">
      <c r="E400" s="2"/>
      <c r="F400" s="125"/>
      <c r="G400" s="2"/>
      <c r="H400" s="2" t="s">
        <v>20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 t="s">
        <v>20</v>
      </c>
      <c r="Y400" s="70" t="s">
        <v>16</v>
      </c>
      <c r="Z400" s="32" t="s">
        <v>17</v>
      </c>
      <c r="AA400" s="2"/>
      <c r="AB400" s="70" t="s">
        <v>16</v>
      </c>
      <c r="AC400" s="32" t="s">
        <v>17</v>
      </c>
      <c r="AD400" s="2"/>
      <c r="AE400" s="3"/>
      <c r="AF400" s="2" t="s">
        <v>20</v>
      </c>
      <c r="AG400" s="70" t="s">
        <v>16</v>
      </c>
      <c r="AH400" s="32" t="s">
        <v>17</v>
      </c>
      <c r="AI400" s="2"/>
      <c r="AJ400" s="70" t="s">
        <v>16</v>
      </c>
      <c r="AK400" s="32" t="s">
        <v>17</v>
      </c>
      <c r="AL400" s="3"/>
      <c r="AM400" s="2"/>
      <c r="AN400" s="20" t="s">
        <v>45</v>
      </c>
      <c r="AO400" s="20" t="s">
        <v>46</v>
      </c>
      <c r="AP400" s="5">
        <f t="shared" si="14"/>
        <v>0</v>
      </c>
      <c r="AQ400" s="5">
        <f t="shared" si="15"/>
        <v>0</v>
      </c>
      <c r="AR400" s="2"/>
    </row>
    <row r="401" spans="5:44" ht="14.45" customHeight="1" x14ac:dyDescent="0.25">
      <c r="E401" s="2"/>
      <c r="F401" s="125"/>
      <c r="G401" s="2"/>
      <c r="H401" s="2" t="s">
        <v>24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 t="s">
        <v>24</v>
      </c>
      <c r="Y401" s="70" t="s">
        <v>16</v>
      </c>
      <c r="Z401" s="32" t="s">
        <v>17</v>
      </c>
      <c r="AA401" s="2"/>
      <c r="AB401" s="70" t="s">
        <v>16</v>
      </c>
      <c r="AC401" s="32" t="s">
        <v>17</v>
      </c>
      <c r="AD401" s="2"/>
      <c r="AE401" s="3"/>
      <c r="AF401" s="2" t="s">
        <v>24</v>
      </c>
      <c r="AG401" s="70" t="s">
        <v>16</v>
      </c>
      <c r="AH401" s="32" t="s">
        <v>17</v>
      </c>
      <c r="AI401" s="2"/>
      <c r="AJ401" s="70" t="s">
        <v>16</v>
      </c>
      <c r="AK401" s="32" t="s">
        <v>17</v>
      </c>
      <c r="AL401" s="3"/>
      <c r="AM401" s="2"/>
      <c r="AN401" s="21" t="s">
        <v>47</v>
      </c>
      <c r="AO401" s="21" t="s">
        <v>48</v>
      </c>
      <c r="AP401" s="5">
        <f t="shared" si="14"/>
        <v>0</v>
      </c>
      <c r="AQ401" s="5">
        <f t="shared" si="15"/>
        <v>0</v>
      </c>
      <c r="AR401" s="2"/>
    </row>
    <row r="402" spans="5:44" ht="14.45" customHeight="1" x14ac:dyDescent="0.25">
      <c r="E402" s="2"/>
      <c r="F402" s="125"/>
      <c r="G402" s="2"/>
      <c r="H402" s="2" t="s">
        <v>28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 t="s">
        <v>28</v>
      </c>
      <c r="Y402" s="70" t="s">
        <v>16</v>
      </c>
      <c r="Z402" s="32" t="s">
        <v>17</v>
      </c>
      <c r="AA402" s="2"/>
      <c r="AB402" s="70" t="s">
        <v>16</v>
      </c>
      <c r="AC402" s="32" t="s">
        <v>17</v>
      </c>
      <c r="AD402" s="2"/>
      <c r="AE402" s="3"/>
      <c r="AF402" s="2" t="s">
        <v>28</v>
      </c>
      <c r="AG402" s="70" t="s">
        <v>16</v>
      </c>
      <c r="AH402" s="32" t="s">
        <v>17</v>
      </c>
      <c r="AI402" s="2"/>
      <c r="AJ402" s="70" t="s">
        <v>16</v>
      </c>
      <c r="AK402" s="32" t="s">
        <v>17</v>
      </c>
      <c r="AL402" s="3"/>
      <c r="AM402" s="2"/>
      <c r="AN402" s="13" t="s">
        <v>49</v>
      </c>
      <c r="AO402" s="13" t="s">
        <v>50</v>
      </c>
      <c r="AP402" s="5">
        <f t="shared" si="14"/>
        <v>20</v>
      </c>
      <c r="AQ402" s="5">
        <f t="shared" si="15"/>
        <v>20</v>
      </c>
      <c r="AR402" s="2"/>
    </row>
    <row r="403" spans="5:44" ht="14.45" customHeight="1" x14ac:dyDescent="0.25">
      <c r="E403" s="2"/>
      <c r="F403" s="125"/>
      <c r="G403" s="2"/>
      <c r="H403" s="2" t="s">
        <v>32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 t="s">
        <v>32</v>
      </c>
      <c r="Y403" s="70" t="s">
        <v>16</v>
      </c>
      <c r="Z403" s="32" t="s">
        <v>17</v>
      </c>
      <c r="AA403" s="2"/>
      <c r="AB403" s="70" t="s">
        <v>16</v>
      </c>
      <c r="AC403" s="32" t="s">
        <v>17</v>
      </c>
      <c r="AD403" s="2"/>
      <c r="AE403" s="3"/>
      <c r="AF403" s="2" t="s">
        <v>32</v>
      </c>
      <c r="AG403" s="70" t="s">
        <v>16</v>
      </c>
      <c r="AH403" s="32" t="s">
        <v>17</v>
      </c>
      <c r="AI403" s="2"/>
      <c r="AJ403" s="70" t="s">
        <v>16</v>
      </c>
      <c r="AK403" s="32" t="s">
        <v>17</v>
      </c>
      <c r="AL403" s="3"/>
      <c r="AM403" s="2"/>
      <c r="AN403" s="4" t="s">
        <v>51</v>
      </c>
      <c r="AO403" s="4" t="s">
        <v>52</v>
      </c>
      <c r="AP403" s="5">
        <f t="shared" si="14"/>
        <v>0</v>
      </c>
      <c r="AQ403" s="5">
        <f t="shared" si="15"/>
        <v>0</v>
      </c>
      <c r="AR403" s="2"/>
    </row>
    <row r="404" spans="5:44" ht="14.45" customHeight="1" x14ac:dyDescent="0.25">
      <c r="E404" s="2"/>
      <c r="F404" s="12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3"/>
      <c r="AF404" s="2"/>
      <c r="AG404" s="2"/>
      <c r="AH404" s="2"/>
      <c r="AI404" s="2"/>
      <c r="AJ404" s="2"/>
      <c r="AK404" s="2"/>
      <c r="AL404" s="3"/>
      <c r="AM404" s="2"/>
      <c r="AN404" s="22" t="s">
        <v>53</v>
      </c>
      <c r="AO404" s="22" t="s">
        <v>54</v>
      </c>
      <c r="AP404" s="5">
        <f t="shared" si="14"/>
        <v>0</v>
      </c>
      <c r="AQ404" s="5">
        <f t="shared" si="15"/>
        <v>0</v>
      </c>
      <c r="AR404" s="2"/>
    </row>
    <row r="405" spans="5:44" ht="14.45" customHeight="1" x14ac:dyDescent="0.25">
      <c r="E405" s="2"/>
      <c r="F405" s="12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36">
        <v>1701</v>
      </c>
      <c r="Z405" s="36"/>
      <c r="AA405" s="36"/>
      <c r="AB405" s="36" t="s">
        <v>3</v>
      </c>
      <c r="AC405" s="37"/>
      <c r="AD405" s="2"/>
      <c r="AE405" s="3"/>
      <c r="AF405" s="2"/>
      <c r="AG405" s="36">
        <v>1785</v>
      </c>
      <c r="AH405" s="36"/>
      <c r="AI405" s="36"/>
      <c r="AJ405" s="36" t="s">
        <v>3</v>
      </c>
      <c r="AK405" s="37"/>
      <c r="AL405" s="3"/>
      <c r="AM405" s="2"/>
      <c r="AN405" s="24" t="s">
        <v>55</v>
      </c>
      <c r="AO405" s="24" t="s">
        <v>56</v>
      </c>
      <c r="AP405" s="5">
        <f t="shared" si="14"/>
        <v>0</v>
      </c>
      <c r="AQ405" s="5">
        <f t="shared" si="15"/>
        <v>0</v>
      </c>
      <c r="AR405" s="2"/>
    </row>
    <row r="406" spans="5:44" ht="14.45" customHeight="1" x14ac:dyDescent="0.25">
      <c r="E406" s="2"/>
      <c r="F406" s="12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6" t="s">
        <v>4</v>
      </c>
      <c r="Z406" s="26"/>
      <c r="AA406" s="26"/>
      <c r="AB406" s="26" t="s">
        <v>5</v>
      </c>
      <c r="AC406" s="26"/>
      <c r="AD406" s="26"/>
      <c r="AE406" s="3"/>
      <c r="AF406" s="2"/>
      <c r="AG406" s="26" t="s">
        <v>4</v>
      </c>
      <c r="AH406" s="26"/>
      <c r="AI406" s="26"/>
      <c r="AJ406" s="26" t="s">
        <v>5</v>
      </c>
      <c r="AK406" s="26"/>
      <c r="AL406" s="3"/>
      <c r="AM406" s="2"/>
      <c r="AN406" s="35" t="s">
        <v>57</v>
      </c>
      <c r="AO406" s="35" t="s">
        <v>16</v>
      </c>
      <c r="AP406" s="5">
        <f t="shared" si="14"/>
        <v>50</v>
      </c>
      <c r="AQ406" s="5">
        <f t="shared" si="15"/>
        <v>50</v>
      </c>
      <c r="AR406" s="2"/>
    </row>
    <row r="407" spans="5:44" ht="14.45" customHeight="1" x14ac:dyDescent="0.25">
      <c r="E407" s="2"/>
      <c r="F407" s="125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7">
        <v>1701</v>
      </c>
      <c r="Z407" s="27" t="s">
        <v>7</v>
      </c>
      <c r="AA407" s="2"/>
      <c r="AB407" s="27">
        <v>1701</v>
      </c>
      <c r="AC407" s="27" t="s">
        <v>7</v>
      </c>
      <c r="AD407" s="28"/>
      <c r="AE407" s="3"/>
      <c r="AF407" s="2"/>
      <c r="AG407" s="27">
        <v>1785</v>
      </c>
      <c r="AH407" s="27" t="s">
        <v>7</v>
      </c>
      <c r="AI407" s="29"/>
      <c r="AJ407" s="27">
        <v>1785</v>
      </c>
      <c r="AK407" s="27" t="s">
        <v>7</v>
      </c>
      <c r="AL407" s="3"/>
      <c r="AM407" s="2"/>
      <c r="AN407" s="4" t="s">
        <v>58</v>
      </c>
      <c r="AO407" s="4" t="s">
        <v>59</v>
      </c>
      <c r="AP407" s="5">
        <f t="shared" si="14"/>
        <v>2</v>
      </c>
      <c r="AQ407" s="5">
        <f t="shared" si="15"/>
        <v>2</v>
      </c>
      <c r="AR407" s="2"/>
    </row>
    <row r="408" spans="5:44" ht="14.45" customHeight="1" x14ac:dyDescent="0.25">
      <c r="E408" s="2"/>
      <c r="F408" s="125"/>
      <c r="G408" s="2"/>
      <c r="H408" s="2" t="s">
        <v>12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 t="s">
        <v>12</v>
      </c>
      <c r="Y408" s="70" t="s">
        <v>16</v>
      </c>
      <c r="Z408" s="32" t="s">
        <v>17</v>
      </c>
      <c r="AA408" s="2"/>
      <c r="AB408" s="70" t="s">
        <v>16</v>
      </c>
      <c r="AC408" s="32" t="s">
        <v>17</v>
      </c>
      <c r="AD408" s="2"/>
      <c r="AE408" s="3"/>
      <c r="AF408" s="2" t="s">
        <v>12</v>
      </c>
      <c r="AG408" s="70" t="s">
        <v>16</v>
      </c>
      <c r="AH408" s="32" t="s">
        <v>17</v>
      </c>
      <c r="AI408" s="2"/>
      <c r="AJ408" s="70" t="s">
        <v>16</v>
      </c>
      <c r="AK408" s="32" t="s">
        <v>17</v>
      </c>
      <c r="AL408" s="3"/>
      <c r="AM408" s="2"/>
      <c r="AN408" s="4" t="s">
        <v>60</v>
      </c>
      <c r="AO408" s="4" t="s">
        <v>61</v>
      </c>
      <c r="AP408" s="5">
        <f t="shared" si="14"/>
        <v>6</v>
      </c>
      <c r="AQ408" s="5">
        <f t="shared" si="15"/>
        <v>6</v>
      </c>
      <c r="AR408" s="2"/>
    </row>
    <row r="409" spans="5:44" ht="14.45" customHeight="1" x14ac:dyDescent="0.25">
      <c r="E409" s="2"/>
      <c r="F409" s="125"/>
      <c r="G409" s="2"/>
      <c r="H409" s="2" t="s">
        <v>20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 t="s">
        <v>20</v>
      </c>
      <c r="Y409" s="70" t="s">
        <v>16</v>
      </c>
      <c r="Z409" s="32" t="s">
        <v>17</v>
      </c>
      <c r="AA409" s="2"/>
      <c r="AB409" s="70" t="s">
        <v>16</v>
      </c>
      <c r="AC409" s="32" t="s">
        <v>17</v>
      </c>
      <c r="AD409" s="2"/>
      <c r="AE409" s="3"/>
      <c r="AF409" s="2" t="s">
        <v>20</v>
      </c>
      <c r="AG409" s="70" t="s">
        <v>16</v>
      </c>
      <c r="AH409" s="32" t="s">
        <v>17</v>
      </c>
      <c r="AI409" s="2"/>
      <c r="AJ409" s="70" t="s">
        <v>16</v>
      </c>
      <c r="AK409" s="32" t="s">
        <v>17</v>
      </c>
      <c r="AL409" s="3"/>
      <c r="AM409" s="2"/>
      <c r="AN409" s="4" t="s">
        <v>62</v>
      </c>
      <c r="AO409" s="4" t="s">
        <v>62</v>
      </c>
      <c r="AP409" s="5">
        <f t="shared" si="14"/>
        <v>0</v>
      </c>
      <c r="AQ409" s="5">
        <f t="shared" si="15"/>
        <v>0</v>
      </c>
      <c r="AR409" s="2"/>
    </row>
    <row r="410" spans="5:44" ht="14.45" customHeight="1" x14ac:dyDescent="0.25">
      <c r="E410" s="2"/>
      <c r="F410" s="125"/>
      <c r="G410" s="2"/>
      <c r="H410" s="2" t="s">
        <v>24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 t="s">
        <v>24</v>
      </c>
      <c r="Y410" s="70" t="s">
        <v>16</v>
      </c>
      <c r="Z410" s="32" t="s">
        <v>17</v>
      </c>
      <c r="AA410" s="2"/>
      <c r="AB410" s="70" t="s">
        <v>16</v>
      </c>
      <c r="AC410" s="32" t="s">
        <v>17</v>
      </c>
      <c r="AD410" s="2"/>
      <c r="AE410" s="3"/>
      <c r="AF410" s="2" t="s">
        <v>24</v>
      </c>
      <c r="AG410" s="70" t="s">
        <v>16</v>
      </c>
      <c r="AH410" s="32" t="s">
        <v>17</v>
      </c>
      <c r="AI410" s="2"/>
      <c r="AJ410" s="70" t="s">
        <v>16</v>
      </c>
      <c r="AK410" s="32" t="s">
        <v>17</v>
      </c>
      <c r="AL410" s="3"/>
      <c r="AM410" s="2"/>
      <c r="AN410" s="4" t="s">
        <v>62</v>
      </c>
      <c r="AO410" s="4" t="s">
        <v>62</v>
      </c>
      <c r="AP410" s="5">
        <f t="shared" si="14"/>
        <v>0</v>
      </c>
      <c r="AQ410" s="5">
        <f t="shared" si="15"/>
        <v>0</v>
      </c>
      <c r="AR410" s="2"/>
    </row>
    <row r="411" spans="5:44" ht="14.45" customHeight="1" x14ac:dyDescent="0.25">
      <c r="E411" s="2"/>
      <c r="F411" s="125"/>
      <c r="G411" s="2"/>
      <c r="H411" s="2" t="s">
        <v>28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 t="s">
        <v>28</v>
      </c>
      <c r="Y411" s="70" t="s">
        <v>16</v>
      </c>
      <c r="Z411" s="32" t="s">
        <v>17</v>
      </c>
      <c r="AA411" s="2"/>
      <c r="AB411" s="70" t="s">
        <v>16</v>
      </c>
      <c r="AC411" s="32" t="s">
        <v>17</v>
      </c>
      <c r="AD411" s="2"/>
      <c r="AE411" s="3"/>
      <c r="AF411" s="2" t="s">
        <v>28</v>
      </c>
      <c r="AG411" s="70" t="s">
        <v>16</v>
      </c>
      <c r="AH411" s="32" t="s">
        <v>17</v>
      </c>
      <c r="AI411" s="2"/>
      <c r="AJ411" s="70" t="s">
        <v>16</v>
      </c>
      <c r="AK411" s="32" t="s">
        <v>17</v>
      </c>
      <c r="AL411" s="3"/>
      <c r="AM411" s="2"/>
      <c r="AN411" s="4" t="s">
        <v>62</v>
      </c>
      <c r="AO411" s="4" t="s">
        <v>62</v>
      </c>
      <c r="AP411" s="5">
        <f t="shared" si="14"/>
        <v>0</v>
      </c>
      <c r="AQ411" s="5">
        <f t="shared" si="15"/>
        <v>0</v>
      </c>
      <c r="AR411" s="2"/>
    </row>
    <row r="412" spans="5:44" ht="14.45" customHeight="1" x14ac:dyDescent="0.25">
      <c r="E412" s="2"/>
      <c r="F412" s="125"/>
      <c r="G412" s="2"/>
      <c r="H412" s="2" t="s">
        <v>32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 t="s">
        <v>32</v>
      </c>
      <c r="Y412" s="70" t="s">
        <v>16</v>
      </c>
      <c r="Z412" s="32" t="s">
        <v>17</v>
      </c>
      <c r="AA412" s="2"/>
      <c r="AB412" s="70" t="s">
        <v>16</v>
      </c>
      <c r="AC412" s="32" t="s">
        <v>17</v>
      </c>
      <c r="AD412" s="2"/>
      <c r="AE412" s="3"/>
      <c r="AF412" s="2" t="s">
        <v>32</v>
      </c>
      <c r="AG412" s="70" t="s">
        <v>16</v>
      </c>
      <c r="AH412" s="32" t="s">
        <v>17</v>
      </c>
      <c r="AI412" s="2"/>
      <c r="AJ412" s="70" t="s">
        <v>16</v>
      </c>
      <c r="AK412" s="32" t="s">
        <v>17</v>
      </c>
      <c r="AL412" s="3"/>
      <c r="AM412" s="2"/>
      <c r="AN412" s="4" t="s">
        <v>62</v>
      </c>
      <c r="AO412" s="4" t="s">
        <v>62</v>
      </c>
      <c r="AP412" s="5">
        <f t="shared" si="14"/>
        <v>0</v>
      </c>
      <c r="AQ412" s="5">
        <f t="shared" si="15"/>
        <v>0</v>
      </c>
      <c r="AR412" s="2"/>
    </row>
    <row r="413" spans="5:44" ht="14.45" customHeight="1" x14ac:dyDescent="0.25">
      <c r="E413" s="2"/>
      <c r="F413" s="125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3"/>
      <c r="AF413" s="2"/>
      <c r="AG413" s="2"/>
      <c r="AH413" s="2"/>
      <c r="AI413" s="2"/>
      <c r="AJ413" s="2"/>
      <c r="AK413" s="2"/>
      <c r="AL413" s="3"/>
      <c r="AM413" s="2"/>
      <c r="AN413" s="4" t="s">
        <v>62</v>
      </c>
      <c r="AO413" s="4" t="s">
        <v>62</v>
      </c>
      <c r="AP413" s="5">
        <f t="shared" si="14"/>
        <v>0</v>
      </c>
      <c r="AQ413" s="5">
        <f t="shared" si="15"/>
        <v>0</v>
      </c>
      <c r="AR413" s="2"/>
    </row>
    <row r="414" spans="5:44" ht="14.45" customHeight="1" x14ac:dyDescent="0.25">
      <c r="E414" s="2"/>
      <c r="F414" s="125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36">
        <v>1439</v>
      </c>
      <c r="Z414" s="36"/>
      <c r="AA414" s="36"/>
      <c r="AB414" s="36" t="s">
        <v>63</v>
      </c>
      <c r="AC414" s="37"/>
      <c r="AD414" s="2"/>
      <c r="AE414" s="3"/>
      <c r="AF414" s="2"/>
      <c r="AG414" s="25">
        <v>1455</v>
      </c>
      <c r="AH414" s="25"/>
      <c r="AI414" s="25"/>
      <c r="AJ414" s="25" t="s">
        <v>63</v>
      </c>
      <c r="AK414" s="3"/>
      <c r="AL414" s="3"/>
      <c r="AM414" s="2"/>
      <c r="AN414" s="4" t="s">
        <v>62</v>
      </c>
      <c r="AO414" s="4" t="s">
        <v>62</v>
      </c>
      <c r="AP414" s="5">
        <f t="shared" si="14"/>
        <v>0</v>
      </c>
      <c r="AQ414" s="5">
        <f t="shared" si="15"/>
        <v>0</v>
      </c>
      <c r="AR414" s="2"/>
    </row>
    <row r="415" spans="5:44" ht="14.45" customHeight="1" x14ac:dyDescent="0.25">
      <c r="E415" s="2"/>
      <c r="F415" s="125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6" t="s">
        <v>4</v>
      </c>
      <c r="Z415" s="26"/>
      <c r="AA415" s="26"/>
      <c r="AB415" s="26" t="s">
        <v>5</v>
      </c>
      <c r="AC415" s="26"/>
      <c r="AD415" s="26"/>
      <c r="AE415" s="3"/>
      <c r="AF415" s="2"/>
      <c r="AG415" s="26" t="s">
        <v>4</v>
      </c>
      <c r="AH415" s="26"/>
      <c r="AI415" s="26"/>
      <c r="AJ415" s="26" t="s">
        <v>5</v>
      </c>
      <c r="AK415" s="26"/>
      <c r="AL415" s="3"/>
      <c r="AM415" s="2"/>
      <c r="AN415" s="4" t="s">
        <v>64</v>
      </c>
      <c r="AO415" s="4" t="s">
        <v>64</v>
      </c>
      <c r="AP415" s="5">
        <f t="shared" si="14"/>
        <v>8</v>
      </c>
      <c r="AQ415" s="5">
        <f t="shared" si="15"/>
        <v>8</v>
      </c>
      <c r="AR415" s="2"/>
    </row>
    <row r="416" spans="5:44" ht="14.45" customHeight="1" x14ac:dyDescent="0.25">
      <c r="E416" s="2"/>
      <c r="F416" s="125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7">
        <v>1439</v>
      </c>
      <c r="Z416" s="27" t="s">
        <v>7</v>
      </c>
      <c r="AA416" s="2"/>
      <c r="AB416" s="27">
        <v>1439</v>
      </c>
      <c r="AC416" s="27" t="s">
        <v>7</v>
      </c>
      <c r="AD416" s="28"/>
      <c r="AE416" s="3"/>
      <c r="AF416" s="2"/>
      <c r="AG416" s="27">
        <v>1455</v>
      </c>
      <c r="AH416" s="27" t="s">
        <v>7</v>
      </c>
      <c r="AI416" s="29"/>
      <c r="AJ416" s="27">
        <v>1455</v>
      </c>
      <c r="AK416" s="27" t="s">
        <v>7</v>
      </c>
      <c r="AL416" s="3"/>
      <c r="AM416" s="2"/>
      <c r="AN416" s="4" t="s">
        <v>65</v>
      </c>
      <c r="AO416" s="4" t="s">
        <v>66</v>
      </c>
      <c r="AP416" s="5">
        <f t="shared" si="14"/>
        <v>66</v>
      </c>
      <c r="AQ416" s="5">
        <f t="shared" si="15"/>
        <v>66</v>
      </c>
      <c r="AR416" s="2"/>
    </row>
    <row r="417" spans="5:44" ht="14.45" customHeight="1" x14ac:dyDescent="0.25">
      <c r="E417" s="2"/>
      <c r="F417" s="125"/>
      <c r="G417" s="2"/>
      <c r="H417" s="2" t="s">
        <v>12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 t="s">
        <v>12</v>
      </c>
      <c r="Y417" t="s">
        <v>66</v>
      </c>
      <c r="Z417" s="32" t="s">
        <v>67</v>
      </c>
      <c r="AA417" s="2"/>
      <c r="AB417" t="s">
        <v>66</v>
      </c>
      <c r="AC417" s="32" t="s">
        <v>67</v>
      </c>
      <c r="AD417" s="2"/>
      <c r="AE417" s="3"/>
      <c r="AF417" s="2" t="s">
        <v>12</v>
      </c>
      <c r="AG417" t="s">
        <v>66</v>
      </c>
      <c r="AH417" s="32" t="s">
        <v>67</v>
      </c>
      <c r="AI417" s="2"/>
      <c r="AJ417" t="s">
        <v>66</v>
      </c>
      <c r="AK417" s="32" t="s">
        <v>67</v>
      </c>
      <c r="AL417" s="3"/>
      <c r="AM417" s="2"/>
      <c r="AN417" s="4" t="s">
        <v>68</v>
      </c>
      <c r="AO417" s="4" t="s">
        <v>68</v>
      </c>
      <c r="AP417" s="5">
        <f t="shared" si="14"/>
        <v>0</v>
      </c>
      <c r="AQ417" s="5">
        <f t="shared" si="15"/>
        <v>0</v>
      </c>
      <c r="AR417" s="2"/>
    </row>
    <row r="418" spans="5:44" ht="14.45" customHeight="1" x14ac:dyDescent="0.25">
      <c r="E418" s="2"/>
      <c r="F418" s="125"/>
      <c r="G418" s="2"/>
      <c r="H418" s="2" t="s">
        <v>20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 t="s">
        <v>20</v>
      </c>
      <c r="Y418" t="s">
        <v>66</v>
      </c>
      <c r="Z418" s="32" t="s">
        <v>67</v>
      </c>
      <c r="AA418" s="2"/>
      <c r="AB418" t="s">
        <v>66</v>
      </c>
      <c r="AC418" s="32" t="s">
        <v>67</v>
      </c>
      <c r="AD418" s="2"/>
      <c r="AE418" s="3"/>
      <c r="AF418" s="2" t="s">
        <v>20</v>
      </c>
      <c r="AG418" t="s">
        <v>66</v>
      </c>
      <c r="AH418" s="32" t="s">
        <v>67</v>
      </c>
      <c r="AI418" s="2"/>
      <c r="AJ418" t="s">
        <v>66</v>
      </c>
      <c r="AK418" s="32" t="s">
        <v>67</v>
      </c>
      <c r="AL418" s="3"/>
      <c r="AM418" s="2"/>
      <c r="AN418" s="4"/>
      <c r="AO418" s="4" t="s">
        <v>69</v>
      </c>
      <c r="AP418" s="5">
        <f>+SUM(AP390:AP417)</f>
        <v>180</v>
      </c>
      <c r="AQ418" s="5">
        <f>+SUM(AQ390:AQ417)</f>
        <v>180</v>
      </c>
      <c r="AR418" s="2"/>
    </row>
    <row r="419" spans="5:44" ht="14.45" customHeight="1" x14ac:dyDescent="0.25">
      <c r="E419" s="2"/>
      <c r="F419" s="125"/>
      <c r="G419" s="2"/>
      <c r="H419" s="2" t="s">
        <v>24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 t="s">
        <v>24</v>
      </c>
      <c r="Y419" t="s">
        <v>66</v>
      </c>
      <c r="Z419" s="32" t="s">
        <v>67</v>
      </c>
      <c r="AA419" s="2"/>
      <c r="AB419" t="s">
        <v>66</v>
      </c>
      <c r="AC419" s="32" t="s">
        <v>67</v>
      </c>
      <c r="AD419" s="2"/>
      <c r="AE419" s="3"/>
      <c r="AF419" s="2" t="s">
        <v>24</v>
      </c>
      <c r="AG419" t="s">
        <v>66</v>
      </c>
      <c r="AH419" s="32" t="s">
        <v>67</v>
      </c>
      <c r="AI419" s="2"/>
      <c r="AJ419" t="s">
        <v>66</v>
      </c>
      <c r="AK419" s="32" t="s">
        <v>67</v>
      </c>
      <c r="AL419" s="3"/>
      <c r="AM419" s="2"/>
      <c r="AN419" s="2"/>
      <c r="AO419" s="2"/>
      <c r="AP419" s="2"/>
      <c r="AQ419" s="2"/>
      <c r="AR419" s="2"/>
    </row>
    <row r="420" spans="5:44" ht="14.45" customHeight="1" x14ac:dyDescent="0.25">
      <c r="E420" s="2"/>
      <c r="F420" s="125"/>
      <c r="G420" s="2"/>
      <c r="H420" s="2" t="s">
        <v>28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 t="s">
        <v>28</v>
      </c>
      <c r="Y420" t="s">
        <v>66</v>
      </c>
      <c r="Z420" s="32" t="s">
        <v>67</v>
      </c>
      <c r="AA420" s="2"/>
      <c r="AB420" t="s">
        <v>66</v>
      </c>
      <c r="AC420" s="32" t="s">
        <v>67</v>
      </c>
      <c r="AD420" s="2"/>
      <c r="AE420" s="3"/>
      <c r="AF420" s="2" t="s">
        <v>28</v>
      </c>
      <c r="AG420" t="s">
        <v>66</v>
      </c>
      <c r="AH420" s="32" t="s">
        <v>67</v>
      </c>
      <c r="AI420" s="2"/>
      <c r="AJ420" t="s">
        <v>66</v>
      </c>
      <c r="AK420" s="32" t="s">
        <v>67</v>
      </c>
      <c r="AL420" s="3"/>
      <c r="AM420" s="2"/>
      <c r="AN420" s="2"/>
      <c r="AO420" s="2"/>
      <c r="AP420" s="2"/>
      <c r="AQ420" s="2"/>
      <c r="AR420" s="2"/>
    </row>
    <row r="421" spans="5:44" ht="14.45" customHeight="1" x14ac:dyDescent="0.25">
      <c r="E421" s="2"/>
      <c r="F421" s="125"/>
      <c r="G421" s="2"/>
      <c r="H421" s="2" t="s">
        <v>32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 t="s">
        <v>32</v>
      </c>
      <c r="Y421" t="s">
        <v>66</v>
      </c>
      <c r="Z421" s="32" t="s">
        <v>67</v>
      </c>
      <c r="AA421" s="2"/>
      <c r="AB421" t="s">
        <v>66</v>
      </c>
      <c r="AC421" s="32" t="s">
        <v>67</v>
      </c>
      <c r="AD421" s="2"/>
      <c r="AE421" s="3"/>
      <c r="AF421" s="2" t="s">
        <v>32</v>
      </c>
      <c r="AG421" t="s">
        <v>66</v>
      </c>
      <c r="AH421" s="32" t="s">
        <v>67</v>
      </c>
      <c r="AI421" s="2"/>
      <c r="AJ421" t="s">
        <v>66</v>
      </c>
      <c r="AK421" s="32" t="s">
        <v>67</v>
      </c>
      <c r="AL421" s="3"/>
      <c r="AM421" s="2"/>
      <c r="AN421" s="2"/>
      <c r="AO421" s="2"/>
      <c r="AP421" s="2"/>
      <c r="AQ421" s="2"/>
      <c r="AR421" s="2"/>
    </row>
    <row r="422" spans="5:44" ht="14.45" customHeight="1" x14ac:dyDescent="0.25">
      <c r="E422" s="2"/>
      <c r="F422" s="125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3"/>
      <c r="AF422" s="2"/>
      <c r="AG422" s="2"/>
      <c r="AH422" s="2"/>
      <c r="AI422" s="2"/>
      <c r="AJ422" s="2"/>
      <c r="AK422" s="2"/>
      <c r="AL422" s="3"/>
      <c r="AM422" s="2"/>
      <c r="AN422" s="2"/>
      <c r="AO422" s="2"/>
      <c r="AP422" s="2"/>
      <c r="AQ422" s="2"/>
      <c r="AR422" s="2"/>
    </row>
    <row r="423" spans="5:44" ht="14.45" customHeight="1" x14ac:dyDescent="0.25">
      <c r="E423" s="2"/>
      <c r="F423" s="125"/>
      <c r="G423" s="2"/>
      <c r="H423" s="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2"/>
      <c r="AN423" s="2"/>
      <c r="AO423" s="2"/>
      <c r="AP423" s="2"/>
      <c r="AQ423" s="2"/>
      <c r="AR423" s="2"/>
    </row>
    <row r="424" spans="5:44" ht="14.45" customHeight="1" x14ac:dyDescent="0.25">
      <c r="E424" s="2"/>
      <c r="F424" s="125"/>
      <c r="G424" s="2"/>
      <c r="H424" s="2"/>
      <c r="I424" s="2"/>
      <c r="J424" s="2"/>
      <c r="K424" s="2"/>
      <c r="L424" s="2"/>
      <c r="M424" s="2"/>
      <c r="N424" s="2"/>
      <c r="O424" s="3"/>
      <c r="P424" s="2"/>
      <c r="Q424" s="2"/>
      <c r="R424" s="2"/>
      <c r="S424" s="2"/>
      <c r="T424" s="2"/>
      <c r="U424" s="2"/>
      <c r="V424" s="2"/>
      <c r="W424" s="3"/>
      <c r="X424" s="2"/>
      <c r="Y424" s="2"/>
      <c r="Z424" s="2"/>
      <c r="AA424" s="2"/>
      <c r="AB424" s="2"/>
      <c r="AC424" s="2"/>
      <c r="AD424" s="2"/>
      <c r="AE424" s="3"/>
      <c r="AF424" s="2"/>
      <c r="AG424" s="2"/>
      <c r="AH424" s="2"/>
      <c r="AI424" s="2"/>
      <c r="AJ424" s="2"/>
      <c r="AK424" s="2"/>
      <c r="AL424" s="3"/>
      <c r="AM424" s="2"/>
      <c r="AN424" s="2"/>
      <c r="AO424" s="2"/>
      <c r="AP424" s="2"/>
      <c r="AQ424" s="2"/>
      <c r="AR424" s="2"/>
    </row>
    <row r="425" spans="5:44" ht="14.45" customHeight="1" x14ac:dyDescent="0.25">
      <c r="E425" s="2"/>
      <c r="F425" s="125"/>
      <c r="G425" s="2"/>
      <c r="H425" s="2"/>
      <c r="I425" s="25">
        <v>2930</v>
      </c>
      <c r="J425" s="25"/>
      <c r="K425" s="25"/>
      <c r="L425" s="25" t="s">
        <v>63</v>
      </c>
      <c r="M425" s="3"/>
      <c r="N425" s="2"/>
      <c r="O425" s="3"/>
      <c r="P425" s="2"/>
      <c r="Q425" s="25"/>
      <c r="R425" s="25"/>
      <c r="S425" s="25"/>
      <c r="T425" s="25"/>
      <c r="U425" s="3"/>
      <c r="V425" s="2"/>
      <c r="W425" s="3"/>
      <c r="X425" s="2"/>
      <c r="Y425" s="25"/>
      <c r="Z425" s="25"/>
      <c r="AA425" s="25"/>
      <c r="AB425" s="25"/>
      <c r="AC425" s="3"/>
      <c r="AD425" s="2"/>
      <c r="AE425" s="3"/>
      <c r="AF425" s="2"/>
      <c r="AG425" s="25"/>
      <c r="AH425" s="25"/>
      <c r="AI425" s="25"/>
      <c r="AJ425" s="25"/>
      <c r="AK425" s="3"/>
      <c r="AL425" s="3"/>
      <c r="AM425" s="2"/>
      <c r="AN425" s="2"/>
      <c r="AO425" s="2"/>
      <c r="AP425" s="2"/>
      <c r="AQ425" s="2"/>
      <c r="AR425" s="2"/>
    </row>
    <row r="426" spans="5:44" ht="14.45" customHeight="1" x14ac:dyDescent="0.25">
      <c r="E426" s="2"/>
      <c r="F426" s="125"/>
      <c r="G426" s="2"/>
      <c r="H426" s="2"/>
      <c r="I426" s="26" t="s">
        <v>4</v>
      </c>
      <c r="J426" s="26"/>
      <c r="K426" s="26"/>
      <c r="L426" s="26" t="s">
        <v>5</v>
      </c>
      <c r="M426" s="26"/>
      <c r="N426" s="2"/>
      <c r="O426" s="3"/>
      <c r="P426" s="2"/>
      <c r="Q426" s="26"/>
      <c r="R426" s="26"/>
      <c r="S426" s="26"/>
      <c r="T426" s="26"/>
      <c r="U426" s="26"/>
      <c r="V426" s="2"/>
      <c r="W426" s="3"/>
      <c r="X426" s="2"/>
      <c r="Y426" s="26"/>
      <c r="Z426" s="26"/>
      <c r="AA426" s="26"/>
      <c r="AB426" s="26"/>
      <c r="AC426" s="26"/>
      <c r="AD426" s="26"/>
      <c r="AE426" s="3"/>
      <c r="AF426" s="2"/>
      <c r="AG426" s="26"/>
      <c r="AH426" s="26"/>
      <c r="AI426" s="26"/>
      <c r="AJ426" s="26"/>
      <c r="AK426" s="26"/>
      <c r="AL426" s="3"/>
      <c r="AM426" s="2"/>
      <c r="AN426" s="2"/>
      <c r="AO426" s="2"/>
      <c r="AP426" s="2"/>
      <c r="AQ426" s="2"/>
      <c r="AR426" s="2"/>
    </row>
    <row r="427" spans="5:44" ht="14.45" customHeight="1" x14ac:dyDescent="0.25">
      <c r="E427" s="2"/>
      <c r="F427" s="125"/>
      <c r="G427" s="2"/>
      <c r="H427" s="2"/>
      <c r="I427" s="27">
        <v>2930</v>
      </c>
      <c r="J427" s="27" t="s">
        <v>7</v>
      </c>
      <c r="K427" s="2"/>
      <c r="L427" s="27">
        <v>2930</v>
      </c>
      <c r="M427" s="27" t="s">
        <v>7</v>
      </c>
      <c r="N427" s="2"/>
      <c r="O427" s="3"/>
      <c r="P427" s="2"/>
      <c r="Q427" s="27"/>
      <c r="R427" s="27"/>
      <c r="S427" s="2"/>
      <c r="T427" s="27"/>
      <c r="U427" s="27"/>
      <c r="V427" s="2"/>
      <c r="W427" s="3"/>
      <c r="X427" s="2"/>
      <c r="Y427" s="27"/>
      <c r="Z427" s="27"/>
      <c r="AA427" s="2"/>
      <c r="AB427" s="27"/>
      <c r="AC427" s="27"/>
      <c r="AD427" s="28"/>
      <c r="AE427" s="3"/>
      <c r="AF427" s="2"/>
      <c r="AG427" s="27"/>
      <c r="AH427" s="27"/>
      <c r="AI427" s="29"/>
      <c r="AJ427" s="27"/>
      <c r="AK427" s="27"/>
      <c r="AL427" s="3"/>
      <c r="AM427" s="2"/>
      <c r="AN427" s="2"/>
      <c r="AO427" s="2"/>
      <c r="AP427" s="2"/>
      <c r="AQ427" s="2"/>
      <c r="AR427" s="2"/>
    </row>
    <row r="428" spans="5:44" ht="14.45" customHeight="1" x14ac:dyDescent="0.25">
      <c r="E428" s="2"/>
      <c r="F428" s="125"/>
      <c r="G428" s="2"/>
      <c r="H428" s="2" t="s">
        <v>12</v>
      </c>
      <c r="I428" s="81" t="s">
        <v>31</v>
      </c>
      <c r="J428" s="32" t="s">
        <v>70</v>
      </c>
      <c r="K428" s="2"/>
      <c r="L428" s="81" t="s">
        <v>31</v>
      </c>
      <c r="M428" s="32" t="s">
        <v>70</v>
      </c>
      <c r="N428" s="2"/>
      <c r="O428" s="3"/>
      <c r="P428" s="2" t="s">
        <v>12</v>
      </c>
      <c r="R428" s="32"/>
      <c r="S428" s="2"/>
      <c r="U428" s="32"/>
      <c r="V428" s="2"/>
      <c r="W428" s="3"/>
      <c r="X428" s="2" t="s">
        <v>12</v>
      </c>
      <c r="Z428" s="32"/>
      <c r="AA428" s="2"/>
      <c r="AC428" s="32"/>
      <c r="AD428" s="2"/>
      <c r="AE428" s="3"/>
      <c r="AF428" s="2" t="s">
        <v>12</v>
      </c>
      <c r="AH428" s="32"/>
      <c r="AI428" s="2"/>
      <c r="AK428" s="32"/>
      <c r="AL428" s="3"/>
      <c r="AM428" s="2"/>
      <c r="AN428" s="2"/>
      <c r="AO428" s="108" t="s">
        <v>8</v>
      </c>
      <c r="AP428" s="108" t="s">
        <v>94</v>
      </c>
      <c r="AQ428" s="2"/>
      <c r="AR428" s="2"/>
    </row>
    <row r="429" spans="5:44" ht="14.45" customHeight="1" x14ac:dyDescent="0.25">
      <c r="E429" s="2"/>
      <c r="F429" s="125"/>
      <c r="G429" s="2"/>
      <c r="H429" s="2" t="s">
        <v>20</v>
      </c>
      <c r="I429" s="81" t="s">
        <v>31</v>
      </c>
      <c r="J429" s="32" t="s">
        <v>70</v>
      </c>
      <c r="K429" s="2"/>
      <c r="L429" s="81" t="s">
        <v>31</v>
      </c>
      <c r="M429" s="32" t="s">
        <v>70</v>
      </c>
      <c r="N429" s="2"/>
      <c r="O429" s="3"/>
      <c r="P429" s="2" t="s">
        <v>20</v>
      </c>
      <c r="R429" s="32"/>
      <c r="S429" s="2"/>
      <c r="U429" s="32"/>
      <c r="V429" s="2"/>
      <c r="W429" s="3"/>
      <c r="X429" s="2" t="s">
        <v>20</v>
      </c>
      <c r="Z429" s="32"/>
      <c r="AA429" s="2"/>
      <c r="AC429" s="32"/>
      <c r="AD429" s="2"/>
      <c r="AE429" s="3"/>
      <c r="AF429" s="2" t="s">
        <v>20</v>
      </c>
      <c r="AH429" s="32"/>
      <c r="AI429" s="2"/>
      <c r="AK429" s="32"/>
      <c r="AL429" s="3"/>
      <c r="AM429" s="2"/>
      <c r="AN429" s="2"/>
      <c r="AO429" s="100" t="s">
        <v>71</v>
      </c>
      <c r="AP429" s="101">
        <f>(COUNTIF(I388:I479,"=*"&amp;AO429&amp;"*")+COUNTIF($Q$388:$Q$479,"=*"&amp;AO429&amp;"*")+COUNTIF($AG$388:$AG$479,"=*"&amp;AO429&amp;"*")+COUNTIF($Y$388:$Y$479,"=*"&amp;AO429&amp;"*"))*2</f>
        <v>6</v>
      </c>
      <c r="AQ429" s="2"/>
      <c r="AR429" s="2"/>
    </row>
    <row r="430" spans="5:44" ht="14.45" customHeight="1" x14ac:dyDescent="0.25">
      <c r="E430" s="2"/>
      <c r="F430" s="125"/>
      <c r="G430" s="2"/>
      <c r="H430" s="2" t="s">
        <v>24</v>
      </c>
      <c r="I430" s="81" t="s">
        <v>31</v>
      </c>
      <c r="J430" s="32" t="s">
        <v>70</v>
      </c>
      <c r="K430" s="2"/>
      <c r="L430" s="81" t="s">
        <v>31</v>
      </c>
      <c r="M430" s="32" t="s">
        <v>70</v>
      </c>
      <c r="N430" s="2"/>
      <c r="O430" s="3"/>
      <c r="P430" s="2" t="s">
        <v>24</v>
      </c>
      <c r="R430" s="32"/>
      <c r="S430" s="2"/>
      <c r="U430" s="32"/>
      <c r="V430" s="2"/>
      <c r="W430" s="3"/>
      <c r="X430" s="2" t="s">
        <v>24</v>
      </c>
      <c r="Z430" s="32"/>
      <c r="AA430" s="2"/>
      <c r="AC430" s="32"/>
      <c r="AD430" s="2"/>
      <c r="AE430" s="3"/>
      <c r="AF430" s="2" t="s">
        <v>24</v>
      </c>
      <c r="AH430" s="32"/>
      <c r="AI430" s="2"/>
      <c r="AK430" s="32"/>
      <c r="AL430" s="3"/>
      <c r="AM430" s="2"/>
      <c r="AN430" s="2"/>
      <c r="AO430" s="100" t="s">
        <v>72</v>
      </c>
      <c r="AP430" s="101">
        <f>(COUNTIF(I389:I480,"=*"&amp;AO430&amp;"*")+COUNTIF($Q$388:$Q$479,"=*"&amp;AO430&amp;"*")+COUNTIF($AG$388:$AG$479,"=*"&amp;AO430&amp;"*")+COUNTIF($Y$388:$Y$479,"=*"&amp;AO430&amp;"*"))*2</f>
        <v>2</v>
      </c>
      <c r="AQ430" s="2"/>
      <c r="AR430" s="2"/>
    </row>
    <row r="431" spans="5:44" ht="14.45" customHeight="1" x14ac:dyDescent="0.25">
      <c r="E431" s="2"/>
      <c r="F431" s="125"/>
      <c r="G431" s="2"/>
      <c r="H431" s="2" t="s">
        <v>28</v>
      </c>
      <c r="I431" s="34" t="s">
        <v>73</v>
      </c>
      <c r="J431" s="32" t="s">
        <v>70</v>
      </c>
      <c r="K431" s="2"/>
      <c r="L431" s="34" t="s">
        <v>73</v>
      </c>
      <c r="M431" s="32" t="s">
        <v>70</v>
      </c>
      <c r="N431" s="2"/>
      <c r="O431" s="3"/>
      <c r="P431" s="2" t="s">
        <v>28</v>
      </c>
      <c r="R431" s="32"/>
      <c r="S431" s="2"/>
      <c r="U431" s="32"/>
      <c r="V431" s="2"/>
      <c r="W431" s="3"/>
      <c r="X431" s="2" t="s">
        <v>28</v>
      </c>
      <c r="Z431" s="32"/>
      <c r="AA431" s="2"/>
      <c r="AC431" s="32"/>
      <c r="AD431" s="2"/>
      <c r="AE431" s="3"/>
      <c r="AF431" s="2" t="s">
        <v>28</v>
      </c>
      <c r="AH431" s="32"/>
      <c r="AI431" s="2"/>
      <c r="AK431" s="32"/>
      <c r="AL431" s="3"/>
      <c r="AM431" s="2"/>
      <c r="AN431" s="2"/>
      <c r="AO431" s="102" t="s">
        <v>74</v>
      </c>
      <c r="AP431" s="101">
        <f>(COUNTIF(I390:I481,"=*"&amp;AO431&amp;"*")+COUNTIF($Q$388:$Q$479,"=*"&amp;AO431&amp;"*")+COUNTIF($AG$388:$AG$479,"=*"&amp;AO431&amp;"*")+COUNTIF($Y$388:$Y$479,"=*"&amp;AO431&amp;"*"))*2</f>
        <v>0</v>
      </c>
      <c r="AQ431" s="2"/>
      <c r="AR431" s="2"/>
    </row>
    <row r="432" spans="5:44" ht="14.45" customHeight="1" x14ac:dyDescent="0.25">
      <c r="E432" s="2"/>
      <c r="F432" s="125"/>
      <c r="G432" s="2"/>
      <c r="H432" s="2" t="s">
        <v>32</v>
      </c>
      <c r="I432" s="34" t="s">
        <v>73</v>
      </c>
      <c r="J432" s="32" t="s">
        <v>70</v>
      </c>
      <c r="K432" s="2"/>
      <c r="L432" s="34" t="s">
        <v>73</v>
      </c>
      <c r="M432" s="32" t="s">
        <v>70</v>
      </c>
      <c r="N432" s="2"/>
      <c r="O432" s="3"/>
      <c r="P432" s="2" t="s">
        <v>32</v>
      </c>
      <c r="R432" s="32"/>
      <c r="S432" s="2"/>
      <c r="U432" s="32"/>
      <c r="V432" s="2"/>
      <c r="W432" s="3"/>
      <c r="X432" s="2" t="s">
        <v>32</v>
      </c>
      <c r="Z432" s="32"/>
      <c r="AA432" s="2"/>
      <c r="AC432" s="32"/>
      <c r="AD432" s="2"/>
      <c r="AE432" s="3"/>
      <c r="AF432" s="2" t="s">
        <v>32</v>
      </c>
      <c r="AH432" s="32"/>
      <c r="AI432" s="2"/>
      <c r="AK432" s="32"/>
      <c r="AL432" s="3"/>
      <c r="AM432" s="2"/>
      <c r="AN432" s="2"/>
      <c r="AO432" s="103" t="s">
        <v>93</v>
      </c>
      <c r="AP432" s="101">
        <f t="shared" ref="AP432:AP439" si="16">(COUNTIF(I391:I482,"=*"&amp;AO432&amp;"*")+COUNTIF($Q$388:$Q$479,"=*"&amp;AO432&amp;"*")+COUNTIF($AG$388:$AG$479,"=*"&amp;AO432&amp;"*")+COUNTIF($Y$388:$Y$479,"=*"&amp;AO432&amp;"*"))*2</f>
        <v>0</v>
      </c>
      <c r="AQ432" s="2"/>
      <c r="AR432" s="2"/>
    </row>
    <row r="433" spans="5:44" ht="14.45" customHeight="1" x14ac:dyDescent="0.25">
      <c r="E433" s="2"/>
      <c r="F433" s="125"/>
      <c r="G433" s="2"/>
      <c r="H433" s="2"/>
      <c r="I433" s="2"/>
      <c r="J433" s="2"/>
      <c r="K433" s="2"/>
      <c r="L433" s="2"/>
      <c r="M433" s="2"/>
      <c r="N433" s="2"/>
      <c r="O433" s="3"/>
      <c r="P433" s="2"/>
      <c r="Q433" s="2"/>
      <c r="R433" s="2"/>
      <c r="S433" s="2"/>
      <c r="T433" s="2"/>
      <c r="U433" s="2"/>
      <c r="V433" s="2"/>
      <c r="W433" s="3"/>
      <c r="X433" s="2"/>
      <c r="Y433" s="2"/>
      <c r="Z433" s="2"/>
      <c r="AA433" s="2"/>
      <c r="AB433" s="2"/>
      <c r="AC433" s="2"/>
      <c r="AD433" s="2"/>
      <c r="AE433" s="3"/>
      <c r="AF433" s="2"/>
      <c r="AG433" s="2"/>
      <c r="AH433" s="2"/>
      <c r="AI433" s="2"/>
      <c r="AJ433" s="2"/>
      <c r="AK433" s="2"/>
      <c r="AL433" s="3"/>
      <c r="AM433" s="2"/>
      <c r="AN433" s="2"/>
      <c r="AO433" s="104" t="s">
        <v>75</v>
      </c>
      <c r="AP433" s="101">
        <f t="shared" si="16"/>
        <v>0</v>
      </c>
      <c r="AQ433" s="2"/>
      <c r="AR433" s="2"/>
    </row>
    <row r="434" spans="5:44" ht="14.45" customHeight="1" x14ac:dyDescent="0.25">
      <c r="E434" s="2"/>
      <c r="F434" s="125"/>
      <c r="G434" s="2"/>
      <c r="H434" s="2"/>
      <c r="I434" s="25">
        <v>3415</v>
      </c>
      <c r="J434" s="25"/>
      <c r="K434" s="25"/>
      <c r="L434" s="25" t="s">
        <v>63</v>
      </c>
      <c r="M434" s="3"/>
      <c r="N434" s="2"/>
      <c r="O434" s="3"/>
      <c r="P434" s="2"/>
      <c r="Q434" s="36">
        <v>2989</v>
      </c>
      <c r="R434" s="36"/>
      <c r="S434" s="36"/>
      <c r="T434" s="36" t="s">
        <v>3</v>
      </c>
      <c r="U434" s="37"/>
      <c r="V434" s="2"/>
      <c r="W434" s="3"/>
      <c r="X434" s="2"/>
      <c r="Y434" s="25"/>
      <c r="Z434" s="25"/>
      <c r="AA434" s="25"/>
      <c r="AB434" s="25"/>
      <c r="AC434" s="3"/>
      <c r="AD434" s="2"/>
      <c r="AE434" s="3"/>
      <c r="AF434" s="2"/>
      <c r="AG434" s="36">
        <v>1852</v>
      </c>
      <c r="AH434" s="36"/>
      <c r="AI434" s="36"/>
      <c r="AJ434" s="36" t="s">
        <v>63</v>
      </c>
      <c r="AK434" s="37"/>
      <c r="AL434" s="3"/>
      <c r="AM434" s="2"/>
      <c r="AN434" s="2"/>
      <c r="AO434" s="104" t="s">
        <v>76</v>
      </c>
      <c r="AP434" s="101">
        <f t="shared" si="16"/>
        <v>0</v>
      </c>
      <c r="AQ434" s="2"/>
      <c r="AR434" s="2"/>
    </row>
    <row r="435" spans="5:44" ht="14.45" customHeight="1" x14ac:dyDescent="0.25">
      <c r="E435" s="2"/>
      <c r="F435" s="125"/>
      <c r="G435" s="2"/>
      <c r="H435" s="2"/>
      <c r="I435" s="26" t="s">
        <v>4</v>
      </c>
      <c r="J435" s="26"/>
      <c r="K435" s="26"/>
      <c r="L435" s="26" t="s">
        <v>5</v>
      </c>
      <c r="M435" s="26"/>
      <c r="N435" s="2"/>
      <c r="O435" s="3"/>
      <c r="P435" s="2"/>
      <c r="Q435" s="26" t="s">
        <v>4</v>
      </c>
      <c r="R435" s="26"/>
      <c r="S435" s="26"/>
      <c r="T435" s="26" t="s">
        <v>5</v>
      </c>
      <c r="U435" s="26"/>
      <c r="V435" s="2"/>
      <c r="W435" s="3"/>
      <c r="X435" s="2"/>
      <c r="Y435" s="26"/>
      <c r="Z435" s="26"/>
      <c r="AA435" s="26"/>
      <c r="AB435" s="26"/>
      <c r="AC435" s="26"/>
      <c r="AD435" s="26"/>
      <c r="AE435" s="3"/>
      <c r="AF435" s="2"/>
      <c r="AG435" s="26" t="s">
        <v>4</v>
      </c>
      <c r="AH435" s="26"/>
      <c r="AI435" s="26"/>
      <c r="AJ435" s="26" t="s">
        <v>5</v>
      </c>
      <c r="AK435" s="26"/>
      <c r="AL435" s="3"/>
      <c r="AM435" s="2"/>
      <c r="AN435" s="2"/>
      <c r="AO435" s="105" t="s">
        <v>77</v>
      </c>
      <c r="AP435" s="101">
        <f t="shared" si="16"/>
        <v>0</v>
      </c>
      <c r="AQ435" s="2"/>
      <c r="AR435" s="2"/>
    </row>
    <row r="436" spans="5:44" ht="14.45" customHeight="1" x14ac:dyDescent="0.25">
      <c r="E436" s="2"/>
      <c r="F436" s="125"/>
      <c r="G436" s="2"/>
      <c r="H436" s="2"/>
      <c r="I436" s="27">
        <v>3415</v>
      </c>
      <c r="J436" s="27" t="s">
        <v>7</v>
      </c>
      <c r="K436" s="2"/>
      <c r="L436" s="27">
        <v>3415</v>
      </c>
      <c r="M436" s="27" t="s">
        <v>7</v>
      </c>
      <c r="N436" s="2"/>
      <c r="O436" s="3"/>
      <c r="P436" s="2"/>
      <c r="Q436" s="27">
        <v>2989</v>
      </c>
      <c r="R436" s="27" t="s">
        <v>7</v>
      </c>
      <c r="S436" s="2"/>
      <c r="T436" s="27">
        <v>2989</v>
      </c>
      <c r="U436" s="27" t="s">
        <v>7</v>
      </c>
      <c r="V436" s="2"/>
      <c r="W436" s="3"/>
      <c r="X436" s="2"/>
      <c r="Y436" s="27"/>
      <c r="Z436" s="27"/>
      <c r="AA436" s="2"/>
      <c r="AB436" s="27"/>
      <c r="AC436" s="27"/>
      <c r="AD436" s="28"/>
      <c r="AE436" s="3"/>
      <c r="AF436" s="2"/>
      <c r="AG436" s="27">
        <v>1852</v>
      </c>
      <c r="AH436" s="27" t="s">
        <v>7</v>
      </c>
      <c r="AI436" s="29"/>
      <c r="AJ436" s="27">
        <v>1852</v>
      </c>
      <c r="AK436" s="27" t="s">
        <v>7</v>
      </c>
      <c r="AL436" s="3"/>
      <c r="AM436" s="2"/>
      <c r="AN436" s="2"/>
      <c r="AO436" s="106" t="s">
        <v>78</v>
      </c>
      <c r="AP436" s="101">
        <f t="shared" si="16"/>
        <v>0</v>
      </c>
      <c r="AQ436" s="2"/>
      <c r="AR436" s="2"/>
    </row>
    <row r="437" spans="5:44" ht="14.45" customHeight="1" x14ac:dyDescent="0.25">
      <c r="E437" s="2"/>
      <c r="F437" s="125"/>
      <c r="G437" s="2"/>
      <c r="H437" s="2" t="s">
        <v>12</v>
      </c>
      <c r="I437" t="s">
        <v>66</v>
      </c>
      <c r="J437" s="32" t="s">
        <v>79</v>
      </c>
      <c r="K437" s="2"/>
      <c r="L437" t="s">
        <v>66</v>
      </c>
      <c r="M437" s="32" t="s">
        <v>79</v>
      </c>
      <c r="N437" s="2"/>
      <c r="O437" s="3"/>
      <c r="P437" s="2" t="s">
        <v>12</v>
      </c>
      <c r="Q437" t="s">
        <v>66</v>
      </c>
      <c r="R437" s="32" t="s">
        <v>67</v>
      </c>
      <c r="S437" s="2"/>
      <c r="T437" t="s">
        <v>66</v>
      </c>
      <c r="U437" s="32" t="s">
        <v>67</v>
      </c>
      <c r="V437" s="2"/>
      <c r="W437" s="3"/>
      <c r="X437" s="2" t="s">
        <v>12</v>
      </c>
      <c r="Z437" s="32"/>
      <c r="AA437" s="2"/>
      <c r="AC437" s="32"/>
      <c r="AD437" s="2"/>
      <c r="AE437" s="3"/>
      <c r="AF437" s="2" t="s">
        <v>12</v>
      </c>
      <c r="AG437" t="s">
        <v>66</v>
      </c>
      <c r="AH437" s="32" t="s">
        <v>67</v>
      </c>
      <c r="AI437" s="2"/>
      <c r="AJ437" t="s">
        <v>66</v>
      </c>
      <c r="AK437" s="32" t="s">
        <v>67</v>
      </c>
      <c r="AL437" s="3"/>
      <c r="AM437" s="2"/>
      <c r="AN437" s="2"/>
      <c r="AO437" s="103" t="s">
        <v>80</v>
      </c>
      <c r="AP437" s="101">
        <f t="shared" si="16"/>
        <v>0</v>
      </c>
      <c r="AQ437" s="2"/>
      <c r="AR437" s="2"/>
    </row>
    <row r="438" spans="5:44" ht="14.45" customHeight="1" x14ac:dyDescent="0.25">
      <c r="E438" s="2"/>
      <c r="F438" s="125"/>
      <c r="G438" s="2"/>
      <c r="H438" s="2" t="s">
        <v>20</v>
      </c>
      <c r="I438" s="81" t="s">
        <v>71</v>
      </c>
      <c r="J438" s="32" t="s">
        <v>70</v>
      </c>
      <c r="K438" s="2"/>
      <c r="L438" s="81" t="s">
        <v>71</v>
      </c>
      <c r="M438" s="32" t="s">
        <v>70</v>
      </c>
      <c r="N438" s="2"/>
      <c r="O438" s="3"/>
      <c r="P438" s="2" t="s">
        <v>20</v>
      </c>
      <c r="Q438" t="s">
        <v>66</v>
      </c>
      <c r="R438" s="32" t="s">
        <v>67</v>
      </c>
      <c r="S438" s="2"/>
      <c r="T438" t="s">
        <v>66</v>
      </c>
      <c r="U438" s="32" t="s">
        <v>67</v>
      </c>
      <c r="V438" s="2"/>
      <c r="W438" s="3"/>
      <c r="X438" s="2" t="s">
        <v>20</v>
      </c>
      <c r="Z438" s="32"/>
      <c r="AA438" s="2"/>
      <c r="AC438" s="32"/>
      <c r="AD438" s="2"/>
      <c r="AE438" s="3"/>
      <c r="AF438" s="2" t="s">
        <v>20</v>
      </c>
      <c r="AG438" t="s">
        <v>66</v>
      </c>
      <c r="AH438" s="32" t="s">
        <v>67</v>
      </c>
      <c r="AI438" s="2"/>
      <c r="AJ438" t="s">
        <v>66</v>
      </c>
      <c r="AK438" s="32" t="s">
        <v>67</v>
      </c>
      <c r="AL438" s="3"/>
      <c r="AM438" s="2"/>
      <c r="AN438" s="2"/>
      <c r="AO438" s="103" t="s">
        <v>80</v>
      </c>
      <c r="AP438" s="101">
        <f t="shared" si="16"/>
        <v>0</v>
      </c>
      <c r="AQ438" s="2"/>
      <c r="AR438" s="2"/>
    </row>
    <row r="439" spans="5:44" ht="14.45" customHeight="1" x14ac:dyDescent="0.25">
      <c r="E439" s="2"/>
      <c r="F439" s="125"/>
      <c r="G439" s="2"/>
      <c r="H439" s="2" t="s">
        <v>24</v>
      </c>
      <c r="I439" s="81" t="s">
        <v>71</v>
      </c>
      <c r="J439" s="32" t="s">
        <v>70</v>
      </c>
      <c r="K439" s="2"/>
      <c r="L439" s="81" t="s">
        <v>71</v>
      </c>
      <c r="M439" s="32" t="s">
        <v>70</v>
      </c>
      <c r="N439" s="2"/>
      <c r="O439" s="3"/>
      <c r="P439" s="2" t="s">
        <v>24</v>
      </c>
      <c r="Q439" t="s">
        <v>66</v>
      </c>
      <c r="R439" s="32" t="s">
        <v>67</v>
      </c>
      <c r="S439" s="2"/>
      <c r="T439" t="s">
        <v>66</v>
      </c>
      <c r="U439" s="32" t="s">
        <v>67</v>
      </c>
      <c r="V439" s="2"/>
      <c r="W439" s="3"/>
      <c r="X439" s="2" t="s">
        <v>24</v>
      </c>
      <c r="Z439" s="32"/>
      <c r="AA439" s="2"/>
      <c r="AC439" s="32"/>
      <c r="AD439" s="2"/>
      <c r="AE439" s="3"/>
      <c r="AF439" s="2" t="s">
        <v>24</v>
      </c>
      <c r="AG439" t="s">
        <v>66</v>
      </c>
      <c r="AH439" s="32" t="s">
        <v>67</v>
      </c>
      <c r="AI439" s="2"/>
      <c r="AJ439" t="s">
        <v>66</v>
      </c>
      <c r="AK439" s="32" t="s">
        <v>67</v>
      </c>
      <c r="AL439" s="3"/>
      <c r="AM439" s="2"/>
      <c r="AN439" s="2"/>
      <c r="AO439" s="107" t="s">
        <v>82</v>
      </c>
      <c r="AP439" s="101">
        <f t="shared" si="16"/>
        <v>0</v>
      </c>
      <c r="AQ439" s="2"/>
      <c r="AR439" s="2"/>
    </row>
    <row r="440" spans="5:44" ht="14.45" customHeight="1" x14ac:dyDescent="0.25">
      <c r="E440" s="2"/>
      <c r="F440" s="125"/>
      <c r="G440" s="2"/>
      <c r="H440" s="2" t="s">
        <v>28</v>
      </c>
      <c r="I440" s="81" t="s">
        <v>71</v>
      </c>
      <c r="J440" s="32" t="s">
        <v>83</v>
      </c>
      <c r="K440" s="2"/>
      <c r="L440" s="81" t="s">
        <v>71</v>
      </c>
      <c r="M440" s="32" t="s">
        <v>83</v>
      </c>
      <c r="N440" s="2"/>
      <c r="O440" s="3"/>
      <c r="P440" s="2" t="s">
        <v>28</v>
      </c>
      <c r="Q440" t="s">
        <v>66</v>
      </c>
      <c r="R440" s="32" t="s">
        <v>67</v>
      </c>
      <c r="S440" s="2"/>
      <c r="T440" t="s">
        <v>66</v>
      </c>
      <c r="U440" s="32" t="s">
        <v>67</v>
      </c>
      <c r="V440" s="2"/>
      <c r="W440" s="3"/>
      <c r="X440" s="2" t="s">
        <v>28</v>
      </c>
      <c r="Z440" s="32"/>
      <c r="AA440" s="2"/>
      <c r="AC440" s="32"/>
      <c r="AD440" s="2"/>
      <c r="AE440" s="3"/>
      <c r="AF440" s="2" t="s">
        <v>28</v>
      </c>
      <c r="AG440" t="s">
        <v>66</v>
      </c>
      <c r="AH440" s="32" t="s">
        <v>67</v>
      </c>
      <c r="AI440" s="2"/>
      <c r="AJ440" t="s">
        <v>66</v>
      </c>
      <c r="AK440" s="32" t="s">
        <v>67</v>
      </c>
      <c r="AL440" s="3"/>
      <c r="AM440" s="2"/>
      <c r="AN440" s="2"/>
      <c r="AO440" s="2"/>
      <c r="AP440" s="2"/>
      <c r="AQ440" s="2"/>
      <c r="AR440" s="2"/>
    </row>
    <row r="441" spans="5:44" ht="14.45" customHeight="1" x14ac:dyDescent="0.25">
      <c r="E441" s="2"/>
      <c r="F441" s="125"/>
      <c r="G441" s="2"/>
      <c r="H441" s="2" t="s">
        <v>32</v>
      </c>
      <c r="I441" t="s">
        <v>72</v>
      </c>
      <c r="J441" s="32" t="s">
        <v>70</v>
      </c>
      <c r="K441" s="2"/>
      <c r="L441" t="s">
        <v>72</v>
      </c>
      <c r="M441" s="32" t="s">
        <v>70</v>
      </c>
      <c r="N441" s="2"/>
      <c r="O441" s="3"/>
      <c r="P441" s="2" t="s">
        <v>32</v>
      </c>
      <c r="Q441" t="s">
        <v>66</v>
      </c>
      <c r="R441" s="32" t="s">
        <v>67</v>
      </c>
      <c r="S441" s="2"/>
      <c r="T441" t="s">
        <v>66</v>
      </c>
      <c r="U441" s="32" t="s">
        <v>67</v>
      </c>
      <c r="V441" s="2"/>
      <c r="W441" s="3"/>
      <c r="X441" s="2" t="s">
        <v>32</v>
      </c>
      <c r="Z441" s="32"/>
      <c r="AA441" s="2"/>
      <c r="AC441" s="32"/>
      <c r="AD441" s="2"/>
      <c r="AE441" s="3"/>
      <c r="AF441" s="2" t="s">
        <v>32</v>
      </c>
      <c r="AG441" t="s">
        <v>66</v>
      </c>
      <c r="AH441" s="32" t="s">
        <v>67</v>
      </c>
      <c r="AI441" s="2"/>
      <c r="AJ441" t="s">
        <v>66</v>
      </c>
      <c r="AK441" s="32" t="s">
        <v>67</v>
      </c>
      <c r="AL441" s="3"/>
      <c r="AM441" s="2"/>
      <c r="AN441" s="2"/>
      <c r="AO441" s="2"/>
      <c r="AP441" s="2"/>
      <c r="AQ441" s="2"/>
      <c r="AR441" s="2"/>
    </row>
    <row r="442" spans="5:44" ht="14.45" customHeight="1" x14ac:dyDescent="0.25">
      <c r="E442" s="2"/>
      <c r="F442" s="125"/>
      <c r="G442" s="2"/>
      <c r="H442" s="2"/>
      <c r="I442" s="2"/>
      <c r="J442" s="2"/>
      <c r="K442" s="2"/>
      <c r="L442" s="2"/>
      <c r="M442" s="2"/>
      <c r="N442" s="2"/>
      <c r="O442" s="3"/>
      <c r="P442" s="2"/>
      <c r="Q442" s="2"/>
      <c r="R442" s="2"/>
      <c r="S442" s="2"/>
      <c r="T442" s="2"/>
      <c r="U442" s="2"/>
      <c r="V442" s="2"/>
      <c r="W442" s="3"/>
      <c r="X442" s="2"/>
      <c r="Y442" s="2"/>
      <c r="Z442" s="2"/>
      <c r="AA442" s="2"/>
      <c r="AB442" s="2"/>
      <c r="AC442" s="2"/>
      <c r="AD442" s="2"/>
      <c r="AE442" s="3"/>
      <c r="AF442" s="2"/>
      <c r="AG442" s="2"/>
      <c r="AH442" s="2"/>
      <c r="AI442" s="2"/>
      <c r="AJ442" s="2"/>
      <c r="AK442" s="2"/>
      <c r="AL442" s="3"/>
      <c r="AM442" s="2"/>
      <c r="AN442" s="2"/>
      <c r="AO442" s="2"/>
      <c r="AP442" s="2"/>
      <c r="AQ442" s="2"/>
      <c r="AR442" s="2"/>
    </row>
    <row r="443" spans="5:44" ht="14.45" customHeight="1" x14ac:dyDescent="0.25">
      <c r="E443" s="2"/>
      <c r="F443" s="125"/>
      <c r="G443" s="2"/>
      <c r="H443" s="2"/>
      <c r="I443" s="25">
        <v>3707</v>
      </c>
      <c r="J443" s="25"/>
      <c r="K443" s="25"/>
      <c r="L443" s="25" t="s">
        <v>63</v>
      </c>
      <c r="M443" s="3"/>
      <c r="N443" s="2"/>
      <c r="O443" s="3"/>
      <c r="P443" s="2"/>
      <c r="Q443" s="25">
        <v>5275</v>
      </c>
      <c r="R443" s="25"/>
      <c r="S443" s="25"/>
      <c r="T443" s="25" t="s">
        <v>63</v>
      </c>
      <c r="U443" s="3"/>
      <c r="V443" s="2"/>
      <c r="W443" s="3"/>
      <c r="X443" s="2"/>
      <c r="Y443" s="2"/>
      <c r="Z443" s="2"/>
      <c r="AA443" s="2"/>
      <c r="AB443" s="2"/>
      <c r="AC443" s="2"/>
      <c r="AD443" s="2"/>
      <c r="AE443" s="3"/>
      <c r="AF443" s="2"/>
      <c r="AG443" s="36">
        <v>1848</v>
      </c>
      <c r="AH443" s="36"/>
      <c r="AI443" s="36"/>
      <c r="AJ443" s="36" t="s">
        <v>63</v>
      </c>
      <c r="AK443" s="37"/>
      <c r="AL443" s="3"/>
      <c r="AM443" s="2"/>
      <c r="AN443" s="2"/>
      <c r="AO443" s="2"/>
      <c r="AP443" s="2"/>
      <c r="AQ443" s="2"/>
      <c r="AR443" s="2"/>
    </row>
    <row r="444" spans="5:44" ht="14.45" customHeight="1" x14ac:dyDescent="0.25">
      <c r="E444" s="2"/>
      <c r="F444" s="125"/>
      <c r="G444" s="2"/>
      <c r="H444" s="2"/>
      <c r="I444" s="26" t="s">
        <v>4</v>
      </c>
      <c r="J444" s="26"/>
      <c r="K444" s="26"/>
      <c r="L444" s="26" t="s">
        <v>5</v>
      </c>
      <c r="M444" s="26"/>
      <c r="N444" s="2"/>
      <c r="O444" s="3"/>
      <c r="P444" s="2"/>
      <c r="Q444" s="26" t="s">
        <v>4</v>
      </c>
      <c r="R444" s="26"/>
      <c r="S444" s="26"/>
      <c r="T444" s="26" t="s">
        <v>5</v>
      </c>
      <c r="U444" s="26"/>
      <c r="V444" s="2"/>
      <c r="W444" s="3"/>
      <c r="X444" s="2"/>
      <c r="Y444" s="2"/>
      <c r="Z444" s="2"/>
      <c r="AA444" s="2"/>
      <c r="AB444" s="2"/>
      <c r="AC444" s="2"/>
      <c r="AD444" s="2"/>
      <c r="AE444" s="3"/>
      <c r="AF444" s="2"/>
      <c r="AG444" s="26" t="s">
        <v>4</v>
      </c>
      <c r="AH444" s="26"/>
      <c r="AI444" s="26"/>
      <c r="AJ444" s="26"/>
      <c r="AK444" s="26" t="s">
        <v>84</v>
      </c>
      <c r="AL444" s="3"/>
      <c r="AM444" s="2"/>
      <c r="AN444" s="2"/>
      <c r="AO444" s="2"/>
      <c r="AP444" s="2"/>
      <c r="AQ444" s="2"/>
      <c r="AR444" s="2"/>
    </row>
    <row r="445" spans="5:44" ht="14.45" customHeight="1" x14ac:dyDescent="0.25">
      <c r="E445" s="2"/>
      <c r="F445" s="125"/>
      <c r="G445" s="2"/>
      <c r="H445" s="2"/>
      <c r="I445" s="27">
        <v>3707</v>
      </c>
      <c r="J445" s="27" t="s">
        <v>7</v>
      </c>
      <c r="K445" s="2"/>
      <c r="L445" s="27">
        <v>3707</v>
      </c>
      <c r="M445" s="27" t="s">
        <v>7</v>
      </c>
      <c r="N445" s="2"/>
      <c r="O445" s="3"/>
      <c r="P445" s="2"/>
      <c r="Q445" s="27">
        <v>5275</v>
      </c>
      <c r="R445" s="27" t="s">
        <v>7</v>
      </c>
      <c r="S445" s="2"/>
      <c r="T445" s="27">
        <v>5275</v>
      </c>
      <c r="U445" s="27" t="s">
        <v>7</v>
      </c>
      <c r="V445" s="2"/>
      <c r="W445" s="3"/>
      <c r="X445" s="2"/>
      <c r="Y445" s="2"/>
      <c r="Z445" s="2"/>
      <c r="AA445" s="2"/>
      <c r="AB445" s="2"/>
      <c r="AC445" s="2"/>
      <c r="AD445" s="2"/>
      <c r="AE445" s="3"/>
      <c r="AF445" s="2"/>
      <c r="AG445" s="27">
        <v>1848</v>
      </c>
      <c r="AH445" s="27" t="s">
        <v>7</v>
      </c>
      <c r="AI445" s="29"/>
      <c r="AJ445" s="27">
        <v>1848</v>
      </c>
      <c r="AK445" s="27" t="s">
        <v>7</v>
      </c>
      <c r="AL445" s="3"/>
      <c r="AM445" s="2"/>
      <c r="AN445" s="2"/>
      <c r="AO445" s="2"/>
      <c r="AP445" s="2"/>
      <c r="AQ445" s="2"/>
      <c r="AR445" s="2"/>
    </row>
    <row r="446" spans="5:44" ht="14.45" customHeight="1" x14ac:dyDescent="0.25">
      <c r="E446" s="2"/>
      <c r="F446" s="125"/>
      <c r="G446" s="2"/>
      <c r="H446" s="2" t="s">
        <v>12</v>
      </c>
      <c r="I446" t="s">
        <v>66</v>
      </c>
      <c r="J446" s="32" t="s">
        <v>67</v>
      </c>
      <c r="K446" s="2"/>
      <c r="L446" t="s">
        <v>66</v>
      </c>
      <c r="M446" s="32" t="s">
        <v>67</v>
      </c>
      <c r="N446" s="2"/>
      <c r="O446" s="3"/>
      <c r="P446" s="2" t="s">
        <v>12</v>
      </c>
      <c r="Q446" t="s">
        <v>66</v>
      </c>
      <c r="R446" s="32" t="s">
        <v>67</v>
      </c>
      <c r="S446" s="2"/>
      <c r="T446" t="s">
        <v>66</v>
      </c>
      <c r="U446" s="32" t="s">
        <v>67</v>
      </c>
      <c r="V446" s="2"/>
      <c r="W446" s="3"/>
      <c r="X446" s="2"/>
      <c r="Y446" s="2"/>
      <c r="Z446" s="2"/>
      <c r="AA446" s="2"/>
      <c r="AB446" s="2"/>
      <c r="AC446" s="2"/>
      <c r="AD446" s="2"/>
      <c r="AE446" s="3"/>
      <c r="AF446" s="2" t="s">
        <v>12</v>
      </c>
      <c r="AG446" s="15" t="s">
        <v>50</v>
      </c>
      <c r="AH446" s="32" t="s">
        <v>70</v>
      </c>
      <c r="AI446" s="2"/>
      <c r="AJ446" s="15" t="s">
        <v>50</v>
      </c>
      <c r="AK446" s="32" t="s">
        <v>70</v>
      </c>
      <c r="AL446" s="3"/>
      <c r="AM446" s="2"/>
      <c r="AN446" s="2"/>
      <c r="AO446" s="2"/>
      <c r="AP446" s="2"/>
      <c r="AQ446" s="2"/>
      <c r="AR446" s="2"/>
    </row>
    <row r="447" spans="5:44" ht="14.45" customHeight="1" x14ac:dyDescent="0.25">
      <c r="E447" s="2"/>
      <c r="F447" s="125"/>
      <c r="G447" s="2"/>
      <c r="H447" s="2" t="s">
        <v>20</v>
      </c>
      <c r="I447" t="s">
        <v>66</v>
      </c>
      <c r="J447" s="32" t="s">
        <v>67</v>
      </c>
      <c r="K447" s="2"/>
      <c r="L447" t="s">
        <v>66</v>
      </c>
      <c r="M447" s="32" t="s">
        <v>67</v>
      </c>
      <c r="N447" s="2"/>
      <c r="O447" s="3"/>
      <c r="P447" s="2" t="s">
        <v>20</v>
      </c>
      <c r="Q447" t="s">
        <v>66</v>
      </c>
      <c r="R447" s="32" t="s">
        <v>67</v>
      </c>
      <c r="S447" s="2"/>
      <c r="T447" t="s">
        <v>66</v>
      </c>
      <c r="U447" s="32" t="s">
        <v>67</v>
      </c>
      <c r="V447" s="2"/>
      <c r="W447" s="3"/>
      <c r="X447" s="2"/>
      <c r="Y447" s="2"/>
      <c r="Z447" s="2"/>
      <c r="AA447" s="2"/>
      <c r="AB447" s="2"/>
      <c r="AC447" s="2"/>
      <c r="AD447" s="2"/>
      <c r="AE447" s="3"/>
      <c r="AF447" s="2" t="s">
        <v>20</v>
      </c>
      <c r="AG447" s="15" t="s">
        <v>50</v>
      </c>
      <c r="AH447" s="32" t="s">
        <v>70</v>
      </c>
      <c r="AI447" s="2"/>
      <c r="AJ447" s="15" t="s">
        <v>50</v>
      </c>
      <c r="AK447" s="32" t="s">
        <v>70</v>
      </c>
      <c r="AL447" s="3"/>
      <c r="AM447" s="2"/>
      <c r="AN447" s="2"/>
      <c r="AO447" s="2"/>
      <c r="AP447" s="2"/>
      <c r="AQ447" s="2"/>
      <c r="AR447" s="2"/>
    </row>
    <row r="448" spans="5:44" ht="14.45" customHeight="1" x14ac:dyDescent="0.25">
      <c r="E448" s="2"/>
      <c r="F448" s="125"/>
      <c r="G448" s="2"/>
      <c r="H448" s="2" t="s">
        <v>24</v>
      </c>
      <c r="I448" t="s">
        <v>66</v>
      </c>
      <c r="J448" s="32" t="s">
        <v>67</v>
      </c>
      <c r="K448" s="2"/>
      <c r="L448" t="s">
        <v>66</v>
      </c>
      <c r="M448" s="32" t="s">
        <v>67</v>
      </c>
      <c r="N448" s="2"/>
      <c r="O448" s="3"/>
      <c r="P448" s="2" t="s">
        <v>24</v>
      </c>
      <c r="Q448" t="s">
        <v>66</v>
      </c>
      <c r="R448" s="32" t="s">
        <v>67</v>
      </c>
      <c r="S448" s="2"/>
      <c r="T448" t="s">
        <v>66</v>
      </c>
      <c r="U448" s="32" t="s">
        <v>67</v>
      </c>
      <c r="V448" s="2"/>
      <c r="W448" s="3"/>
      <c r="X448" s="2"/>
      <c r="Y448" s="2"/>
      <c r="Z448" s="2"/>
      <c r="AA448" s="2"/>
      <c r="AB448" s="2"/>
      <c r="AC448" s="2"/>
      <c r="AD448" s="2"/>
      <c r="AE448" s="3"/>
      <c r="AF448" s="2" t="s">
        <v>24</v>
      </c>
      <c r="AG448" s="15" t="s">
        <v>50</v>
      </c>
      <c r="AH448" s="32" t="s">
        <v>70</v>
      </c>
      <c r="AI448" s="2"/>
      <c r="AJ448" s="15" t="s">
        <v>50</v>
      </c>
      <c r="AK448" s="32" t="s">
        <v>70</v>
      </c>
      <c r="AL448" s="3"/>
      <c r="AM448" s="2"/>
      <c r="AN448" s="2"/>
      <c r="AO448" s="2"/>
      <c r="AP448" s="2"/>
      <c r="AQ448" s="2"/>
      <c r="AR448" s="2"/>
    </row>
    <row r="449" spans="5:44" ht="14.45" customHeight="1" x14ac:dyDescent="0.25">
      <c r="E449" s="2"/>
      <c r="F449" s="125"/>
      <c r="G449" s="2"/>
      <c r="H449" s="2" t="s">
        <v>28</v>
      </c>
      <c r="I449" t="s">
        <v>66</v>
      </c>
      <c r="J449" s="32" t="s">
        <v>67</v>
      </c>
      <c r="K449" s="2"/>
      <c r="L449" t="s">
        <v>66</v>
      </c>
      <c r="M449" s="32" t="s">
        <v>67</v>
      </c>
      <c r="N449" s="2"/>
      <c r="O449" s="3"/>
      <c r="P449" s="2" t="s">
        <v>28</v>
      </c>
      <c r="Q449" t="s">
        <v>66</v>
      </c>
      <c r="R449" s="32" t="s">
        <v>67</v>
      </c>
      <c r="S449" s="2"/>
      <c r="T449" t="s">
        <v>66</v>
      </c>
      <c r="U449" s="32" t="s">
        <v>67</v>
      </c>
      <c r="V449" s="2"/>
      <c r="W449" s="3"/>
      <c r="X449" s="2"/>
      <c r="Y449" s="2"/>
      <c r="Z449" s="2"/>
      <c r="AA449" s="2"/>
      <c r="AB449" s="2"/>
      <c r="AC449" s="2"/>
      <c r="AD449" s="2"/>
      <c r="AE449" s="3"/>
      <c r="AF449" s="2" t="s">
        <v>28</v>
      </c>
      <c r="AG449" s="15" t="s">
        <v>50</v>
      </c>
      <c r="AH449" s="32" t="s">
        <v>70</v>
      </c>
      <c r="AI449" s="2"/>
      <c r="AJ449" s="15" t="s">
        <v>50</v>
      </c>
      <c r="AK449" s="32" t="s">
        <v>70</v>
      </c>
      <c r="AL449" s="3"/>
      <c r="AM449" s="2"/>
      <c r="AN449" s="2"/>
      <c r="AO449" s="2"/>
      <c r="AP449" s="2"/>
      <c r="AQ449" s="2"/>
      <c r="AR449" s="2"/>
    </row>
    <row r="450" spans="5:44" ht="14.45" customHeight="1" x14ac:dyDescent="0.25">
      <c r="E450" s="2"/>
      <c r="F450" s="125"/>
      <c r="G450" s="2"/>
      <c r="H450" s="2" t="s">
        <v>32</v>
      </c>
      <c r="I450" t="s">
        <v>66</v>
      </c>
      <c r="J450" s="32" t="s">
        <v>67</v>
      </c>
      <c r="K450" s="2"/>
      <c r="L450" t="s">
        <v>66</v>
      </c>
      <c r="M450" s="32" t="s">
        <v>67</v>
      </c>
      <c r="N450" s="2"/>
      <c r="O450" s="3"/>
      <c r="P450" s="2" t="s">
        <v>32</v>
      </c>
      <c r="Q450" t="s">
        <v>66</v>
      </c>
      <c r="R450" s="32" t="s">
        <v>67</v>
      </c>
      <c r="S450" s="2"/>
      <c r="T450" t="s">
        <v>66</v>
      </c>
      <c r="U450" s="32" t="s">
        <v>67</v>
      </c>
      <c r="V450" s="2"/>
      <c r="W450" s="3"/>
      <c r="X450" s="2"/>
      <c r="Y450" s="2"/>
      <c r="Z450" s="2"/>
      <c r="AA450" s="2"/>
      <c r="AB450" s="2"/>
      <c r="AC450" s="2"/>
      <c r="AD450" s="2"/>
      <c r="AE450" s="3"/>
      <c r="AF450" s="2" t="s">
        <v>32</v>
      </c>
      <c r="AG450" s="15" t="s">
        <v>50</v>
      </c>
      <c r="AH450" s="32" t="s">
        <v>70</v>
      </c>
      <c r="AI450" s="2"/>
      <c r="AJ450" s="15" t="s">
        <v>50</v>
      </c>
      <c r="AK450" s="32" t="s">
        <v>70</v>
      </c>
      <c r="AL450" s="3"/>
      <c r="AM450" s="2"/>
      <c r="AN450" s="2"/>
      <c r="AO450" s="2"/>
      <c r="AP450" s="2"/>
      <c r="AQ450" s="2"/>
      <c r="AR450" s="2"/>
    </row>
    <row r="451" spans="5:44" ht="14.45" customHeight="1" x14ac:dyDescent="0.25">
      <c r="E451" s="2"/>
      <c r="F451" s="125"/>
      <c r="G451" s="2"/>
      <c r="H451" s="2"/>
      <c r="I451" s="2"/>
      <c r="J451" s="2"/>
      <c r="K451" s="2"/>
      <c r="L451" s="2"/>
      <c r="M451" s="2"/>
      <c r="N451" s="2"/>
      <c r="O451" s="3"/>
      <c r="P451" s="2"/>
      <c r="Q451" s="2"/>
      <c r="R451" s="2"/>
      <c r="S451" s="2"/>
      <c r="T451" s="2"/>
      <c r="U451" s="2"/>
      <c r="V451" s="2"/>
      <c r="W451" s="3"/>
      <c r="X451" s="2"/>
      <c r="Y451" s="2"/>
      <c r="Z451" s="2"/>
      <c r="AA451" s="2"/>
      <c r="AB451" s="2"/>
      <c r="AC451" s="2"/>
      <c r="AD451" s="2"/>
      <c r="AE451" s="3"/>
      <c r="AF451" s="2"/>
      <c r="AG451" s="2"/>
      <c r="AH451" s="2"/>
      <c r="AI451" s="2"/>
      <c r="AJ451" s="2"/>
      <c r="AK451" s="2"/>
      <c r="AL451" s="3"/>
      <c r="AM451" s="2"/>
      <c r="AN451" s="2"/>
      <c r="AO451" s="2"/>
      <c r="AP451" s="2"/>
      <c r="AQ451" s="2"/>
      <c r="AR451" s="2"/>
    </row>
    <row r="452" spans="5:44" ht="14.45" customHeight="1" x14ac:dyDescent="0.25">
      <c r="E452" s="2"/>
      <c r="F452" s="125"/>
      <c r="G452" s="2"/>
      <c r="H452" s="2"/>
      <c r="I452" s="2"/>
      <c r="J452" s="2"/>
      <c r="K452" s="2"/>
      <c r="L452" s="2"/>
      <c r="M452" s="2"/>
      <c r="N452" s="2"/>
      <c r="O452" s="3"/>
      <c r="P452" s="2"/>
      <c r="Q452" s="2"/>
      <c r="R452" s="2"/>
      <c r="S452" s="2"/>
      <c r="T452" s="2"/>
      <c r="U452" s="2"/>
      <c r="V452" s="2"/>
      <c r="W452" s="3"/>
      <c r="X452" s="2"/>
      <c r="Y452" s="2"/>
      <c r="Z452" s="2"/>
      <c r="AA452" s="2"/>
      <c r="AB452" s="2"/>
      <c r="AC452" s="2"/>
      <c r="AD452" s="2"/>
      <c r="AE452" s="3"/>
      <c r="AF452" s="2"/>
      <c r="AG452" s="36" t="s">
        <v>85</v>
      </c>
      <c r="AH452" s="36"/>
      <c r="AI452" s="36"/>
      <c r="AJ452" s="36" t="s">
        <v>63</v>
      </c>
      <c r="AK452" s="37"/>
      <c r="AL452" s="3"/>
      <c r="AM452" s="2"/>
      <c r="AN452" s="2"/>
      <c r="AO452" s="2"/>
      <c r="AP452" s="2"/>
      <c r="AQ452" s="2"/>
      <c r="AR452" s="2"/>
    </row>
    <row r="453" spans="5:44" ht="14.45" customHeight="1" x14ac:dyDescent="0.25">
      <c r="E453" s="2"/>
      <c r="F453" s="125"/>
      <c r="G453" s="2"/>
      <c r="H453" s="2"/>
      <c r="I453" s="2"/>
      <c r="J453" s="2"/>
      <c r="K453" s="2"/>
      <c r="L453" s="2"/>
      <c r="M453" s="2"/>
      <c r="N453" s="2"/>
      <c r="O453" s="3"/>
      <c r="P453" s="2"/>
      <c r="Q453" s="2"/>
      <c r="R453" s="2"/>
      <c r="S453" s="2"/>
      <c r="T453" s="2"/>
      <c r="U453" s="2"/>
      <c r="V453" s="2"/>
      <c r="W453" s="3"/>
      <c r="X453" s="2"/>
      <c r="Y453" s="2"/>
      <c r="Z453" s="2"/>
      <c r="AA453" s="2"/>
      <c r="AB453" s="2"/>
      <c r="AC453" s="2"/>
      <c r="AD453" s="2"/>
      <c r="AE453" s="3"/>
      <c r="AF453" s="2"/>
      <c r="AG453" s="26" t="s">
        <v>4</v>
      </c>
      <c r="AH453" s="26"/>
      <c r="AI453" s="26"/>
      <c r="AJ453" s="26" t="s">
        <v>5</v>
      </c>
      <c r="AK453" s="26"/>
      <c r="AL453" s="3"/>
      <c r="AM453" s="2"/>
      <c r="AN453" s="2"/>
      <c r="AO453" s="2"/>
      <c r="AP453" s="2"/>
      <c r="AQ453" s="2"/>
      <c r="AR453" s="2"/>
    </row>
    <row r="454" spans="5:44" ht="14.45" customHeight="1" x14ac:dyDescent="0.25">
      <c r="E454" s="2"/>
      <c r="F454" s="125"/>
      <c r="G454" s="2"/>
      <c r="H454" s="2"/>
      <c r="I454" s="2"/>
      <c r="J454" s="2"/>
      <c r="K454" s="2"/>
      <c r="L454" s="2"/>
      <c r="M454" s="2"/>
      <c r="N454" s="2"/>
      <c r="O454" s="3"/>
      <c r="P454" s="2"/>
      <c r="Q454" s="2"/>
      <c r="R454" s="2"/>
      <c r="S454" s="2"/>
      <c r="T454" s="2"/>
      <c r="U454" s="2"/>
      <c r="V454" s="2"/>
      <c r="W454" s="3"/>
      <c r="X454" s="2"/>
      <c r="Y454" s="2"/>
      <c r="Z454" s="2"/>
      <c r="AA454" s="2"/>
      <c r="AB454" s="2"/>
      <c r="AC454" s="2"/>
      <c r="AD454" s="2"/>
      <c r="AE454" s="3"/>
      <c r="AF454" s="2"/>
      <c r="AG454" s="27" t="s">
        <v>85</v>
      </c>
      <c r="AH454" s="27" t="s">
        <v>7</v>
      </c>
      <c r="AI454" s="29"/>
      <c r="AJ454" s="27" t="s">
        <v>85</v>
      </c>
      <c r="AK454" s="27" t="s">
        <v>7</v>
      </c>
      <c r="AL454" s="3"/>
      <c r="AM454" s="2"/>
      <c r="AN454" s="2"/>
      <c r="AO454" s="2"/>
      <c r="AP454" s="2"/>
      <c r="AQ454" s="2"/>
      <c r="AR454" s="2"/>
    </row>
    <row r="455" spans="5:44" ht="14.45" customHeight="1" x14ac:dyDescent="0.25">
      <c r="E455" s="2"/>
      <c r="F455" s="125"/>
      <c r="G455" s="2"/>
      <c r="H455" s="2" t="s">
        <v>12</v>
      </c>
      <c r="I455" s="2"/>
      <c r="J455" s="2"/>
      <c r="K455" s="2"/>
      <c r="L455" s="2"/>
      <c r="M455" s="2"/>
      <c r="N455" s="2"/>
      <c r="O455" s="3"/>
      <c r="P455" s="2"/>
      <c r="Q455" s="2"/>
      <c r="R455" s="2"/>
      <c r="S455" s="2"/>
      <c r="T455" s="2"/>
      <c r="U455" s="2"/>
      <c r="V455" s="2"/>
      <c r="W455" s="3"/>
      <c r="X455" s="2"/>
      <c r="Y455" s="2"/>
      <c r="Z455" s="2"/>
      <c r="AA455" s="2"/>
      <c r="AB455" s="2"/>
      <c r="AC455" s="2"/>
      <c r="AD455" s="2"/>
      <c r="AE455" s="3"/>
      <c r="AF455" s="2" t="s">
        <v>12</v>
      </c>
      <c r="AG455" t="s">
        <v>66</v>
      </c>
      <c r="AH455" s="32" t="s">
        <v>79</v>
      </c>
      <c r="AI455" s="2"/>
      <c r="AJ455" t="s">
        <v>66</v>
      </c>
      <c r="AK455" s="32" t="s">
        <v>79</v>
      </c>
      <c r="AL455" s="3"/>
      <c r="AM455" s="2"/>
      <c r="AN455" s="2"/>
      <c r="AO455" s="2"/>
      <c r="AP455" s="2"/>
      <c r="AQ455" s="2"/>
      <c r="AR455" s="2"/>
    </row>
    <row r="456" spans="5:44" ht="14.45" customHeight="1" x14ac:dyDescent="0.25">
      <c r="E456" s="2"/>
      <c r="F456" s="125"/>
      <c r="G456" s="2"/>
      <c r="H456" s="2" t="s">
        <v>20</v>
      </c>
      <c r="I456" s="2"/>
      <c r="J456" s="2"/>
      <c r="K456" s="2"/>
      <c r="L456" s="2"/>
      <c r="M456" s="2"/>
      <c r="N456" s="2"/>
      <c r="O456" s="3"/>
      <c r="P456" s="2"/>
      <c r="Q456" s="2"/>
      <c r="R456" s="2"/>
      <c r="S456" s="2"/>
      <c r="T456" s="2"/>
      <c r="U456" s="2"/>
      <c r="V456" s="2"/>
      <c r="W456" s="3"/>
      <c r="X456" s="2"/>
      <c r="Y456" s="2"/>
      <c r="Z456" s="2"/>
      <c r="AA456" s="2"/>
      <c r="AB456" s="2"/>
      <c r="AC456" s="2"/>
      <c r="AD456" s="2"/>
      <c r="AE456" s="3"/>
      <c r="AF456" s="2" t="s">
        <v>20</v>
      </c>
      <c r="AG456" s="2" t="s">
        <v>59</v>
      </c>
      <c r="AH456" s="32" t="s">
        <v>70</v>
      </c>
      <c r="AI456" s="2"/>
      <c r="AJ456" s="2" t="s">
        <v>59</v>
      </c>
      <c r="AK456" s="32" t="s">
        <v>70</v>
      </c>
      <c r="AL456" s="3"/>
      <c r="AM456" s="2"/>
      <c r="AN456" s="2"/>
      <c r="AO456" s="2"/>
      <c r="AP456" s="2"/>
      <c r="AQ456" s="2"/>
      <c r="AR456" s="2"/>
    </row>
    <row r="457" spans="5:44" ht="14.45" customHeight="1" x14ac:dyDescent="0.25">
      <c r="E457" s="2"/>
      <c r="F457" s="125"/>
      <c r="G457" s="2"/>
      <c r="H457" s="2" t="s">
        <v>24</v>
      </c>
      <c r="I457" s="2"/>
      <c r="J457" s="2"/>
      <c r="K457" s="2"/>
      <c r="L457" s="2"/>
      <c r="M457" s="2"/>
      <c r="N457" s="2"/>
      <c r="O457" s="3"/>
      <c r="P457" s="2"/>
      <c r="Q457" s="2"/>
      <c r="R457" s="2"/>
      <c r="S457" s="2"/>
      <c r="T457" s="2"/>
      <c r="U457" s="2"/>
      <c r="V457" s="2"/>
      <c r="W457" s="3"/>
      <c r="X457" s="2"/>
      <c r="Y457" s="2"/>
      <c r="Z457" s="2"/>
      <c r="AA457" s="2"/>
      <c r="AB457" s="2"/>
      <c r="AC457" s="2"/>
      <c r="AD457" s="2"/>
      <c r="AE457" s="3"/>
      <c r="AF457" s="2" t="s">
        <v>24</v>
      </c>
      <c r="AG457" s="2" t="s">
        <v>61</v>
      </c>
      <c r="AH457" s="32" t="s">
        <v>70</v>
      </c>
      <c r="AI457" s="2"/>
      <c r="AJ457" s="2" t="s">
        <v>61</v>
      </c>
      <c r="AK457" s="32" t="s">
        <v>70</v>
      </c>
      <c r="AL457" s="3"/>
      <c r="AM457" s="2"/>
      <c r="AN457" s="2"/>
      <c r="AO457" s="2"/>
      <c r="AP457" s="2"/>
      <c r="AQ457" s="2"/>
      <c r="AR457" s="2"/>
    </row>
    <row r="458" spans="5:44" ht="14.45" customHeight="1" x14ac:dyDescent="0.25">
      <c r="E458" s="2"/>
      <c r="F458" s="125"/>
      <c r="G458" s="2"/>
      <c r="H458" s="2" t="s">
        <v>28</v>
      </c>
      <c r="I458" s="2"/>
      <c r="J458" s="2"/>
      <c r="K458" s="2"/>
      <c r="L458" s="2"/>
      <c r="M458" s="2"/>
      <c r="N458" s="2"/>
      <c r="O458" s="3"/>
      <c r="P458" s="2"/>
      <c r="Q458" s="2"/>
      <c r="R458" s="2"/>
      <c r="S458" s="2"/>
      <c r="T458" s="2"/>
      <c r="U458" s="2"/>
      <c r="V458" s="2"/>
      <c r="W458" s="3"/>
      <c r="X458" s="2"/>
      <c r="Y458" s="2"/>
      <c r="Z458" s="2"/>
      <c r="AA458" s="2"/>
      <c r="AB458" s="2"/>
      <c r="AC458" s="2"/>
      <c r="AD458" s="2"/>
      <c r="AE458" s="3"/>
      <c r="AF458" s="2" t="s">
        <v>28</v>
      </c>
      <c r="AG458" s="2" t="s">
        <v>61</v>
      </c>
      <c r="AH458" s="32" t="s">
        <v>70</v>
      </c>
      <c r="AI458" s="2"/>
      <c r="AJ458" s="2" t="s">
        <v>61</v>
      </c>
      <c r="AK458" s="32" t="s">
        <v>70</v>
      </c>
      <c r="AL458" s="3"/>
      <c r="AM458" s="2"/>
      <c r="AN458" s="2"/>
      <c r="AO458" s="2"/>
      <c r="AP458" s="2"/>
      <c r="AQ458" s="2"/>
      <c r="AR458" s="2"/>
    </row>
    <row r="459" spans="5:44" ht="14.45" customHeight="1" x14ac:dyDescent="0.25">
      <c r="E459" s="2"/>
      <c r="F459" s="125"/>
      <c r="G459" s="2"/>
      <c r="H459" s="2" t="s">
        <v>32</v>
      </c>
      <c r="I459" s="2"/>
      <c r="J459" s="2"/>
      <c r="K459" s="2"/>
      <c r="L459" s="2"/>
      <c r="M459" s="2"/>
      <c r="N459" s="2"/>
      <c r="O459" s="3"/>
      <c r="P459" s="2"/>
      <c r="Q459" s="2"/>
      <c r="R459" s="2"/>
      <c r="S459" s="2"/>
      <c r="T459" s="2"/>
      <c r="U459" s="2"/>
      <c r="V459" s="2"/>
      <c r="W459" s="3"/>
      <c r="X459" s="2"/>
      <c r="Y459" s="2"/>
      <c r="Z459" s="2"/>
      <c r="AA459" s="2"/>
      <c r="AB459" s="2"/>
      <c r="AC459" s="2"/>
      <c r="AD459" s="2"/>
      <c r="AE459" s="3"/>
      <c r="AF459" s="2" t="s">
        <v>32</v>
      </c>
      <c r="AG459" s="2" t="s">
        <v>61</v>
      </c>
      <c r="AH459" s="32" t="s">
        <v>70</v>
      </c>
      <c r="AI459" s="2"/>
      <c r="AJ459" s="2" t="s">
        <v>61</v>
      </c>
      <c r="AK459" s="32" t="s">
        <v>70</v>
      </c>
      <c r="AL459" s="3"/>
      <c r="AM459" s="2"/>
      <c r="AN459" s="2"/>
      <c r="AO459" s="2"/>
      <c r="AP459" s="2"/>
      <c r="AQ459" s="2"/>
      <c r="AR459" s="2"/>
    </row>
    <row r="460" spans="5:44" ht="14.45" customHeight="1" x14ac:dyDescent="0.25">
      <c r="E460" s="2"/>
      <c r="F460" s="125"/>
      <c r="G460" s="2"/>
      <c r="H460" s="2"/>
      <c r="I460" s="2"/>
      <c r="J460" s="2"/>
      <c r="K460" s="2"/>
      <c r="L460" s="2"/>
      <c r="M460" s="2"/>
      <c r="N460" s="2"/>
      <c r="O460" s="3"/>
      <c r="P460" s="2"/>
      <c r="Q460" s="2"/>
      <c r="R460" s="2"/>
      <c r="S460" s="2"/>
      <c r="T460" s="2"/>
      <c r="U460" s="2"/>
      <c r="V460" s="2"/>
      <c r="W460" s="3"/>
      <c r="X460" s="2"/>
      <c r="Y460" s="2"/>
      <c r="Z460" s="2"/>
      <c r="AA460" s="2"/>
      <c r="AB460" s="2"/>
      <c r="AC460" s="2"/>
      <c r="AD460" s="2"/>
      <c r="AE460" s="3"/>
      <c r="AF460" s="2"/>
      <c r="AG460" s="2"/>
      <c r="AH460" s="2"/>
      <c r="AI460" s="2"/>
      <c r="AJ460" s="2"/>
      <c r="AK460" s="2"/>
      <c r="AL460" s="3"/>
      <c r="AM460" s="2"/>
      <c r="AN460" s="2"/>
      <c r="AO460" s="2"/>
      <c r="AP460" s="2"/>
      <c r="AQ460" s="2"/>
      <c r="AR460" s="2"/>
    </row>
    <row r="461" spans="5:44" ht="14.45" customHeight="1" x14ac:dyDescent="0.25">
      <c r="E461" s="2"/>
      <c r="F461" s="125"/>
      <c r="G461" s="2"/>
      <c r="H461" s="2"/>
      <c r="I461" s="2"/>
      <c r="J461" s="2"/>
      <c r="K461" s="2"/>
      <c r="L461" s="2"/>
      <c r="M461" s="2"/>
      <c r="N461" s="2"/>
      <c r="O461" s="3"/>
      <c r="P461" s="2"/>
      <c r="Q461" s="2"/>
      <c r="R461" s="2"/>
      <c r="S461" s="2"/>
      <c r="T461" s="2"/>
      <c r="U461" s="2"/>
      <c r="V461" s="2"/>
      <c r="W461" s="3"/>
      <c r="X461" s="2"/>
      <c r="Y461" s="25">
        <v>1823</v>
      </c>
      <c r="Z461" s="25"/>
      <c r="AA461" s="25"/>
      <c r="AB461" s="25" t="s">
        <v>63</v>
      </c>
      <c r="AC461" s="3"/>
      <c r="AD461" s="2"/>
      <c r="AE461" s="3"/>
      <c r="AF461" s="2"/>
      <c r="AG461" s="36">
        <v>1878</v>
      </c>
      <c r="AH461" s="36"/>
      <c r="AI461" s="36"/>
      <c r="AJ461" s="36" t="s">
        <v>63</v>
      </c>
      <c r="AK461" s="37"/>
      <c r="AL461" s="3"/>
      <c r="AM461" s="2"/>
      <c r="AN461" s="2"/>
      <c r="AO461" s="2"/>
      <c r="AP461" s="2"/>
      <c r="AQ461" s="2"/>
      <c r="AR461" s="2"/>
    </row>
    <row r="462" spans="5:44" ht="14.45" customHeight="1" x14ac:dyDescent="0.25">
      <c r="E462" s="2"/>
      <c r="F462" s="125"/>
      <c r="G462" s="2"/>
      <c r="H462" s="2"/>
      <c r="I462" s="2"/>
      <c r="J462" s="2"/>
      <c r="K462" s="2"/>
      <c r="L462" s="2"/>
      <c r="M462" s="2"/>
      <c r="N462" s="2"/>
      <c r="O462" s="3"/>
      <c r="P462" s="2"/>
      <c r="Q462" s="2"/>
      <c r="R462" s="2"/>
      <c r="S462" s="2"/>
      <c r="T462" s="2"/>
      <c r="U462" s="2"/>
      <c r="V462" s="2"/>
      <c r="W462" s="3"/>
      <c r="X462" s="2"/>
      <c r="Y462" s="26" t="s">
        <v>4</v>
      </c>
      <c r="Z462" s="26"/>
      <c r="AA462" s="26"/>
      <c r="AB462" s="26" t="s">
        <v>5</v>
      </c>
      <c r="AC462" s="26"/>
      <c r="AD462" s="26"/>
      <c r="AE462" s="3"/>
      <c r="AF462" s="2"/>
      <c r="AG462" s="26" t="s">
        <v>4</v>
      </c>
      <c r="AH462" s="26"/>
      <c r="AI462" s="26"/>
      <c r="AJ462" s="26" t="s">
        <v>5</v>
      </c>
      <c r="AK462" s="26"/>
      <c r="AL462" s="3"/>
      <c r="AM462" s="2"/>
      <c r="AN462" s="2"/>
      <c r="AO462" s="2"/>
      <c r="AP462" s="2"/>
      <c r="AQ462" s="2"/>
      <c r="AR462" s="2"/>
    </row>
    <row r="463" spans="5:44" ht="14.45" customHeight="1" x14ac:dyDescent="0.25">
      <c r="E463" s="2"/>
      <c r="F463" s="125"/>
      <c r="G463" s="2"/>
      <c r="H463" s="2"/>
      <c r="I463" s="2"/>
      <c r="J463" s="2"/>
      <c r="K463" s="2"/>
      <c r="L463" s="2"/>
      <c r="M463" s="2"/>
      <c r="N463" s="2"/>
      <c r="O463" s="3"/>
      <c r="P463" s="2"/>
      <c r="Q463" s="2"/>
      <c r="R463" s="2"/>
      <c r="S463" s="2"/>
      <c r="T463" s="2"/>
      <c r="U463" s="2"/>
      <c r="V463" s="2"/>
      <c r="W463" s="3"/>
      <c r="X463" s="2"/>
      <c r="Y463" s="27">
        <v>1823</v>
      </c>
      <c r="Z463" s="27" t="s">
        <v>7</v>
      </c>
      <c r="AA463" s="29"/>
      <c r="AB463" s="27">
        <v>1823</v>
      </c>
      <c r="AC463" s="27" t="s">
        <v>7</v>
      </c>
      <c r="AD463" s="28"/>
      <c r="AE463" s="3"/>
      <c r="AF463" s="2"/>
      <c r="AG463" s="27">
        <v>1878</v>
      </c>
      <c r="AH463" s="27" t="s">
        <v>7</v>
      </c>
      <c r="AI463" s="29"/>
      <c r="AJ463" s="27">
        <v>1878</v>
      </c>
      <c r="AK463" s="27" t="s">
        <v>7</v>
      </c>
      <c r="AL463" s="3"/>
      <c r="AM463" s="2"/>
      <c r="AN463" s="2"/>
      <c r="AO463" s="2"/>
      <c r="AP463" s="2"/>
      <c r="AQ463" s="2"/>
      <c r="AR463" s="2"/>
    </row>
    <row r="464" spans="5:44" ht="14.45" customHeight="1" x14ac:dyDescent="0.25">
      <c r="E464" s="2"/>
      <c r="F464" s="125"/>
      <c r="G464" s="2"/>
      <c r="H464" s="2" t="s">
        <v>12</v>
      </c>
      <c r="I464" s="2"/>
      <c r="J464" s="2"/>
      <c r="K464" s="2"/>
      <c r="L464" s="2"/>
      <c r="M464" s="2"/>
      <c r="N464" s="2"/>
      <c r="O464" s="3"/>
      <c r="P464" s="2"/>
      <c r="Q464" s="2"/>
      <c r="R464" s="2"/>
      <c r="S464" s="2"/>
      <c r="T464" s="2"/>
      <c r="U464" s="2"/>
      <c r="V464" s="2"/>
      <c r="W464" s="3"/>
      <c r="X464" s="2" t="s">
        <v>12</v>
      </c>
      <c r="Y464" s="34" t="s">
        <v>86</v>
      </c>
      <c r="Z464" s="32" t="s">
        <v>70</v>
      </c>
      <c r="AA464" s="2"/>
      <c r="AB464" s="34" t="s">
        <v>86</v>
      </c>
      <c r="AC464" s="32" t="s">
        <v>70</v>
      </c>
      <c r="AD464" s="2"/>
      <c r="AE464" s="3"/>
      <c r="AF464" s="2" t="s">
        <v>12</v>
      </c>
      <c r="AG464" t="s">
        <v>50</v>
      </c>
      <c r="AH464" s="32" t="s">
        <v>70</v>
      </c>
      <c r="AI464" s="2"/>
      <c r="AJ464" t="s">
        <v>50</v>
      </c>
      <c r="AK464" s="32" t="s">
        <v>70</v>
      </c>
      <c r="AL464" s="3"/>
      <c r="AM464" s="2"/>
      <c r="AN464" s="2"/>
      <c r="AO464" s="2"/>
      <c r="AP464" s="2"/>
      <c r="AQ464" s="2"/>
      <c r="AR464" s="2"/>
    </row>
    <row r="465" spans="5:44" ht="14.45" customHeight="1" x14ac:dyDescent="0.25">
      <c r="E465" s="2"/>
      <c r="F465" s="125"/>
      <c r="G465" s="2"/>
      <c r="H465" s="2" t="s">
        <v>20</v>
      </c>
      <c r="I465" s="2"/>
      <c r="J465" s="2"/>
      <c r="K465" s="2"/>
      <c r="L465" s="2"/>
      <c r="M465" s="2"/>
      <c r="N465" s="2"/>
      <c r="O465" s="3"/>
      <c r="P465" s="2"/>
      <c r="Q465" s="2"/>
      <c r="R465" s="2"/>
      <c r="S465" s="2"/>
      <c r="T465" s="2"/>
      <c r="U465" s="2"/>
      <c r="V465" s="2"/>
      <c r="W465" s="3"/>
      <c r="X465" s="2" t="s">
        <v>20</v>
      </c>
      <c r="Y465" s="34" t="s">
        <v>86</v>
      </c>
      <c r="Z465" s="32" t="s">
        <v>70</v>
      </c>
      <c r="AA465" s="2"/>
      <c r="AB465" s="34" t="s">
        <v>86</v>
      </c>
      <c r="AC465" s="32" t="s">
        <v>70</v>
      </c>
      <c r="AD465" s="2"/>
      <c r="AE465" s="3"/>
      <c r="AF465" s="2" t="s">
        <v>20</v>
      </c>
      <c r="AG465" t="s">
        <v>50</v>
      </c>
      <c r="AH465" s="32" t="s">
        <v>70</v>
      </c>
      <c r="AI465" s="2"/>
      <c r="AJ465" t="s">
        <v>50</v>
      </c>
      <c r="AK465" s="32" t="s">
        <v>70</v>
      </c>
      <c r="AL465" s="3"/>
      <c r="AM465" s="2"/>
      <c r="AN465" s="2"/>
      <c r="AO465" s="2"/>
      <c r="AP465" s="2"/>
      <c r="AQ465" s="2"/>
      <c r="AR465" s="2"/>
    </row>
    <row r="466" spans="5:44" ht="14.45" customHeight="1" x14ac:dyDescent="0.25">
      <c r="E466" s="2"/>
      <c r="F466" s="125"/>
      <c r="G466" s="2"/>
      <c r="H466" s="2" t="s">
        <v>24</v>
      </c>
      <c r="I466" s="2"/>
      <c r="J466" s="2"/>
      <c r="K466" s="2"/>
      <c r="L466" s="2"/>
      <c r="M466" s="2"/>
      <c r="N466" s="2"/>
      <c r="O466" s="3"/>
      <c r="P466" s="2"/>
      <c r="Q466" s="2"/>
      <c r="R466" s="2"/>
      <c r="S466" s="2"/>
      <c r="T466" s="2"/>
      <c r="U466" s="2"/>
      <c r="V466" s="2"/>
      <c r="W466" s="3"/>
      <c r="X466" s="2" t="s">
        <v>24</v>
      </c>
      <c r="Y466" s="34" t="s">
        <v>87</v>
      </c>
      <c r="Z466" s="32" t="s">
        <v>70</v>
      </c>
      <c r="AA466" s="2"/>
      <c r="AB466" s="34" t="s">
        <v>87</v>
      </c>
      <c r="AC466" s="32" t="s">
        <v>70</v>
      </c>
      <c r="AD466" s="2"/>
      <c r="AE466" s="3"/>
      <c r="AF466" s="2" t="s">
        <v>24</v>
      </c>
      <c r="AG466" t="s">
        <v>50</v>
      </c>
      <c r="AH466" s="32" t="s">
        <v>70</v>
      </c>
      <c r="AI466" s="2"/>
      <c r="AJ466" t="s">
        <v>50</v>
      </c>
      <c r="AK466" s="32" t="s">
        <v>70</v>
      </c>
      <c r="AL466" s="3"/>
      <c r="AM466" s="2"/>
      <c r="AN466" s="2"/>
      <c r="AO466" s="2"/>
      <c r="AP466" s="2"/>
      <c r="AQ466" s="2"/>
      <c r="AR466" s="2"/>
    </row>
    <row r="467" spans="5:44" ht="14.45" customHeight="1" x14ac:dyDescent="0.25">
      <c r="E467" s="2"/>
      <c r="F467" s="125"/>
      <c r="G467" s="2"/>
      <c r="H467" s="2" t="s">
        <v>28</v>
      </c>
      <c r="I467" s="2"/>
      <c r="J467" s="2"/>
      <c r="K467" s="2"/>
      <c r="L467" s="2"/>
      <c r="M467" s="2"/>
      <c r="N467" s="2"/>
      <c r="O467" s="3"/>
      <c r="P467" s="2"/>
      <c r="Q467" s="2"/>
      <c r="R467" s="2"/>
      <c r="S467" s="2"/>
      <c r="T467" s="2"/>
      <c r="U467" s="2"/>
      <c r="V467" s="2"/>
      <c r="W467" s="3"/>
      <c r="X467" s="2" t="s">
        <v>28</v>
      </c>
      <c r="Y467" s="34" t="s">
        <v>87</v>
      </c>
      <c r="Z467" s="32" t="s">
        <v>70</v>
      </c>
      <c r="AA467" s="2"/>
      <c r="AB467" s="34" t="s">
        <v>87</v>
      </c>
      <c r="AC467" s="32" t="s">
        <v>70</v>
      </c>
      <c r="AD467" s="2"/>
      <c r="AE467" s="3"/>
      <c r="AF467" s="2" t="s">
        <v>28</v>
      </c>
      <c r="AG467" t="s">
        <v>50</v>
      </c>
      <c r="AH467" s="32" t="s">
        <v>70</v>
      </c>
      <c r="AI467" s="2"/>
      <c r="AJ467" t="s">
        <v>50</v>
      </c>
      <c r="AK467" s="32" t="s">
        <v>70</v>
      </c>
      <c r="AL467" s="3"/>
      <c r="AM467" s="2"/>
      <c r="AN467" s="2"/>
      <c r="AO467" s="2"/>
      <c r="AP467" s="2"/>
      <c r="AQ467" s="2"/>
      <c r="AR467" s="2"/>
    </row>
    <row r="468" spans="5:44" ht="14.45" customHeight="1" x14ac:dyDescent="0.25">
      <c r="E468" s="2"/>
      <c r="F468" s="125"/>
      <c r="G468" s="2"/>
      <c r="H468" s="2" t="s">
        <v>32</v>
      </c>
      <c r="I468" s="2"/>
      <c r="J468" s="2"/>
      <c r="K468" s="2"/>
      <c r="L468" s="2"/>
      <c r="M468" s="2"/>
      <c r="N468" s="2"/>
      <c r="O468" s="3"/>
      <c r="P468" s="2"/>
      <c r="Q468" s="2"/>
      <c r="R468" s="2"/>
      <c r="S468" s="2"/>
      <c r="T468" s="2"/>
      <c r="U468" s="2"/>
      <c r="V468" s="2"/>
      <c r="W468" s="3"/>
      <c r="X468" s="2" t="s">
        <v>32</v>
      </c>
      <c r="Y468" s="34" t="s">
        <v>87</v>
      </c>
      <c r="Z468" s="32" t="s">
        <v>70</v>
      </c>
      <c r="AA468" s="2"/>
      <c r="AB468" s="34" t="s">
        <v>87</v>
      </c>
      <c r="AC468" s="32" t="s">
        <v>70</v>
      </c>
      <c r="AD468" s="2"/>
      <c r="AE468" s="3"/>
      <c r="AF468" s="2" t="s">
        <v>32</v>
      </c>
      <c r="AG468" t="s">
        <v>50</v>
      </c>
      <c r="AH468" s="32" t="s">
        <v>70</v>
      </c>
      <c r="AI468" s="2"/>
      <c r="AJ468" t="s">
        <v>50</v>
      </c>
      <c r="AK468" s="32" t="s">
        <v>70</v>
      </c>
      <c r="AL468" s="3"/>
      <c r="AM468" s="2"/>
      <c r="AN468" s="2"/>
      <c r="AO468" s="2"/>
      <c r="AP468" s="2"/>
      <c r="AQ468" s="2"/>
      <c r="AR468" s="2"/>
    </row>
    <row r="469" spans="5:44" ht="14.45" customHeight="1" x14ac:dyDescent="0.25">
      <c r="E469" s="2"/>
      <c r="F469" s="125"/>
      <c r="G469" s="2"/>
      <c r="H469" s="2"/>
      <c r="I469" s="2"/>
      <c r="J469" s="2"/>
      <c r="K469" s="2"/>
      <c r="L469" s="2"/>
      <c r="M469" s="2"/>
      <c r="N469" s="2"/>
      <c r="O469" s="3"/>
      <c r="P469" s="2"/>
      <c r="Q469" s="2"/>
      <c r="R469" s="2"/>
      <c r="S469" s="2"/>
      <c r="T469" s="2"/>
      <c r="U469" s="2"/>
      <c r="V469" s="2"/>
      <c r="W469" s="3"/>
      <c r="X469" s="2"/>
      <c r="Y469" s="2"/>
      <c r="Z469" s="2"/>
      <c r="AA469" s="2"/>
      <c r="AB469" s="2"/>
      <c r="AC469" s="2"/>
      <c r="AD469" s="2"/>
      <c r="AE469" s="3"/>
      <c r="AF469" s="2"/>
      <c r="AG469" s="2"/>
      <c r="AH469" s="2"/>
      <c r="AI469" s="2"/>
      <c r="AJ469" s="2"/>
      <c r="AK469" s="2"/>
      <c r="AL469" s="3"/>
      <c r="AM469" s="2"/>
      <c r="AN469" s="2"/>
      <c r="AO469" s="2"/>
      <c r="AP469" s="2"/>
      <c r="AQ469" s="2"/>
      <c r="AR469" s="2"/>
    </row>
    <row r="470" spans="5:44" ht="14.45" customHeight="1" x14ac:dyDescent="0.25">
      <c r="E470" s="2"/>
      <c r="F470" s="125"/>
      <c r="G470" s="2"/>
      <c r="H470" s="2"/>
      <c r="I470" s="2"/>
      <c r="J470" s="2"/>
      <c r="K470" s="2"/>
      <c r="L470" s="2"/>
      <c r="M470" s="2"/>
      <c r="N470" s="2"/>
      <c r="O470" s="3"/>
      <c r="P470" s="2"/>
      <c r="Q470" s="2"/>
      <c r="R470" s="2"/>
      <c r="S470" s="2"/>
      <c r="T470" s="2"/>
      <c r="U470" s="2"/>
      <c r="V470" s="2"/>
      <c r="W470" s="3"/>
      <c r="X470" s="2"/>
      <c r="Y470" s="25" t="s">
        <v>88</v>
      </c>
      <c r="Z470" s="25"/>
      <c r="AA470" s="25"/>
      <c r="AB470" s="25" t="s">
        <v>89</v>
      </c>
      <c r="AC470" s="3"/>
      <c r="AD470" s="2"/>
      <c r="AE470" s="3"/>
      <c r="AF470" s="2"/>
      <c r="AG470" s="2"/>
      <c r="AH470" s="2"/>
      <c r="AI470" s="2"/>
      <c r="AJ470" s="2"/>
      <c r="AK470" s="2"/>
      <c r="AL470" s="3"/>
      <c r="AM470" s="2"/>
      <c r="AN470" s="2"/>
      <c r="AO470" s="2"/>
      <c r="AP470" s="2"/>
      <c r="AQ470" s="2"/>
      <c r="AR470" s="2"/>
    </row>
    <row r="471" spans="5:44" ht="14.45" customHeight="1" x14ac:dyDescent="0.25">
      <c r="E471" s="2"/>
      <c r="F471" s="125"/>
      <c r="G471" s="2"/>
      <c r="H471" s="2"/>
      <c r="I471" s="2"/>
      <c r="J471" s="2"/>
      <c r="K471" s="2"/>
      <c r="L471" s="2"/>
      <c r="M471" s="2"/>
      <c r="N471" s="2"/>
      <c r="O471" s="3"/>
      <c r="P471" s="2"/>
      <c r="Q471" s="2"/>
      <c r="R471" s="2"/>
      <c r="S471" s="2"/>
      <c r="T471" s="2"/>
      <c r="U471" s="2"/>
      <c r="V471" s="2"/>
      <c r="W471" s="3"/>
      <c r="X471" s="2"/>
      <c r="Y471" s="26" t="s">
        <v>4</v>
      </c>
      <c r="Z471" s="26"/>
      <c r="AA471" s="26"/>
      <c r="AB471" s="26" t="s">
        <v>5</v>
      </c>
      <c r="AC471" s="26"/>
      <c r="AD471" s="2"/>
      <c r="AE471" s="3"/>
      <c r="AF471" s="2"/>
      <c r="AG471" s="2"/>
      <c r="AH471" s="2"/>
      <c r="AI471" s="2"/>
      <c r="AJ471" s="2"/>
      <c r="AK471" s="2"/>
      <c r="AL471" s="3"/>
      <c r="AM471" s="2"/>
      <c r="AN471" s="2"/>
      <c r="AO471" s="2"/>
      <c r="AP471" s="2"/>
      <c r="AQ471" s="2"/>
      <c r="AR471" s="2"/>
    </row>
    <row r="472" spans="5:44" ht="14.45" customHeight="1" x14ac:dyDescent="0.25">
      <c r="E472" s="2"/>
      <c r="F472" s="125"/>
      <c r="G472" s="2"/>
      <c r="H472" s="2"/>
      <c r="I472" s="2"/>
      <c r="J472" s="2"/>
      <c r="K472" s="2"/>
      <c r="L472" s="2"/>
      <c r="M472" s="2"/>
      <c r="N472" s="2"/>
      <c r="O472" s="3"/>
      <c r="P472" s="2"/>
      <c r="Q472" s="2"/>
      <c r="R472" s="2"/>
      <c r="S472" s="2"/>
      <c r="T472" s="2"/>
      <c r="U472" s="2"/>
      <c r="V472" s="2"/>
      <c r="W472" s="3"/>
      <c r="X472" s="2"/>
      <c r="Y472" s="27" t="s">
        <v>90</v>
      </c>
      <c r="Z472" s="27" t="s">
        <v>7</v>
      </c>
      <c r="AA472" s="29"/>
      <c r="AB472" s="27" t="s">
        <v>90</v>
      </c>
      <c r="AC472" s="27" t="s">
        <v>7</v>
      </c>
      <c r="AD472" s="2"/>
      <c r="AE472" s="3"/>
      <c r="AF472" s="2"/>
      <c r="AG472" s="2"/>
      <c r="AH472" s="2"/>
      <c r="AI472" s="2"/>
      <c r="AJ472" s="2"/>
      <c r="AK472" s="2"/>
      <c r="AL472" s="3"/>
      <c r="AM472" s="2"/>
      <c r="AN472" s="2"/>
      <c r="AO472" s="2"/>
      <c r="AP472" s="2"/>
      <c r="AQ472" s="2"/>
      <c r="AR472" s="2"/>
    </row>
    <row r="473" spans="5:44" ht="14.45" customHeight="1" x14ac:dyDescent="0.25">
      <c r="E473" s="2"/>
      <c r="F473" s="125"/>
      <c r="G473" s="2"/>
      <c r="H473" s="2" t="s">
        <v>12</v>
      </c>
      <c r="I473" s="2"/>
      <c r="J473" s="2"/>
      <c r="K473" s="2"/>
      <c r="L473" s="2"/>
      <c r="M473" s="2"/>
      <c r="N473" s="2"/>
      <c r="O473" s="3"/>
      <c r="P473" s="2"/>
      <c r="Q473" s="2"/>
      <c r="R473" s="2"/>
      <c r="S473" s="2"/>
      <c r="T473" s="2"/>
      <c r="U473" s="2"/>
      <c r="V473" s="2"/>
      <c r="W473" s="3"/>
      <c r="X473" s="2" t="s">
        <v>12</v>
      </c>
      <c r="Y473" t="s">
        <v>19</v>
      </c>
      <c r="Z473" s="32" t="s">
        <v>79</v>
      </c>
      <c r="AA473" s="2"/>
      <c r="AB473" t="s">
        <v>19</v>
      </c>
      <c r="AC473" s="32" t="s">
        <v>79</v>
      </c>
      <c r="AD473" s="2"/>
      <c r="AE473" s="3"/>
      <c r="AF473" s="2"/>
      <c r="AG473" s="2"/>
      <c r="AH473" s="2"/>
      <c r="AI473" s="2"/>
      <c r="AJ473" s="2"/>
      <c r="AK473" s="2"/>
      <c r="AL473" s="3"/>
      <c r="AM473" s="2"/>
      <c r="AN473" s="2"/>
      <c r="AO473" s="2"/>
      <c r="AP473" s="2"/>
      <c r="AQ473" s="2"/>
      <c r="AR473" s="2"/>
    </row>
    <row r="474" spans="5:44" ht="14.45" customHeight="1" x14ac:dyDescent="0.25">
      <c r="E474" s="2"/>
      <c r="F474" s="125"/>
      <c r="G474" s="2"/>
      <c r="H474" s="2" t="s">
        <v>20</v>
      </c>
      <c r="I474" s="2"/>
      <c r="J474" s="2"/>
      <c r="K474" s="2"/>
      <c r="L474" s="2"/>
      <c r="M474" s="2"/>
      <c r="N474" s="2"/>
      <c r="O474" s="3"/>
      <c r="P474" s="2"/>
      <c r="Q474" s="2"/>
      <c r="R474" s="2"/>
      <c r="S474" s="2"/>
      <c r="T474" s="2"/>
      <c r="U474" s="2"/>
      <c r="V474" s="2"/>
      <c r="W474" s="3"/>
      <c r="X474" s="2" t="s">
        <v>20</v>
      </c>
      <c r="Y474" t="s">
        <v>66</v>
      </c>
      <c r="Z474" s="32" t="s">
        <v>79</v>
      </c>
      <c r="AA474" s="2"/>
      <c r="AB474" t="s">
        <v>66</v>
      </c>
      <c r="AC474" s="32" t="s">
        <v>79</v>
      </c>
      <c r="AD474" s="2"/>
      <c r="AE474" s="3"/>
      <c r="AF474" s="2"/>
      <c r="AG474" s="2"/>
      <c r="AH474" s="2"/>
      <c r="AI474" s="2"/>
      <c r="AJ474" s="2"/>
      <c r="AK474" s="2"/>
      <c r="AL474" s="3"/>
      <c r="AM474" s="2"/>
      <c r="AN474" s="2"/>
      <c r="AO474" s="2"/>
      <c r="AP474" s="2"/>
      <c r="AQ474" s="2"/>
      <c r="AR474" s="2"/>
    </row>
    <row r="475" spans="5:44" ht="14.45" customHeight="1" x14ac:dyDescent="0.25">
      <c r="E475" s="2"/>
      <c r="F475" s="125"/>
      <c r="G475" s="2"/>
      <c r="H475" s="2" t="s">
        <v>24</v>
      </c>
      <c r="I475" s="2"/>
      <c r="J475" s="2"/>
      <c r="K475" s="2"/>
      <c r="L475" s="2"/>
      <c r="M475" s="2"/>
      <c r="N475" s="2"/>
      <c r="O475" s="3"/>
      <c r="P475" s="2"/>
      <c r="Q475" s="2"/>
      <c r="R475" s="2"/>
      <c r="S475" s="2"/>
      <c r="T475" s="2"/>
      <c r="U475" s="2"/>
      <c r="V475" s="2"/>
      <c r="W475" s="3"/>
      <c r="X475" s="2" t="s">
        <v>24</v>
      </c>
      <c r="Y475" s="19" t="s">
        <v>44</v>
      </c>
      <c r="Z475" s="32" t="s">
        <v>70</v>
      </c>
      <c r="AA475" s="2"/>
      <c r="AB475" s="19" t="s">
        <v>44</v>
      </c>
      <c r="AC475" s="32" t="s">
        <v>70</v>
      </c>
      <c r="AD475" s="2"/>
      <c r="AE475" s="3"/>
      <c r="AF475" s="2"/>
      <c r="AG475" s="2"/>
      <c r="AH475" s="2"/>
      <c r="AI475" s="2"/>
      <c r="AJ475" s="2"/>
      <c r="AK475" s="2"/>
      <c r="AL475" s="3"/>
      <c r="AM475" s="2"/>
      <c r="AN475" s="2"/>
      <c r="AO475" s="2"/>
      <c r="AP475" s="2"/>
      <c r="AQ475" s="2"/>
      <c r="AR475" s="2"/>
    </row>
    <row r="476" spans="5:44" ht="14.45" customHeight="1" x14ac:dyDescent="0.25">
      <c r="E476" s="2"/>
      <c r="F476" s="125"/>
      <c r="G476" s="2"/>
      <c r="H476" s="2" t="s">
        <v>28</v>
      </c>
      <c r="I476" s="2"/>
      <c r="J476" s="2"/>
      <c r="K476" s="2"/>
      <c r="L476" s="2"/>
      <c r="M476" s="2"/>
      <c r="N476" s="2"/>
      <c r="O476" s="3"/>
      <c r="P476" s="2"/>
      <c r="Q476" s="2"/>
      <c r="R476" s="2"/>
      <c r="S476" s="2"/>
      <c r="T476" s="2"/>
      <c r="U476" s="2"/>
      <c r="V476" s="2"/>
      <c r="W476" s="3"/>
      <c r="X476" s="2" t="s">
        <v>28</v>
      </c>
      <c r="Y476" s="14" t="s">
        <v>34</v>
      </c>
      <c r="Z476" s="32" t="s">
        <v>70</v>
      </c>
      <c r="AA476" s="2"/>
      <c r="AB476" s="14" t="s">
        <v>34</v>
      </c>
      <c r="AC476" s="32" t="s">
        <v>70</v>
      </c>
      <c r="AD476" s="2"/>
      <c r="AE476" s="3"/>
      <c r="AF476" s="2"/>
      <c r="AG476" s="2"/>
      <c r="AH476" s="2"/>
      <c r="AI476" s="2"/>
      <c r="AJ476" s="2"/>
      <c r="AK476" s="2"/>
      <c r="AL476" s="3"/>
      <c r="AM476" s="2"/>
      <c r="AN476" s="2"/>
      <c r="AO476" s="2"/>
      <c r="AP476" s="2"/>
      <c r="AQ476" s="2"/>
      <c r="AR476" s="2"/>
    </row>
    <row r="477" spans="5:44" ht="14.45" customHeight="1" x14ac:dyDescent="0.25">
      <c r="E477" s="2"/>
      <c r="F477" s="125"/>
      <c r="G477" s="2"/>
      <c r="H477" s="2" t="s">
        <v>32</v>
      </c>
      <c r="I477" s="2"/>
      <c r="J477" s="2"/>
      <c r="K477" s="2"/>
      <c r="L477" s="2"/>
      <c r="M477" s="2"/>
      <c r="N477" s="2"/>
      <c r="O477" s="3"/>
      <c r="P477" s="2"/>
      <c r="Q477" s="2"/>
      <c r="R477" s="2"/>
      <c r="S477" s="2"/>
      <c r="T477" s="2"/>
      <c r="U477" s="2"/>
      <c r="V477" s="2"/>
      <c r="W477" s="3"/>
      <c r="X477" s="2" t="s">
        <v>32</v>
      </c>
      <c r="Y477" s="8" t="s">
        <v>36</v>
      </c>
      <c r="Z477" s="32" t="s">
        <v>91</v>
      </c>
      <c r="AA477" s="2"/>
      <c r="AB477" s="8" t="s">
        <v>36</v>
      </c>
      <c r="AC477" s="32" t="s">
        <v>91</v>
      </c>
      <c r="AD477" s="2"/>
      <c r="AE477" s="3"/>
      <c r="AF477" s="2"/>
      <c r="AG477" s="2"/>
      <c r="AH477" s="2"/>
      <c r="AI477" s="2"/>
      <c r="AJ477" s="2"/>
      <c r="AK477" s="2"/>
      <c r="AL477" s="3"/>
      <c r="AM477" s="2"/>
      <c r="AN477" s="2"/>
      <c r="AO477" s="2"/>
      <c r="AP477" s="2"/>
      <c r="AQ477" s="2"/>
      <c r="AR477" s="2"/>
    </row>
    <row r="478" spans="5:44" ht="14.45" customHeight="1" x14ac:dyDescent="0.25">
      <c r="E478" s="2"/>
      <c r="F478" s="125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</row>
    <row r="479" spans="5:44" ht="14.45" customHeight="1" x14ac:dyDescent="0.25">
      <c r="E479" s="2"/>
      <c r="F479" s="125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</row>
    <row r="480" spans="5:44" ht="14.45" customHeight="1" x14ac:dyDescent="0.25">
      <c r="E480" s="2"/>
      <c r="F480" s="125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</row>
    <row r="481" spans="5:44" x14ac:dyDescent="0.25"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3" spans="5:44" ht="14.85" customHeight="1" x14ac:dyDescent="0.25"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124"/>
      <c r="V483" s="124"/>
      <c r="W483" s="124"/>
      <c r="X483" s="124"/>
      <c r="Y483" s="124" t="s">
        <v>1</v>
      </c>
      <c r="Z483" s="124"/>
      <c r="AA483" s="124"/>
      <c r="AB483" s="124"/>
      <c r="AC483" s="124"/>
      <c r="AD483" s="26"/>
      <c r="AE483" s="3"/>
      <c r="AF483" s="2"/>
      <c r="AG483" s="36" t="s">
        <v>2</v>
      </c>
      <c r="AH483" s="36"/>
      <c r="AI483" s="36"/>
      <c r="AJ483" s="36" t="s">
        <v>3</v>
      </c>
      <c r="AK483" s="37"/>
      <c r="AL483" s="3"/>
      <c r="AM483" s="2"/>
      <c r="AN483" s="2"/>
      <c r="AO483" s="2"/>
      <c r="AP483" s="2"/>
      <c r="AQ483" s="2"/>
      <c r="AR483" s="2"/>
    </row>
    <row r="484" spans="5:44" ht="14.45" customHeight="1" x14ac:dyDescent="0.25">
      <c r="E484" s="2"/>
      <c r="F484" s="125" t="str">
        <f>"ww"&amp;IF(LEFT($F$1,2)+1&lt;10,"0"&amp;LEFT($F$1,2)+1,LEFT($F$1,2)+1)&amp;".3"</f>
        <v>ww17.3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6" t="s">
        <v>4</v>
      </c>
      <c r="Z484" s="26"/>
      <c r="AA484" s="26"/>
      <c r="AB484" s="26" t="s">
        <v>5</v>
      </c>
      <c r="AC484" s="26"/>
      <c r="AD484" s="26"/>
      <c r="AE484" s="3"/>
      <c r="AF484" s="2"/>
      <c r="AG484" s="26" t="s">
        <v>4</v>
      </c>
      <c r="AH484" s="26"/>
      <c r="AI484" s="26"/>
      <c r="AJ484" s="26" t="s">
        <v>5</v>
      </c>
      <c r="AK484" s="26"/>
      <c r="AL484" s="3"/>
      <c r="AM484" s="2"/>
      <c r="AN484" s="2"/>
      <c r="AO484" s="2"/>
      <c r="AP484" s="2"/>
      <c r="AQ484" s="2"/>
      <c r="AR484" s="2"/>
    </row>
    <row r="485" spans="5:44" ht="14.45" customHeight="1" x14ac:dyDescent="0.25">
      <c r="E485" s="2"/>
      <c r="F485" s="125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7" t="s">
        <v>6</v>
      </c>
      <c r="Z485" s="27" t="s">
        <v>7</v>
      </c>
      <c r="AA485" s="2"/>
      <c r="AB485" s="27" t="s">
        <v>6</v>
      </c>
      <c r="AC485" s="27" t="s">
        <v>7</v>
      </c>
      <c r="AD485" s="28"/>
      <c r="AE485" s="3"/>
      <c r="AF485" s="2"/>
      <c r="AG485" s="27" t="s">
        <v>2</v>
      </c>
      <c r="AH485" s="27" t="s">
        <v>7</v>
      </c>
      <c r="AI485" s="29"/>
      <c r="AJ485" s="27" t="s">
        <v>2</v>
      </c>
      <c r="AK485" s="27" t="s">
        <v>7</v>
      </c>
      <c r="AL485" s="3"/>
      <c r="AM485" s="2"/>
      <c r="AN485" s="6" t="s">
        <v>8</v>
      </c>
      <c r="AO485" s="6" t="s">
        <v>9</v>
      </c>
      <c r="AP485" s="7" t="s">
        <v>10</v>
      </c>
      <c r="AQ485" s="7" t="s">
        <v>11</v>
      </c>
      <c r="AR485" s="2"/>
    </row>
    <row r="486" spans="5:44" ht="14.45" customHeight="1" x14ac:dyDescent="0.25">
      <c r="E486" s="2"/>
      <c r="F486" s="125"/>
      <c r="G486" s="2"/>
      <c r="H486" s="2" t="s">
        <v>12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30" t="s">
        <v>13</v>
      </c>
      <c r="V486" s="30" t="s">
        <v>14</v>
      </c>
      <c r="W486" s="30"/>
      <c r="X486" s="31"/>
      <c r="Z486" t="s">
        <v>15</v>
      </c>
      <c r="AA486" s="2"/>
      <c r="AC486" t="s">
        <v>15</v>
      </c>
      <c r="AD486" s="2"/>
      <c r="AE486" s="3"/>
      <c r="AF486" s="2" t="s">
        <v>12</v>
      </c>
      <c r="AG486" s="70" t="s">
        <v>16</v>
      </c>
      <c r="AH486" s="32" t="s">
        <v>17</v>
      </c>
      <c r="AI486" s="2"/>
      <c r="AJ486" s="70" t="s">
        <v>16</v>
      </c>
      <c r="AK486" s="32" t="s">
        <v>17</v>
      </c>
      <c r="AL486" s="3"/>
      <c r="AM486" s="2"/>
      <c r="AN486" s="9" t="s">
        <v>18</v>
      </c>
      <c r="AO486" s="9" t="s">
        <v>19</v>
      </c>
      <c r="AP486" s="5">
        <f>(COUNTIF($I$483:$I$577,"=*"&amp;AO486&amp;"*")+COUNTIF($Q$483:$Q$577,"=*"&amp;AO486&amp;"*")+COUNTIF($AG$483:$AG$577,"=*"&amp;AO486&amp;"*")+COUNTIF($Y$483:$Y$577,"=*"&amp;AO486&amp;"*"))*2</f>
        <v>2</v>
      </c>
      <c r="AQ486" s="5">
        <f>(COUNTIF($I$483:$I$577,"=*"&amp;AO486&amp;"*")+COUNTIF($Q$483:$Q$577,"=*"&amp;AO486&amp;"*")+COUNTIF($AG$483:$AG$577,"=*"&amp;AO486&amp;"*")+COUNTIF($Y$483:$Y$577,"=*"&amp;AO486&amp;"*"))*2</f>
        <v>2</v>
      </c>
      <c r="AR486" s="2"/>
    </row>
    <row r="487" spans="5:44" ht="14.45" customHeight="1" x14ac:dyDescent="0.25">
      <c r="E487" s="2"/>
      <c r="F487" s="125"/>
      <c r="G487" s="2"/>
      <c r="H487" s="2" t="s">
        <v>20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30" t="s">
        <v>21</v>
      </c>
      <c r="V487" s="30" t="s">
        <v>14</v>
      </c>
      <c r="W487" s="30"/>
      <c r="X487" s="31"/>
      <c r="AA487" s="2"/>
      <c r="AD487" s="2"/>
      <c r="AE487" s="3"/>
      <c r="AF487" s="2" t="s">
        <v>20</v>
      </c>
      <c r="AG487" s="70" t="s">
        <v>16</v>
      </c>
      <c r="AH487" s="32" t="s">
        <v>17</v>
      </c>
      <c r="AI487" s="2"/>
      <c r="AJ487" s="70" t="s">
        <v>16</v>
      </c>
      <c r="AK487" s="32" t="s">
        <v>17</v>
      </c>
      <c r="AL487" s="3"/>
      <c r="AM487" s="2"/>
      <c r="AN487" s="10" t="s">
        <v>22</v>
      </c>
      <c r="AO487" s="10" t="s">
        <v>23</v>
      </c>
      <c r="AP487" s="5">
        <f t="shared" ref="AP487:AP513" si="17">(COUNTIF($I$483:$I$577,"=*"&amp;AO487&amp;"*")+COUNTIF($Q$483:$Q$577,"=*"&amp;AO487&amp;"*")+COUNTIF($AG$483:$AG$577,"=*"&amp;AO487&amp;"*")+COUNTIF($Y$483:$Y$577,"=*"&amp;AO487&amp;"*"))*2</f>
        <v>0</v>
      </c>
      <c r="AQ487" s="5">
        <f t="shared" ref="AQ487:AQ513" si="18">(COUNTIF($I$483:$I$577,"=*"&amp;AO487&amp;"*")+COUNTIF($Q$483:$Q$577,"=*"&amp;AO487&amp;"*")+COUNTIF($AG$483:$AG$577,"=*"&amp;AO487&amp;"*")+COUNTIF($Y$483:$Y$577,"=*"&amp;AO487&amp;"*"))*2</f>
        <v>0</v>
      </c>
      <c r="AR487" s="2"/>
    </row>
    <row r="488" spans="5:44" ht="14.45" customHeight="1" x14ac:dyDescent="0.25">
      <c r="E488" s="2"/>
      <c r="F488" s="125"/>
      <c r="G488" s="2"/>
      <c r="H488" s="2" t="s">
        <v>24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30" t="s">
        <v>25</v>
      </c>
      <c r="V488" s="30" t="s">
        <v>14</v>
      </c>
      <c r="W488" s="30"/>
      <c r="X488" s="31"/>
      <c r="Z488" t="s">
        <v>15</v>
      </c>
      <c r="AA488" s="2"/>
      <c r="AC488" t="s">
        <v>15</v>
      </c>
      <c r="AD488" s="2"/>
      <c r="AE488" s="3"/>
      <c r="AF488" s="2" t="s">
        <v>24</v>
      </c>
      <c r="AG488" s="70" t="s">
        <v>16</v>
      </c>
      <c r="AH488" s="32" t="s">
        <v>17</v>
      </c>
      <c r="AI488" s="2"/>
      <c r="AJ488" s="70" t="s">
        <v>16</v>
      </c>
      <c r="AK488" s="32" t="s">
        <v>17</v>
      </c>
      <c r="AL488" s="3"/>
      <c r="AM488" s="2"/>
      <c r="AN488" s="11" t="s">
        <v>26</v>
      </c>
      <c r="AO488" s="11" t="s">
        <v>27</v>
      </c>
      <c r="AP488" s="5">
        <f t="shared" si="17"/>
        <v>14</v>
      </c>
      <c r="AQ488" s="5">
        <f t="shared" si="18"/>
        <v>14</v>
      </c>
      <c r="AR488" s="2"/>
    </row>
    <row r="489" spans="5:44" ht="14.45" customHeight="1" x14ac:dyDescent="0.25">
      <c r="E489" s="2"/>
      <c r="F489" s="125"/>
      <c r="G489" s="2"/>
      <c r="H489" s="2" t="s">
        <v>28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30" t="s">
        <v>29</v>
      </c>
      <c r="V489" s="30" t="s">
        <v>14</v>
      </c>
      <c r="W489" s="30"/>
      <c r="X489" s="31"/>
      <c r="Z489" t="s">
        <v>15</v>
      </c>
      <c r="AA489" s="2"/>
      <c r="AC489" t="s">
        <v>15</v>
      </c>
      <c r="AD489" s="2"/>
      <c r="AE489" s="3"/>
      <c r="AF489" s="2" t="s">
        <v>28</v>
      </c>
      <c r="AG489" s="70" t="s">
        <v>16</v>
      </c>
      <c r="AH489" s="32" t="s">
        <v>17</v>
      </c>
      <c r="AI489" s="2"/>
      <c r="AJ489" s="70" t="s">
        <v>16</v>
      </c>
      <c r="AK489" s="32" t="s">
        <v>17</v>
      </c>
      <c r="AL489" s="3"/>
      <c r="AM489" s="2"/>
      <c r="AN489" s="12" t="s">
        <v>30</v>
      </c>
      <c r="AO489" s="12" t="s">
        <v>31</v>
      </c>
      <c r="AP489" s="5">
        <f t="shared" si="17"/>
        <v>6</v>
      </c>
      <c r="AQ489" s="5">
        <f t="shared" si="18"/>
        <v>6</v>
      </c>
      <c r="AR489" s="2"/>
    </row>
    <row r="490" spans="5:44" ht="14.45" customHeight="1" x14ac:dyDescent="0.25">
      <c r="E490" s="2"/>
      <c r="F490" s="125"/>
      <c r="G490" s="2"/>
      <c r="H490" s="2" t="s">
        <v>32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31"/>
      <c r="V490" s="31"/>
      <c r="W490" s="31"/>
      <c r="X490" s="31"/>
      <c r="AA490" s="2"/>
      <c r="AD490" s="2"/>
      <c r="AE490" s="3"/>
      <c r="AF490" s="2" t="s">
        <v>32</v>
      </c>
      <c r="AG490" s="70" t="s">
        <v>16</v>
      </c>
      <c r="AH490" s="32" t="s">
        <v>17</v>
      </c>
      <c r="AI490" s="2"/>
      <c r="AJ490" s="70" t="s">
        <v>16</v>
      </c>
      <c r="AK490" s="32" t="s">
        <v>17</v>
      </c>
      <c r="AL490" s="3"/>
      <c r="AM490" s="2"/>
      <c r="AN490" s="14" t="s">
        <v>33</v>
      </c>
      <c r="AO490" s="14" t="s">
        <v>34</v>
      </c>
      <c r="AP490" s="5">
        <f t="shared" si="17"/>
        <v>2</v>
      </c>
      <c r="AQ490" s="5">
        <f t="shared" si="18"/>
        <v>2</v>
      </c>
      <c r="AR490" s="2"/>
    </row>
    <row r="491" spans="5:44" ht="14.45" customHeight="1" x14ac:dyDescent="0.25">
      <c r="E491" s="2"/>
      <c r="F491" s="125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3"/>
      <c r="AF491" s="2"/>
      <c r="AG491" s="2"/>
      <c r="AH491" s="2"/>
      <c r="AI491" s="2"/>
      <c r="AJ491" s="2"/>
      <c r="AK491" s="2"/>
      <c r="AL491" s="3"/>
      <c r="AM491" s="2"/>
      <c r="AN491" s="8" t="s">
        <v>35</v>
      </c>
      <c r="AO491" s="8" t="s">
        <v>36</v>
      </c>
      <c r="AP491" s="5">
        <f t="shared" si="17"/>
        <v>2</v>
      </c>
      <c r="AQ491" s="5">
        <f t="shared" si="18"/>
        <v>2</v>
      </c>
      <c r="AR491" s="2"/>
    </row>
    <row r="492" spans="5:44" ht="14.45" customHeight="1" x14ac:dyDescent="0.25">
      <c r="E492" s="2"/>
      <c r="F492" s="125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36">
        <v>2117</v>
      </c>
      <c r="Z492" s="36"/>
      <c r="AA492" s="36"/>
      <c r="AB492" s="36" t="s">
        <v>3</v>
      </c>
      <c r="AC492" s="37"/>
      <c r="AD492" s="2"/>
      <c r="AE492" s="3"/>
      <c r="AF492" s="2"/>
      <c r="AG492" s="25">
        <v>2207</v>
      </c>
      <c r="AH492" s="25"/>
      <c r="AI492" s="25"/>
      <c r="AJ492" s="25" t="s">
        <v>3</v>
      </c>
      <c r="AK492" s="3"/>
      <c r="AL492" s="3"/>
      <c r="AM492" s="2"/>
      <c r="AN492" s="16" t="s">
        <v>37</v>
      </c>
      <c r="AO492" s="16" t="s">
        <v>38</v>
      </c>
      <c r="AP492" s="5">
        <f t="shared" si="17"/>
        <v>0</v>
      </c>
      <c r="AQ492" s="5">
        <f t="shared" si="18"/>
        <v>0</v>
      </c>
      <c r="AR492" s="2"/>
    </row>
    <row r="493" spans="5:44" ht="14.45" customHeight="1" x14ac:dyDescent="0.25">
      <c r="E493" s="2"/>
      <c r="F493" s="125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6" t="s">
        <v>4</v>
      </c>
      <c r="Z493" s="26"/>
      <c r="AA493" s="26"/>
      <c r="AB493" s="26" t="s">
        <v>5</v>
      </c>
      <c r="AC493" s="26"/>
      <c r="AD493" s="26"/>
      <c r="AE493" s="3"/>
      <c r="AF493" s="2"/>
      <c r="AG493" s="26" t="s">
        <v>4</v>
      </c>
      <c r="AH493" s="26"/>
      <c r="AI493" s="26"/>
      <c r="AJ493" s="26" t="s">
        <v>5</v>
      </c>
      <c r="AK493" s="26"/>
      <c r="AL493" s="3"/>
      <c r="AM493" s="2"/>
      <c r="AN493" s="17" t="s">
        <v>39</v>
      </c>
      <c r="AO493" s="17" t="s">
        <v>40</v>
      </c>
      <c r="AP493" s="5">
        <f t="shared" si="17"/>
        <v>0</v>
      </c>
      <c r="AQ493" s="5">
        <f t="shared" si="18"/>
        <v>0</v>
      </c>
      <c r="AR493" s="2"/>
    </row>
    <row r="494" spans="5:44" ht="14.45" customHeight="1" x14ac:dyDescent="0.25">
      <c r="E494" s="2"/>
      <c r="F494" s="125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33"/>
      <c r="R494" s="33"/>
      <c r="S494" s="33"/>
      <c r="T494" s="33"/>
      <c r="U494" s="2"/>
      <c r="V494" s="2"/>
      <c r="W494" s="2"/>
      <c r="X494" s="2"/>
      <c r="Y494" s="27">
        <v>2117</v>
      </c>
      <c r="Z494" s="27" t="s">
        <v>7</v>
      </c>
      <c r="AA494" s="2"/>
      <c r="AB494" s="27">
        <v>2117</v>
      </c>
      <c r="AC494" s="27" t="s">
        <v>7</v>
      </c>
      <c r="AD494" s="28"/>
      <c r="AE494" s="3"/>
      <c r="AF494" s="2"/>
      <c r="AG494" s="27">
        <v>2207</v>
      </c>
      <c r="AH494" s="27" t="s">
        <v>7</v>
      </c>
      <c r="AI494" s="29"/>
      <c r="AJ494" s="27">
        <v>2207</v>
      </c>
      <c r="AK494" s="27" t="s">
        <v>7</v>
      </c>
      <c r="AL494" s="3"/>
      <c r="AM494" s="2"/>
      <c r="AN494" s="18" t="s">
        <v>41</v>
      </c>
      <c r="AO494" s="18" t="s">
        <v>42</v>
      </c>
      <c r="AP494" s="5">
        <f t="shared" si="17"/>
        <v>0</v>
      </c>
      <c r="AQ494" s="5">
        <f t="shared" si="18"/>
        <v>0</v>
      </c>
      <c r="AR494" s="2"/>
    </row>
    <row r="495" spans="5:44" ht="14.45" customHeight="1" x14ac:dyDescent="0.25">
      <c r="E495" s="2"/>
      <c r="F495" s="125"/>
      <c r="G495" s="2"/>
      <c r="H495" s="2" t="s">
        <v>12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 t="s">
        <v>12</v>
      </c>
      <c r="Y495" s="70" t="s">
        <v>16</v>
      </c>
      <c r="Z495" s="32" t="s">
        <v>17</v>
      </c>
      <c r="AA495" s="2"/>
      <c r="AB495" s="70" t="s">
        <v>16</v>
      </c>
      <c r="AC495" s="32" t="s">
        <v>17</v>
      </c>
      <c r="AD495" s="2"/>
      <c r="AE495" s="3"/>
      <c r="AF495" s="2" t="s">
        <v>12</v>
      </c>
      <c r="AG495" s="70" t="s">
        <v>16</v>
      </c>
      <c r="AH495" s="32" t="s">
        <v>17</v>
      </c>
      <c r="AI495" s="2"/>
      <c r="AJ495" s="70" t="s">
        <v>16</v>
      </c>
      <c r="AK495" s="32" t="s">
        <v>17</v>
      </c>
      <c r="AL495" s="3"/>
      <c r="AM495" s="2"/>
      <c r="AN495" s="19" t="s">
        <v>43</v>
      </c>
      <c r="AO495" s="19" t="s">
        <v>44</v>
      </c>
      <c r="AP495" s="5">
        <f t="shared" si="17"/>
        <v>2</v>
      </c>
      <c r="AQ495" s="5">
        <f t="shared" si="18"/>
        <v>2</v>
      </c>
      <c r="AR495" s="2"/>
    </row>
    <row r="496" spans="5:44" ht="14.45" customHeight="1" x14ac:dyDescent="0.25">
      <c r="E496" s="2"/>
      <c r="F496" s="125"/>
      <c r="G496" s="2"/>
      <c r="H496" s="2" t="s">
        <v>20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 t="s">
        <v>20</v>
      </c>
      <c r="Y496" s="70" t="s">
        <v>16</v>
      </c>
      <c r="Z496" s="32" t="s">
        <v>17</v>
      </c>
      <c r="AA496" s="2"/>
      <c r="AB496" s="70" t="s">
        <v>16</v>
      </c>
      <c r="AC496" s="32" t="s">
        <v>17</v>
      </c>
      <c r="AD496" s="2"/>
      <c r="AE496" s="3"/>
      <c r="AF496" s="2" t="s">
        <v>20</v>
      </c>
      <c r="AG496" s="70" t="s">
        <v>16</v>
      </c>
      <c r="AH496" s="32" t="s">
        <v>17</v>
      </c>
      <c r="AI496" s="2"/>
      <c r="AJ496" s="70" t="s">
        <v>16</v>
      </c>
      <c r="AK496" s="32" t="s">
        <v>17</v>
      </c>
      <c r="AL496" s="3"/>
      <c r="AM496" s="2"/>
      <c r="AN496" s="20" t="s">
        <v>45</v>
      </c>
      <c r="AO496" s="20" t="s">
        <v>46</v>
      </c>
      <c r="AP496" s="5">
        <f t="shared" si="17"/>
        <v>0</v>
      </c>
      <c r="AQ496" s="5">
        <f t="shared" si="18"/>
        <v>0</v>
      </c>
      <c r="AR496" s="2"/>
    </row>
    <row r="497" spans="5:44" ht="14.45" customHeight="1" x14ac:dyDescent="0.25">
      <c r="E497" s="2"/>
      <c r="F497" s="125"/>
      <c r="G497" s="2"/>
      <c r="H497" s="2" t="s">
        <v>24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 t="s">
        <v>24</v>
      </c>
      <c r="Y497" s="70" t="s">
        <v>16</v>
      </c>
      <c r="Z497" s="32" t="s">
        <v>17</v>
      </c>
      <c r="AA497" s="2"/>
      <c r="AB497" s="70" t="s">
        <v>16</v>
      </c>
      <c r="AC497" s="32" t="s">
        <v>17</v>
      </c>
      <c r="AD497" s="2"/>
      <c r="AE497" s="3"/>
      <c r="AF497" s="2" t="s">
        <v>24</v>
      </c>
      <c r="AG497" s="70" t="s">
        <v>16</v>
      </c>
      <c r="AH497" s="32" t="s">
        <v>17</v>
      </c>
      <c r="AI497" s="2"/>
      <c r="AJ497" s="70" t="s">
        <v>16</v>
      </c>
      <c r="AK497" s="32" t="s">
        <v>17</v>
      </c>
      <c r="AL497" s="3"/>
      <c r="AM497" s="2"/>
      <c r="AN497" s="21" t="s">
        <v>47</v>
      </c>
      <c r="AO497" s="21" t="s">
        <v>48</v>
      </c>
      <c r="AP497" s="5">
        <f t="shared" si="17"/>
        <v>0</v>
      </c>
      <c r="AQ497" s="5">
        <f t="shared" si="18"/>
        <v>0</v>
      </c>
      <c r="AR497" s="2"/>
    </row>
    <row r="498" spans="5:44" ht="14.45" customHeight="1" x14ac:dyDescent="0.25">
      <c r="E498" s="2"/>
      <c r="F498" s="125"/>
      <c r="G498" s="2"/>
      <c r="H498" s="2" t="s">
        <v>28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 t="s">
        <v>28</v>
      </c>
      <c r="Y498" s="70" t="s">
        <v>16</v>
      </c>
      <c r="Z498" s="32" t="s">
        <v>17</v>
      </c>
      <c r="AA498" s="2"/>
      <c r="AB498" s="70" t="s">
        <v>16</v>
      </c>
      <c r="AC498" s="32" t="s">
        <v>17</v>
      </c>
      <c r="AD498" s="2"/>
      <c r="AE498" s="3"/>
      <c r="AF498" s="2" t="s">
        <v>28</v>
      </c>
      <c r="AG498" s="70" t="s">
        <v>16</v>
      </c>
      <c r="AH498" s="32" t="s">
        <v>17</v>
      </c>
      <c r="AI498" s="2"/>
      <c r="AJ498" s="70" t="s">
        <v>16</v>
      </c>
      <c r="AK498" s="32" t="s">
        <v>17</v>
      </c>
      <c r="AL498" s="3"/>
      <c r="AM498" s="2"/>
      <c r="AN498" s="13" t="s">
        <v>49</v>
      </c>
      <c r="AO498" s="13" t="s">
        <v>50</v>
      </c>
      <c r="AP498" s="5">
        <f t="shared" si="17"/>
        <v>20</v>
      </c>
      <c r="AQ498" s="5">
        <f t="shared" si="18"/>
        <v>20</v>
      </c>
      <c r="AR498" s="2"/>
    </row>
    <row r="499" spans="5:44" ht="14.45" customHeight="1" x14ac:dyDescent="0.25">
      <c r="E499" s="2"/>
      <c r="F499" s="125"/>
      <c r="G499" s="2"/>
      <c r="H499" s="2" t="s">
        <v>32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 t="s">
        <v>32</v>
      </c>
      <c r="Y499" s="70" t="s">
        <v>16</v>
      </c>
      <c r="Z499" s="32" t="s">
        <v>17</v>
      </c>
      <c r="AA499" s="2"/>
      <c r="AB499" s="70" t="s">
        <v>16</v>
      </c>
      <c r="AC499" s="32" t="s">
        <v>17</v>
      </c>
      <c r="AD499" s="2"/>
      <c r="AE499" s="3"/>
      <c r="AF499" s="2" t="s">
        <v>32</v>
      </c>
      <c r="AG499" s="70" t="s">
        <v>16</v>
      </c>
      <c r="AH499" s="32" t="s">
        <v>17</v>
      </c>
      <c r="AI499" s="2"/>
      <c r="AJ499" s="70" t="s">
        <v>16</v>
      </c>
      <c r="AK499" s="32" t="s">
        <v>17</v>
      </c>
      <c r="AL499" s="3"/>
      <c r="AM499" s="2"/>
      <c r="AN499" s="4" t="s">
        <v>51</v>
      </c>
      <c r="AO499" s="4" t="s">
        <v>52</v>
      </c>
      <c r="AP499" s="5">
        <f t="shared" si="17"/>
        <v>0</v>
      </c>
      <c r="AQ499" s="5">
        <f t="shared" si="18"/>
        <v>0</v>
      </c>
      <c r="AR499" s="2"/>
    </row>
    <row r="500" spans="5:44" ht="14.45" customHeight="1" x14ac:dyDescent="0.25">
      <c r="E500" s="2"/>
      <c r="F500" s="125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3"/>
      <c r="AF500" s="2"/>
      <c r="AG500" s="2"/>
      <c r="AH500" s="2"/>
      <c r="AI500" s="2"/>
      <c r="AJ500" s="2"/>
      <c r="AK500" s="2"/>
      <c r="AL500" s="3"/>
      <c r="AM500" s="2"/>
      <c r="AN500" s="22" t="s">
        <v>53</v>
      </c>
      <c r="AO500" s="22" t="s">
        <v>54</v>
      </c>
      <c r="AP500" s="5">
        <f t="shared" si="17"/>
        <v>0</v>
      </c>
      <c r="AQ500" s="5">
        <f t="shared" si="18"/>
        <v>0</v>
      </c>
      <c r="AR500" s="2"/>
    </row>
    <row r="501" spans="5:44" ht="14.45" customHeight="1" x14ac:dyDescent="0.25">
      <c r="E501" s="2"/>
      <c r="F501" s="125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36">
        <v>1701</v>
      </c>
      <c r="Z501" s="36"/>
      <c r="AA501" s="36"/>
      <c r="AB501" s="36" t="s">
        <v>3</v>
      </c>
      <c r="AC501" s="37"/>
      <c r="AD501" s="2"/>
      <c r="AE501" s="3"/>
      <c r="AF501" s="2"/>
      <c r="AG501" s="36">
        <v>1785</v>
      </c>
      <c r="AH501" s="36"/>
      <c r="AI501" s="36"/>
      <c r="AJ501" s="36" t="s">
        <v>3</v>
      </c>
      <c r="AK501" s="37"/>
      <c r="AL501" s="3"/>
      <c r="AM501" s="2"/>
      <c r="AN501" s="24" t="s">
        <v>55</v>
      </c>
      <c r="AO501" s="24" t="s">
        <v>56</v>
      </c>
      <c r="AP501" s="5">
        <f t="shared" si="17"/>
        <v>0</v>
      </c>
      <c r="AQ501" s="5">
        <f t="shared" si="18"/>
        <v>0</v>
      </c>
      <c r="AR501" s="2"/>
    </row>
    <row r="502" spans="5:44" ht="14.45" customHeight="1" x14ac:dyDescent="0.25">
      <c r="E502" s="2"/>
      <c r="F502" s="125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6" t="s">
        <v>4</v>
      </c>
      <c r="Z502" s="26"/>
      <c r="AA502" s="26"/>
      <c r="AB502" s="26" t="s">
        <v>5</v>
      </c>
      <c r="AC502" s="26"/>
      <c r="AD502" s="26"/>
      <c r="AE502" s="3"/>
      <c r="AF502" s="2"/>
      <c r="AG502" s="26" t="s">
        <v>4</v>
      </c>
      <c r="AH502" s="26"/>
      <c r="AI502" s="26"/>
      <c r="AJ502" s="26" t="s">
        <v>5</v>
      </c>
      <c r="AK502" s="26"/>
      <c r="AL502" s="3"/>
      <c r="AM502" s="2"/>
      <c r="AN502" s="35" t="s">
        <v>57</v>
      </c>
      <c r="AO502" s="35" t="s">
        <v>16</v>
      </c>
      <c r="AP502" s="5">
        <f t="shared" si="17"/>
        <v>50</v>
      </c>
      <c r="AQ502" s="5">
        <f t="shared" si="18"/>
        <v>50</v>
      </c>
      <c r="AR502" s="2"/>
    </row>
    <row r="503" spans="5:44" ht="14.45" customHeight="1" x14ac:dyDescent="0.25">
      <c r="E503" s="2"/>
      <c r="F503" s="125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7">
        <v>1701</v>
      </c>
      <c r="Z503" s="27" t="s">
        <v>7</v>
      </c>
      <c r="AA503" s="2"/>
      <c r="AB503" s="27">
        <v>1701</v>
      </c>
      <c r="AC503" s="27" t="s">
        <v>7</v>
      </c>
      <c r="AD503" s="28"/>
      <c r="AE503" s="3"/>
      <c r="AF503" s="2"/>
      <c r="AG503" s="27">
        <v>1785</v>
      </c>
      <c r="AH503" s="27" t="s">
        <v>7</v>
      </c>
      <c r="AI503" s="29"/>
      <c r="AJ503" s="27">
        <v>1785</v>
      </c>
      <c r="AK503" s="27" t="s">
        <v>7</v>
      </c>
      <c r="AL503" s="3"/>
      <c r="AM503" s="2"/>
      <c r="AN503" s="4" t="s">
        <v>58</v>
      </c>
      <c r="AO503" s="4" t="s">
        <v>59</v>
      </c>
      <c r="AP503" s="5">
        <f t="shared" si="17"/>
        <v>2</v>
      </c>
      <c r="AQ503" s="5">
        <f t="shared" si="18"/>
        <v>2</v>
      </c>
      <c r="AR503" s="2"/>
    </row>
    <row r="504" spans="5:44" ht="14.45" customHeight="1" x14ac:dyDescent="0.25">
      <c r="E504" s="2"/>
      <c r="F504" s="125"/>
      <c r="G504" s="2"/>
      <c r="H504" s="2" t="s">
        <v>12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 t="s">
        <v>12</v>
      </c>
      <c r="Y504" s="70" t="s">
        <v>16</v>
      </c>
      <c r="Z504" s="32" t="s">
        <v>17</v>
      </c>
      <c r="AA504" s="2"/>
      <c r="AB504" s="70" t="s">
        <v>16</v>
      </c>
      <c r="AC504" s="32" t="s">
        <v>17</v>
      </c>
      <c r="AD504" s="2"/>
      <c r="AE504" s="3"/>
      <c r="AF504" s="2" t="s">
        <v>12</v>
      </c>
      <c r="AG504" s="70" t="s">
        <v>16</v>
      </c>
      <c r="AH504" s="32" t="s">
        <v>17</v>
      </c>
      <c r="AI504" s="2"/>
      <c r="AJ504" s="70" t="s">
        <v>16</v>
      </c>
      <c r="AK504" s="32" t="s">
        <v>17</v>
      </c>
      <c r="AL504" s="3"/>
      <c r="AM504" s="2"/>
      <c r="AN504" s="4" t="s">
        <v>60</v>
      </c>
      <c r="AO504" s="4" t="s">
        <v>61</v>
      </c>
      <c r="AP504" s="5">
        <f t="shared" si="17"/>
        <v>6</v>
      </c>
      <c r="AQ504" s="5">
        <f t="shared" si="18"/>
        <v>6</v>
      </c>
      <c r="AR504" s="2"/>
    </row>
    <row r="505" spans="5:44" ht="14.45" customHeight="1" x14ac:dyDescent="0.25">
      <c r="E505" s="2"/>
      <c r="F505" s="125"/>
      <c r="G505" s="2"/>
      <c r="H505" s="2" t="s">
        <v>20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 t="s">
        <v>20</v>
      </c>
      <c r="Y505" s="70" t="s">
        <v>16</v>
      </c>
      <c r="Z505" s="32" t="s">
        <v>17</v>
      </c>
      <c r="AA505" s="2"/>
      <c r="AB505" s="70" t="s">
        <v>16</v>
      </c>
      <c r="AC505" s="32" t="s">
        <v>17</v>
      </c>
      <c r="AD505" s="2"/>
      <c r="AE505" s="3"/>
      <c r="AF505" s="2" t="s">
        <v>20</v>
      </c>
      <c r="AG505" s="70" t="s">
        <v>16</v>
      </c>
      <c r="AH505" s="32" t="s">
        <v>17</v>
      </c>
      <c r="AI505" s="2"/>
      <c r="AJ505" s="70" t="s">
        <v>16</v>
      </c>
      <c r="AK505" s="32" t="s">
        <v>17</v>
      </c>
      <c r="AL505" s="3"/>
      <c r="AM505" s="2"/>
      <c r="AN505" s="4" t="s">
        <v>62</v>
      </c>
      <c r="AO505" s="4" t="s">
        <v>62</v>
      </c>
      <c r="AP505" s="5">
        <f t="shared" si="17"/>
        <v>0</v>
      </c>
      <c r="AQ505" s="5">
        <f t="shared" si="18"/>
        <v>0</v>
      </c>
      <c r="AR505" s="2"/>
    </row>
    <row r="506" spans="5:44" ht="14.45" customHeight="1" x14ac:dyDescent="0.25">
      <c r="E506" s="2"/>
      <c r="F506" s="125"/>
      <c r="G506" s="2"/>
      <c r="H506" s="2" t="s">
        <v>24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 t="s">
        <v>24</v>
      </c>
      <c r="Y506" s="70" t="s">
        <v>16</v>
      </c>
      <c r="Z506" s="32" t="s">
        <v>17</v>
      </c>
      <c r="AA506" s="2"/>
      <c r="AB506" s="70" t="s">
        <v>16</v>
      </c>
      <c r="AC506" s="32" t="s">
        <v>17</v>
      </c>
      <c r="AD506" s="2"/>
      <c r="AE506" s="3"/>
      <c r="AF506" s="2" t="s">
        <v>24</v>
      </c>
      <c r="AG506" s="70" t="s">
        <v>16</v>
      </c>
      <c r="AH506" s="32" t="s">
        <v>17</v>
      </c>
      <c r="AI506" s="2"/>
      <c r="AJ506" s="70" t="s">
        <v>16</v>
      </c>
      <c r="AK506" s="32" t="s">
        <v>17</v>
      </c>
      <c r="AL506" s="3"/>
      <c r="AM506" s="2"/>
      <c r="AN506" s="4" t="s">
        <v>62</v>
      </c>
      <c r="AO506" s="4" t="s">
        <v>62</v>
      </c>
      <c r="AP506" s="5">
        <f t="shared" si="17"/>
        <v>0</v>
      </c>
      <c r="AQ506" s="5">
        <f t="shared" si="18"/>
        <v>0</v>
      </c>
      <c r="AR506" s="2"/>
    </row>
    <row r="507" spans="5:44" ht="14.45" customHeight="1" x14ac:dyDescent="0.25">
      <c r="E507" s="2"/>
      <c r="F507" s="125"/>
      <c r="G507" s="2"/>
      <c r="H507" s="2" t="s">
        <v>28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 t="s">
        <v>28</v>
      </c>
      <c r="Y507" s="70" t="s">
        <v>16</v>
      </c>
      <c r="Z507" s="32" t="s">
        <v>17</v>
      </c>
      <c r="AA507" s="2"/>
      <c r="AB507" s="70" t="s">
        <v>16</v>
      </c>
      <c r="AC507" s="32" t="s">
        <v>17</v>
      </c>
      <c r="AD507" s="2"/>
      <c r="AE507" s="3"/>
      <c r="AF507" s="2" t="s">
        <v>28</v>
      </c>
      <c r="AG507" s="70" t="s">
        <v>16</v>
      </c>
      <c r="AH507" s="32" t="s">
        <v>17</v>
      </c>
      <c r="AI507" s="2"/>
      <c r="AJ507" s="70" t="s">
        <v>16</v>
      </c>
      <c r="AK507" s="32" t="s">
        <v>17</v>
      </c>
      <c r="AL507" s="3"/>
      <c r="AM507" s="2"/>
      <c r="AN507" s="4" t="s">
        <v>62</v>
      </c>
      <c r="AO507" s="4" t="s">
        <v>62</v>
      </c>
      <c r="AP507" s="5">
        <f t="shared" si="17"/>
        <v>0</v>
      </c>
      <c r="AQ507" s="5">
        <f t="shared" si="18"/>
        <v>0</v>
      </c>
      <c r="AR507" s="2"/>
    </row>
    <row r="508" spans="5:44" ht="14.45" customHeight="1" x14ac:dyDescent="0.25">
      <c r="E508" s="2"/>
      <c r="F508" s="125"/>
      <c r="G508" s="2"/>
      <c r="H508" s="2" t="s">
        <v>32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 t="s">
        <v>32</v>
      </c>
      <c r="Y508" s="70" t="s">
        <v>16</v>
      </c>
      <c r="Z508" s="32" t="s">
        <v>17</v>
      </c>
      <c r="AA508" s="2"/>
      <c r="AB508" s="70" t="s">
        <v>16</v>
      </c>
      <c r="AC508" s="32" t="s">
        <v>17</v>
      </c>
      <c r="AD508" s="2"/>
      <c r="AE508" s="3"/>
      <c r="AF508" s="2" t="s">
        <v>32</v>
      </c>
      <c r="AG508" s="70" t="s">
        <v>16</v>
      </c>
      <c r="AH508" s="32" t="s">
        <v>17</v>
      </c>
      <c r="AI508" s="2"/>
      <c r="AJ508" s="70" t="s">
        <v>16</v>
      </c>
      <c r="AK508" s="32" t="s">
        <v>17</v>
      </c>
      <c r="AL508" s="3"/>
      <c r="AM508" s="2"/>
      <c r="AN508" s="4" t="s">
        <v>62</v>
      </c>
      <c r="AO508" s="4" t="s">
        <v>62</v>
      </c>
      <c r="AP508" s="5">
        <f t="shared" si="17"/>
        <v>0</v>
      </c>
      <c r="AQ508" s="5">
        <f t="shared" si="18"/>
        <v>0</v>
      </c>
      <c r="AR508" s="2"/>
    </row>
    <row r="509" spans="5:44" ht="14.45" customHeight="1" x14ac:dyDescent="0.25">
      <c r="E509" s="2"/>
      <c r="F509" s="125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3"/>
      <c r="AF509" s="2"/>
      <c r="AG509" s="2"/>
      <c r="AH509" s="2"/>
      <c r="AI509" s="2"/>
      <c r="AJ509" s="2"/>
      <c r="AK509" s="2"/>
      <c r="AL509" s="3"/>
      <c r="AM509" s="2"/>
      <c r="AN509" s="4" t="s">
        <v>62</v>
      </c>
      <c r="AO509" s="4" t="s">
        <v>62</v>
      </c>
      <c r="AP509" s="5">
        <f t="shared" si="17"/>
        <v>0</v>
      </c>
      <c r="AQ509" s="5">
        <f t="shared" si="18"/>
        <v>0</v>
      </c>
      <c r="AR509" s="2"/>
    </row>
    <row r="510" spans="5:44" ht="14.45" customHeight="1" x14ac:dyDescent="0.25">
      <c r="E510" s="2"/>
      <c r="F510" s="125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36">
        <v>1439</v>
      </c>
      <c r="Z510" s="36"/>
      <c r="AA510" s="36"/>
      <c r="AB510" s="36" t="s">
        <v>63</v>
      </c>
      <c r="AC510" s="37"/>
      <c r="AD510" s="2"/>
      <c r="AE510" s="3"/>
      <c r="AF510" s="2"/>
      <c r="AG510" s="25">
        <v>1455</v>
      </c>
      <c r="AH510" s="25"/>
      <c r="AI510" s="25"/>
      <c r="AJ510" s="25" t="s">
        <v>63</v>
      </c>
      <c r="AK510" s="3"/>
      <c r="AL510" s="3"/>
      <c r="AM510" s="2"/>
      <c r="AN510" s="4" t="s">
        <v>62</v>
      </c>
      <c r="AO510" s="4" t="s">
        <v>62</v>
      </c>
      <c r="AP510" s="5">
        <f t="shared" si="17"/>
        <v>0</v>
      </c>
      <c r="AQ510" s="5">
        <f t="shared" si="18"/>
        <v>0</v>
      </c>
      <c r="AR510" s="2"/>
    </row>
    <row r="511" spans="5:44" ht="14.45" customHeight="1" x14ac:dyDescent="0.25">
      <c r="E511" s="2"/>
      <c r="F511" s="125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6" t="s">
        <v>4</v>
      </c>
      <c r="Z511" s="26"/>
      <c r="AA511" s="26"/>
      <c r="AB511" s="26" t="s">
        <v>5</v>
      </c>
      <c r="AC511" s="26"/>
      <c r="AD511" s="26"/>
      <c r="AE511" s="3"/>
      <c r="AF511" s="2"/>
      <c r="AG511" s="26" t="s">
        <v>4</v>
      </c>
      <c r="AH511" s="26"/>
      <c r="AI511" s="26"/>
      <c r="AJ511" s="26" t="s">
        <v>5</v>
      </c>
      <c r="AK511" s="26"/>
      <c r="AL511" s="3"/>
      <c r="AM511" s="2"/>
      <c r="AN511" s="4" t="s">
        <v>64</v>
      </c>
      <c r="AO511" s="4" t="s">
        <v>64</v>
      </c>
      <c r="AP511" s="5">
        <f t="shared" si="17"/>
        <v>8</v>
      </c>
      <c r="AQ511" s="5">
        <f t="shared" si="18"/>
        <v>8</v>
      </c>
      <c r="AR511" s="2"/>
    </row>
    <row r="512" spans="5:44" ht="14.45" customHeight="1" x14ac:dyDescent="0.25">
      <c r="E512" s="2"/>
      <c r="F512" s="125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7">
        <v>1439</v>
      </c>
      <c r="Z512" s="27" t="s">
        <v>7</v>
      </c>
      <c r="AA512" s="2"/>
      <c r="AB512" s="27">
        <v>1439</v>
      </c>
      <c r="AC512" s="27" t="s">
        <v>7</v>
      </c>
      <c r="AD512" s="28"/>
      <c r="AE512" s="3"/>
      <c r="AF512" s="2"/>
      <c r="AG512" s="27">
        <v>1455</v>
      </c>
      <c r="AH512" s="27" t="s">
        <v>7</v>
      </c>
      <c r="AI512" s="29"/>
      <c r="AJ512" s="27">
        <v>1455</v>
      </c>
      <c r="AK512" s="27" t="s">
        <v>7</v>
      </c>
      <c r="AL512" s="3"/>
      <c r="AM512" s="2"/>
      <c r="AN512" s="4" t="s">
        <v>65</v>
      </c>
      <c r="AO512" s="4" t="s">
        <v>66</v>
      </c>
      <c r="AP512" s="5">
        <f t="shared" si="17"/>
        <v>66</v>
      </c>
      <c r="AQ512" s="5">
        <f t="shared" si="18"/>
        <v>66</v>
      </c>
      <c r="AR512" s="2"/>
    </row>
    <row r="513" spans="5:44" ht="14.45" customHeight="1" x14ac:dyDescent="0.25">
      <c r="E513" s="2"/>
      <c r="F513" s="125"/>
      <c r="G513" s="2"/>
      <c r="H513" s="2" t="s">
        <v>12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 t="s">
        <v>12</v>
      </c>
      <c r="Y513" t="s">
        <v>66</v>
      </c>
      <c r="Z513" s="32" t="s">
        <v>67</v>
      </c>
      <c r="AA513" s="2"/>
      <c r="AB513" t="s">
        <v>66</v>
      </c>
      <c r="AC513" s="32" t="s">
        <v>67</v>
      </c>
      <c r="AD513" s="2"/>
      <c r="AE513" s="3"/>
      <c r="AF513" s="2" t="s">
        <v>12</v>
      </c>
      <c r="AG513" t="s">
        <v>66</v>
      </c>
      <c r="AH513" s="32" t="s">
        <v>67</v>
      </c>
      <c r="AI513" s="2"/>
      <c r="AJ513" t="s">
        <v>66</v>
      </c>
      <c r="AK513" s="32" t="s">
        <v>67</v>
      </c>
      <c r="AL513" s="3"/>
      <c r="AM513" s="2"/>
      <c r="AN513" s="4" t="s">
        <v>68</v>
      </c>
      <c r="AO513" s="4" t="s">
        <v>68</v>
      </c>
      <c r="AP513" s="5">
        <f t="shared" si="17"/>
        <v>0</v>
      </c>
      <c r="AQ513" s="5">
        <f t="shared" si="18"/>
        <v>0</v>
      </c>
      <c r="AR513" s="2"/>
    </row>
    <row r="514" spans="5:44" ht="14.45" customHeight="1" x14ac:dyDescent="0.25">
      <c r="E514" s="2"/>
      <c r="F514" s="125"/>
      <c r="G514" s="2"/>
      <c r="H514" s="2" t="s">
        <v>20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 t="s">
        <v>20</v>
      </c>
      <c r="Y514" t="s">
        <v>66</v>
      </c>
      <c r="Z514" s="32" t="s">
        <v>67</v>
      </c>
      <c r="AA514" s="2"/>
      <c r="AB514" t="s">
        <v>66</v>
      </c>
      <c r="AC514" s="32" t="s">
        <v>67</v>
      </c>
      <c r="AD514" s="2"/>
      <c r="AE514" s="3"/>
      <c r="AF514" s="2" t="s">
        <v>20</v>
      </c>
      <c r="AG514" t="s">
        <v>66</v>
      </c>
      <c r="AH514" s="32" t="s">
        <v>67</v>
      </c>
      <c r="AI514" s="2"/>
      <c r="AJ514" t="s">
        <v>66</v>
      </c>
      <c r="AK514" s="32" t="s">
        <v>67</v>
      </c>
      <c r="AL514" s="3"/>
      <c r="AM514" s="2"/>
      <c r="AN514" s="4"/>
      <c r="AO514" s="4" t="s">
        <v>69</v>
      </c>
      <c r="AP514" s="5">
        <f>+SUM(AP486:AP513)</f>
        <v>180</v>
      </c>
      <c r="AQ514" s="5">
        <f>+SUM(AQ486:AQ513)</f>
        <v>180</v>
      </c>
      <c r="AR514" s="2"/>
    </row>
    <row r="515" spans="5:44" ht="14.45" customHeight="1" x14ac:dyDescent="0.25">
      <c r="E515" s="2"/>
      <c r="F515" s="125"/>
      <c r="G515" s="2"/>
      <c r="H515" s="2" t="s">
        <v>24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 t="s">
        <v>24</v>
      </c>
      <c r="Y515" t="s">
        <v>66</v>
      </c>
      <c r="Z515" s="32" t="s">
        <v>67</v>
      </c>
      <c r="AA515" s="2"/>
      <c r="AB515" t="s">
        <v>66</v>
      </c>
      <c r="AC515" s="32" t="s">
        <v>67</v>
      </c>
      <c r="AD515" s="2"/>
      <c r="AE515" s="3"/>
      <c r="AF515" s="2" t="s">
        <v>24</v>
      </c>
      <c r="AG515" t="s">
        <v>66</v>
      </c>
      <c r="AH515" s="32" t="s">
        <v>67</v>
      </c>
      <c r="AI515" s="2"/>
      <c r="AJ515" t="s">
        <v>66</v>
      </c>
      <c r="AK515" s="32" t="s">
        <v>67</v>
      </c>
      <c r="AL515" s="3"/>
      <c r="AM515" s="2"/>
      <c r="AN515" s="2"/>
      <c r="AO515" s="2"/>
      <c r="AP515" s="2"/>
      <c r="AQ515" s="2"/>
      <c r="AR515" s="2"/>
    </row>
    <row r="516" spans="5:44" ht="14.45" customHeight="1" x14ac:dyDescent="0.25">
      <c r="E516" s="2"/>
      <c r="F516" s="125"/>
      <c r="G516" s="2"/>
      <c r="H516" s="2" t="s">
        <v>28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 t="s">
        <v>28</v>
      </c>
      <c r="Y516" t="s">
        <v>66</v>
      </c>
      <c r="Z516" s="32" t="s">
        <v>67</v>
      </c>
      <c r="AA516" s="2"/>
      <c r="AB516" t="s">
        <v>66</v>
      </c>
      <c r="AC516" s="32" t="s">
        <v>67</v>
      </c>
      <c r="AD516" s="2"/>
      <c r="AE516" s="3"/>
      <c r="AF516" s="2" t="s">
        <v>28</v>
      </c>
      <c r="AG516" t="s">
        <v>66</v>
      </c>
      <c r="AH516" s="32" t="s">
        <v>67</v>
      </c>
      <c r="AI516" s="2"/>
      <c r="AJ516" t="s">
        <v>66</v>
      </c>
      <c r="AK516" s="32" t="s">
        <v>67</v>
      </c>
      <c r="AL516" s="3"/>
      <c r="AM516" s="2"/>
      <c r="AN516" s="2"/>
      <c r="AO516" s="2"/>
      <c r="AP516" s="2"/>
      <c r="AQ516" s="2"/>
      <c r="AR516" s="2"/>
    </row>
    <row r="517" spans="5:44" ht="14.45" customHeight="1" x14ac:dyDescent="0.25">
      <c r="E517" s="2"/>
      <c r="F517" s="125"/>
      <c r="G517" s="2"/>
      <c r="H517" s="2" t="s">
        <v>32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 t="s">
        <v>32</v>
      </c>
      <c r="Y517" t="s">
        <v>66</v>
      </c>
      <c r="Z517" s="32" t="s">
        <v>67</v>
      </c>
      <c r="AA517" s="2"/>
      <c r="AB517" t="s">
        <v>66</v>
      </c>
      <c r="AC517" s="32" t="s">
        <v>67</v>
      </c>
      <c r="AD517" s="2"/>
      <c r="AE517" s="3"/>
      <c r="AF517" s="2" t="s">
        <v>32</v>
      </c>
      <c r="AG517" t="s">
        <v>66</v>
      </c>
      <c r="AH517" s="32" t="s">
        <v>67</v>
      </c>
      <c r="AI517" s="2"/>
      <c r="AJ517" t="s">
        <v>66</v>
      </c>
      <c r="AK517" s="32" t="s">
        <v>67</v>
      </c>
      <c r="AL517" s="3"/>
      <c r="AM517" s="2"/>
      <c r="AN517" s="2"/>
      <c r="AO517" s="2"/>
      <c r="AP517" s="2"/>
      <c r="AQ517" s="2"/>
      <c r="AR517" s="2"/>
    </row>
    <row r="518" spans="5:44" ht="14.45" customHeight="1" x14ac:dyDescent="0.25">
      <c r="E518" s="2"/>
      <c r="F518" s="125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3"/>
      <c r="AF518" s="2"/>
      <c r="AG518" s="2"/>
      <c r="AH518" s="2"/>
      <c r="AI518" s="2"/>
      <c r="AJ518" s="2"/>
      <c r="AK518" s="2"/>
      <c r="AL518" s="3"/>
      <c r="AM518" s="2"/>
      <c r="AN518" s="2"/>
      <c r="AO518" s="2"/>
      <c r="AP518" s="2"/>
      <c r="AQ518" s="2"/>
      <c r="AR518" s="2"/>
    </row>
    <row r="519" spans="5:44" ht="14.45" customHeight="1" x14ac:dyDescent="0.25">
      <c r="E519" s="2"/>
      <c r="F519" s="125"/>
      <c r="G519" s="2"/>
      <c r="H519" s="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2"/>
      <c r="AN519" s="2"/>
      <c r="AO519" s="2"/>
      <c r="AP519" s="2"/>
      <c r="AQ519" s="2"/>
      <c r="AR519" s="2"/>
    </row>
    <row r="520" spans="5:44" ht="14.45" customHeight="1" x14ac:dyDescent="0.25">
      <c r="E520" s="2"/>
      <c r="F520" s="125"/>
      <c r="G520" s="2"/>
      <c r="H520" s="2"/>
      <c r="I520" s="2"/>
      <c r="J520" s="2"/>
      <c r="K520" s="2"/>
      <c r="L520" s="2"/>
      <c r="M520" s="2"/>
      <c r="N520" s="2"/>
      <c r="O520" s="3"/>
      <c r="P520" s="2"/>
      <c r="Q520" s="2"/>
      <c r="R520" s="2"/>
      <c r="S520" s="2"/>
      <c r="T520" s="2"/>
      <c r="U520" s="2"/>
      <c r="V520" s="2"/>
      <c r="W520" s="3"/>
      <c r="X520" s="2"/>
      <c r="Y520" s="2"/>
      <c r="Z520" s="2"/>
      <c r="AA520" s="2"/>
      <c r="AB520" s="2"/>
      <c r="AC520" s="2"/>
      <c r="AD520" s="2"/>
      <c r="AE520" s="3"/>
      <c r="AF520" s="2"/>
      <c r="AG520" s="2"/>
      <c r="AH520" s="2"/>
      <c r="AI520" s="2"/>
      <c r="AJ520" s="2"/>
      <c r="AK520" s="2"/>
      <c r="AL520" s="3"/>
      <c r="AM520" s="2"/>
      <c r="AN520" s="2"/>
      <c r="AO520" s="2"/>
      <c r="AP520" s="2"/>
      <c r="AQ520" s="2"/>
      <c r="AR520" s="2"/>
    </row>
    <row r="521" spans="5:44" ht="14.45" customHeight="1" x14ac:dyDescent="0.25">
      <c r="E521" s="2"/>
      <c r="F521" s="125"/>
      <c r="G521" s="2"/>
      <c r="H521" s="2"/>
      <c r="I521" s="25">
        <v>2930</v>
      </c>
      <c r="J521" s="25"/>
      <c r="K521" s="25"/>
      <c r="L521" s="25" t="s">
        <v>63</v>
      </c>
      <c r="M521" s="3"/>
      <c r="N521" s="2"/>
      <c r="O521" s="3"/>
      <c r="P521" s="2"/>
      <c r="Q521" s="25"/>
      <c r="R521" s="25"/>
      <c r="S521" s="25"/>
      <c r="T521" s="25"/>
      <c r="U521" s="3"/>
      <c r="V521" s="2"/>
      <c r="W521" s="3"/>
      <c r="X521" s="2"/>
      <c r="Y521" s="25"/>
      <c r="Z521" s="25"/>
      <c r="AA521" s="25"/>
      <c r="AB521" s="25"/>
      <c r="AC521" s="3"/>
      <c r="AD521" s="2"/>
      <c r="AE521" s="3"/>
      <c r="AF521" s="2"/>
      <c r="AG521" s="25"/>
      <c r="AH521" s="25"/>
      <c r="AI521" s="25"/>
      <c r="AJ521" s="25"/>
      <c r="AK521" s="3"/>
      <c r="AL521" s="3"/>
      <c r="AM521" s="2"/>
      <c r="AN521" s="2"/>
      <c r="AO521" s="2"/>
      <c r="AP521" s="2"/>
      <c r="AQ521" s="2"/>
      <c r="AR521" s="2"/>
    </row>
    <row r="522" spans="5:44" ht="14.45" customHeight="1" x14ac:dyDescent="0.25">
      <c r="E522" s="2"/>
      <c r="F522" s="125"/>
      <c r="G522" s="2"/>
      <c r="H522" s="2"/>
      <c r="I522" s="26" t="s">
        <v>4</v>
      </c>
      <c r="J522" s="26"/>
      <c r="K522" s="26"/>
      <c r="L522" s="26" t="s">
        <v>5</v>
      </c>
      <c r="M522" s="26"/>
      <c r="N522" s="2"/>
      <c r="O522" s="3"/>
      <c r="P522" s="2"/>
      <c r="Q522" s="26"/>
      <c r="R522" s="26"/>
      <c r="S522" s="26"/>
      <c r="T522" s="26"/>
      <c r="U522" s="26"/>
      <c r="V522" s="2"/>
      <c r="W522" s="3"/>
      <c r="X522" s="2"/>
      <c r="Y522" s="26"/>
      <c r="Z522" s="26"/>
      <c r="AA522" s="26"/>
      <c r="AB522" s="26"/>
      <c r="AC522" s="26"/>
      <c r="AD522" s="26"/>
      <c r="AE522" s="3"/>
      <c r="AF522" s="2"/>
      <c r="AG522" s="26"/>
      <c r="AH522" s="26"/>
      <c r="AI522" s="26"/>
      <c r="AJ522" s="26"/>
      <c r="AK522" s="26"/>
      <c r="AL522" s="3"/>
      <c r="AM522" s="2"/>
      <c r="AN522" s="2"/>
      <c r="AO522" s="2"/>
      <c r="AP522" s="2"/>
      <c r="AQ522" s="2"/>
      <c r="AR522" s="2"/>
    </row>
    <row r="523" spans="5:44" ht="14.45" customHeight="1" x14ac:dyDescent="0.25">
      <c r="E523" s="2"/>
      <c r="F523" s="125"/>
      <c r="G523" s="2"/>
      <c r="H523" s="2"/>
      <c r="I523" s="27">
        <v>2930</v>
      </c>
      <c r="J523" s="27" t="s">
        <v>7</v>
      </c>
      <c r="K523" s="2"/>
      <c r="L523" s="27">
        <v>2930</v>
      </c>
      <c r="M523" s="27" t="s">
        <v>7</v>
      </c>
      <c r="N523" s="2"/>
      <c r="O523" s="3"/>
      <c r="P523" s="2"/>
      <c r="Q523" s="27"/>
      <c r="R523" s="27"/>
      <c r="S523" s="2"/>
      <c r="T523" s="27"/>
      <c r="U523" s="27"/>
      <c r="V523" s="2"/>
      <c r="W523" s="3"/>
      <c r="X523" s="2"/>
      <c r="Y523" s="27"/>
      <c r="Z523" s="27"/>
      <c r="AA523" s="2"/>
      <c r="AB523" s="27"/>
      <c r="AC523" s="27"/>
      <c r="AD523" s="28"/>
      <c r="AE523" s="3"/>
      <c r="AF523" s="2"/>
      <c r="AG523" s="27"/>
      <c r="AH523" s="27"/>
      <c r="AI523" s="29"/>
      <c r="AJ523" s="27"/>
      <c r="AK523" s="27"/>
      <c r="AL523" s="3"/>
      <c r="AM523" s="2"/>
      <c r="AN523" s="2"/>
      <c r="AO523" s="2"/>
      <c r="AP523" s="2"/>
      <c r="AQ523" s="2"/>
      <c r="AR523" s="2"/>
    </row>
    <row r="524" spans="5:44" ht="14.45" customHeight="1" x14ac:dyDescent="0.25">
      <c r="E524" s="2"/>
      <c r="F524" s="125"/>
      <c r="G524" s="2"/>
      <c r="H524" s="2" t="s">
        <v>12</v>
      </c>
      <c r="I524" s="81" t="s">
        <v>31</v>
      </c>
      <c r="J524" s="32" t="s">
        <v>70</v>
      </c>
      <c r="K524" s="2"/>
      <c r="L524" s="81" t="s">
        <v>31</v>
      </c>
      <c r="M524" s="32" t="s">
        <v>70</v>
      </c>
      <c r="N524" s="2"/>
      <c r="O524" s="3"/>
      <c r="P524" s="2" t="s">
        <v>12</v>
      </c>
      <c r="R524" s="32"/>
      <c r="S524" s="2"/>
      <c r="U524" s="32"/>
      <c r="V524" s="2"/>
      <c r="W524" s="3"/>
      <c r="X524" s="2" t="s">
        <v>12</v>
      </c>
      <c r="Z524" s="32"/>
      <c r="AA524" s="2"/>
      <c r="AC524" s="32"/>
      <c r="AD524" s="2"/>
      <c r="AE524" s="3"/>
      <c r="AF524" s="2" t="s">
        <v>12</v>
      </c>
      <c r="AH524" s="32"/>
      <c r="AI524" s="2"/>
      <c r="AK524" s="32"/>
      <c r="AL524" s="3"/>
      <c r="AM524" s="2"/>
      <c r="AN524" s="2"/>
      <c r="AO524" s="2"/>
      <c r="AP524" s="2"/>
      <c r="AQ524" s="2"/>
      <c r="AR524" s="2"/>
    </row>
    <row r="525" spans="5:44" ht="14.45" customHeight="1" x14ac:dyDescent="0.25">
      <c r="E525" s="2"/>
      <c r="F525" s="125"/>
      <c r="G525" s="2"/>
      <c r="H525" s="2" t="s">
        <v>20</v>
      </c>
      <c r="I525" s="81" t="s">
        <v>31</v>
      </c>
      <c r="J525" s="32" t="s">
        <v>70</v>
      </c>
      <c r="K525" s="2"/>
      <c r="L525" s="81" t="s">
        <v>31</v>
      </c>
      <c r="M525" s="32" t="s">
        <v>70</v>
      </c>
      <c r="N525" s="2"/>
      <c r="O525" s="3"/>
      <c r="P525" s="2" t="s">
        <v>20</v>
      </c>
      <c r="R525" s="32"/>
      <c r="S525" s="2"/>
      <c r="U525" s="32"/>
      <c r="V525" s="2"/>
      <c r="W525" s="3"/>
      <c r="X525" s="2" t="s">
        <v>20</v>
      </c>
      <c r="Z525" s="32"/>
      <c r="AA525" s="2"/>
      <c r="AC525" s="32"/>
      <c r="AD525" s="2"/>
      <c r="AE525" s="3"/>
      <c r="AF525" s="2" t="s">
        <v>20</v>
      </c>
      <c r="AH525" s="32"/>
      <c r="AI525" s="2"/>
      <c r="AK525" s="32"/>
      <c r="AL525" s="3"/>
      <c r="AM525" s="2"/>
      <c r="AN525" s="2"/>
      <c r="AO525" s="12" t="s">
        <v>71</v>
      </c>
      <c r="AP525" s="5">
        <f t="shared" ref="AP525:AP534" si="19">(COUNTIF($I$292:$I$383,"=*"&amp;AO525&amp;"*")+COUNTIF($Q$292:$Q$382,"=*"&amp;AO525&amp;"*")+COUNTIF($AG$291:$AG$385,"=*"&amp;AO525&amp;"*")+COUNTIF($Y$292:$Y$385,"=*"&amp;AO525&amp;"*"))*2</f>
        <v>8</v>
      </c>
      <c r="AQ525" s="2"/>
      <c r="AR525" s="2"/>
    </row>
    <row r="526" spans="5:44" ht="14.45" customHeight="1" x14ac:dyDescent="0.25">
      <c r="E526" s="2"/>
      <c r="F526" s="125"/>
      <c r="G526" s="2"/>
      <c r="H526" s="2" t="s">
        <v>24</v>
      </c>
      <c r="I526" s="81" t="s">
        <v>31</v>
      </c>
      <c r="J526" s="32" t="s">
        <v>70</v>
      </c>
      <c r="K526" s="2"/>
      <c r="L526" s="81" t="s">
        <v>31</v>
      </c>
      <c r="M526" s="32" t="s">
        <v>70</v>
      </c>
      <c r="N526" s="2"/>
      <c r="O526" s="3"/>
      <c r="P526" s="2" t="s">
        <v>24</v>
      </c>
      <c r="R526" s="32"/>
      <c r="S526" s="2"/>
      <c r="U526" s="32"/>
      <c r="V526" s="2"/>
      <c r="W526" s="3"/>
      <c r="X526" s="2" t="s">
        <v>24</v>
      </c>
      <c r="Z526" s="32"/>
      <c r="AA526" s="2"/>
      <c r="AC526" s="32"/>
      <c r="AD526" s="2"/>
      <c r="AE526" s="3"/>
      <c r="AF526" s="2" t="s">
        <v>24</v>
      </c>
      <c r="AH526" s="32"/>
      <c r="AI526" s="2"/>
      <c r="AK526" s="32"/>
      <c r="AL526" s="3"/>
      <c r="AM526" s="2"/>
      <c r="AN526" s="2"/>
      <c r="AO526" s="12" t="s">
        <v>72</v>
      </c>
      <c r="AP526" s="5">
        <f t="shared" si="19"/>
        <v>2</v>
      </c>
      <c r="AQ526" s="2"/>
      <c r="AR526" s="2"/>
    </row>
    <row r="527" spans="5:44" ht="14.45" customHeight="1" x14ac:dyDescent="0.25">
      <c r="E527" s="2"/>
      <c r="F527" s="125"/>
      <c r="G527" s="2"/>
      <c r="H527" s="2" t="s">
        <v>28</v>
      </c>
      <c r="I527" s="34" t="s">
        <v>73</v>
      </c>
      <c r="J527" s="32" t="s">
        <v>70</v>
      </c>
      <c r="K527" s="2"/>
      <c r="L527" s="34" t="s">
        <v>73</v>
      </c>
      <c r="M527" s="32" t="s">
        <v>70</v>
      </c>
      <c r="N527" s="2"/>
      <c r="O527" s="3"/>
      <c r="P527" s="2" t="s">
        <v>28</v>
      </c>
      <c r="R527" s="32"/>
      <c r="S527" s="2"/>
      <c r="U527" s="32"/>
      <c r="V527" s="2"/>
      <c r="W527" s="3"/>
      <c r="X527" s="2" t="s">
        <v>28</v>
      </c>
      <c r="Z527" s="32"/>
      <c r="AA527" s="2"/>
      <c r="AC527" s="32"/>
      <c r="AD527" s="2"/>
      <c r="AE527" s="3"/>
      <c r="AF527" s="2" t="s">
        <v>28</v>
      </c>
      <c r="AH527" s="32"/>
      <c r="AI527" s="2"/>
      <c r="AK527" s="32"/>
      <c r="AL527" s="3"/>
      <c r="AM527" s="2"/>
      <c r="AN527" s="2"/>
      <c r="AO527" s="23" t="s">
        <v>74</v>
      </c>
      <c r="AP527" s="5">
        <f t="shared" si="19"/>
        <v>0</v>
      </c>
      <c r="AQ527" s="2"/>
      <c r="AR527" s="2"/>
    </row>
    <row r="528" spans="5:44" ht="14.45" customHeight="1" x14ac:dyDescent="0.25">
      <c r="E528" s="2"/>
      <c r="F528" s="125"/>
      <c r="G528" s="2"/>
      <c r="H528" s="2" t="s">
        <v>32</v>
      </c>
      <c r="I528" s="34" t="s">
        <v>73</v>
      </c>
      <c r="J528" s="32" t="s">
        <v>70</v>
      </c>
      <c r="K528" s="2"/>
      <c r="L528" s="34" t="s">
        <v>73</v>
      </c>
      <c r="M528" s="32" t="s">
        <v>70</v>
      </c>
      <c r="N528" s="2"/>
      <c r="O528" s="3"/>
      <c r="P528" s="2" t="s">
        <v>32</v>
      </c>
      <c r="R528" s="32"/>
      <c r="S528" s="2"/>
      <c r="U528" s="32"/>
      <c r="V528" s="2"/>
      <c r="W528" s="3"/>
      <c r="X528" s="2" t="s">
        <v>32</v>
      </c>
      <c r="Z528" s="32"/>
      <c r="AA528" s="2"/>
      <c r="AC528" s="32"/>
      <c r="AD528" s="2"/>
      <c r="AE528" s="3"/>
      <c r="AF528" s="2" t="s">
        <v>32</v>
      </c>
      <c r="AH528" s="32"/>
      <c r="AI528" s="2"/>
      <c r="AK528" s="32"/>
      <c r="AL528" s="3"/>
      <c r="AM528" s="2"/>
      <c r="AN528" s="2"/>
      <c r="AO528" s="8" t="s">
        <v>93</v>
      </c>
      <c r="AP528" s="5">
        <f t="shared" si="19"/>
        <v>0</v>
      </c>
      <c r="AQ528" s="2"/>
      <c r="AR528" s="2"/>
    </row>
    <row r="529" spans="5:44" ht="14.45" customHeight="1" x14ac:dyDescent="0.25">
      <c r="E529" s="2"/>
      <c r="F529" s="125"/>
      <c r="G529" s="2"/>
      <c r="H529" s="2"/>
      <c r="I529" s="2"/>
      <c r="J529" s="2"/>
      <c r="K529" s="2"/>
      <c r="L529" s="2"/>
      <c r="M529" s="2"/>
      <c r="N529" s="2"/>
      <c r="O529" s="3"/>
      <c r="P529" s="2"/>
      <c r="Q529" s="2"/>
      <c r="R529" s="2"/>
      <c r="S529" s="2"/>
      <c r="T529" s="2"/>
      <c r="U529" s="2"/>
      <c r="V529" s="2"/>
      <c r="W529" s="3"/>
      <c r="X529" s="2"/>
      <c r="Y529" s="2"/>
      <c r="Z529" s="2"/>
      <c r="AA529" s="2"/>
      <c r="AB529" s="2"/>
      <c r="AC529" s="2"/>
      <c r="AD529" s="2"/>
      <c r="AE529" s="3"/>
      <c r="AF529" s="2"/>
      <c r="AG529" s="2"/>
      <c r="AH529" s="2"/>
      <c r="AI529" s="2"/>
      <c r="AJ529" s="2"/>
      <c r="AK529" s="2"/>
      <c r="AL529" s="3"/>
      <c r="AM529" s="2"/>
      <c r="AN529" s="2"/>
      <c r="AO529" s="10" t="s">
        <v>75</v>
      </c>
      <c r="AP529" s="5">
        <f t="shared" si="19"/>
        <v>0</v>
      </c>
      <c r="AQ529" s="2"/>
      <c r="AR529" s="2"/>
    </row>
    <row r="530" spans="5:44" ht="14.45" customHeight="1" x14ac:dyDescent="0.25">
      <c r="E530" s="2"/>
      <c r="F530" s="125"/>
      <c r="G530" s="2"/>
      <c r="H530" s="2"/>
      <c r="I530" s="25">
        <v>3415</v>
      </c>
      <c r="J530" s="25"/>
      <c r="K530" s="25"/>
      <c r="L530" s="25" t="s">
        <v>63</v>
      </c>
      <c r="M530" s="3"/>
      <c r="N530" s="2"/>
      <c r="O530" s="3"/>
      <c r="P530" s="2"/>
      <c r="Q530" s="36">
        <v>2989</v>
      </c>
      <c r="R530" s="36"/>
      <c r="S530" s="36"/>
      <c r="T530" s="36" t="s">
        <v>3</v>
      </c>
      <c r="U530" s="37"/>
      <c r="V530" s="2"/>
      <c r="W530" s="3"/>
      <c r="X530" s="2"/>
      <c r="Y530" s="25"/>
      <c r="Z530" s="25"/>
      <c r="AA530" s="25"/>
      <c r="AB530" s="25"/>
      <c r="AC530" s="3"/>
      <c r="AD530" s="2"/>
      <c r="AE530" s="3"/>
      <c r="AF530" s="2"/>
      <c r="AG530" s="36">
        <v>1852</v>
      </c>
      <c r="AH530" s="36"/>
      <c r="AI530" s="36"/>
      <c r="AJ530" s="36" t="s">
        <v>63</v>
      </c>
      <c r="AK530" s="37"/>
      <c r="AL530" s="3"/>
      <c r="AM530" s="2"/>
      <c r="AN530" s="2"/>
      <c r="AO530" s="10" t="s">
        <v>76</v>
      </c>
      <c r="AP530" s="5">
        <f t="shared" si="19"/>
        <v>0</v>
      </c>
      <c r="AQ530" s="2"/>
      <c r="AR530" s="2"/>
    </row>
    <row r="531" spans="5:44" ht="14.45" customHeight="1" x14ac:dyDescent="0.25">
      <c r="E531" s="2"/>
      <c r="F531" s="125"/>
      <c r="G531" s="2"/>
      <c r="H531" s="2"/>
      <c r="I531" s="26" t="s">
        <v>4</v>
      </c>
      <c r="J531" s="26"/>
      <c r="K531" s="26"/>
      <c r="L531" s="26" t="s">
        <v>5</v>
      </c>
      <c r="M531" s="26"/>
      <c r="N531" s="2"/>
      <c r="O531" s="3"/>
      <c r="P531" s="2"/>
      <c r="Q531" s="26" t="s">
        <v>4</v>
      </c>
      <c r="R531" s="26"/>
      <c r="S531" s="26"/>
      <c r="T531" s="26" t="s">
        <v>5</v>
      </c>
      <c r="U531" s="26"/>
      <c r="V531" s="2"/>
      <c r="W531" s="3"/>
      <c r="X531" s="2"/>
      <c r="Y531" s="26"/>
      <c r="Z531" s="26"/>
      <c r="AA531" s="26"/>
      <c r="AB531" s="26"/>
      <c r="AC531" s="26"/>
      <c r="AD531" s="26"/>
      <c r="AE531" s="3"/>
      <c r="AF531" s="2"/>
      <c r="AG531" s="26" t="s">
        <v>4</v>
      </c>
      <c r="AH531" s="26"/>
      <c r="AI531" s="26"/>
      <c r="AJ531" s="26" t="s">
        <v>5</v>
      </c>
      <c r="AK531" s="26"/>
      <c r="AL531" s="3"/>
      <c r="AM531" s="2"/>
      <c r="AN531" s="2"/>
      <c r="AO531" s="19" t="s">
        <v>77</v>
      </c>
      <c r="AP531" s="5">
        <f t="shared" si="19"/>
        <v>0</v>
      </c>
      <c r="AQ531" s="2"/>
      <c r="AR531" s="2"/>
    </row>
    <row r="532" spans="5:44" ht="14.45" customHeight="1" x14ac:dyDescent="0.25">
      <c r="E532" s="2"/>
      <c r="F532" s="125"/>
      <c r="G532" s="2"/>
      <c r="H532" s="2"/>
      <c r="I532" s="27">
        <v>3415</v>
      </c>
      <c r="J532" s="27" t="s">
        <v>7</v>
      </c>
      <c r="K532" s="2"/>
      <c r="L532" s="27">
        <v>3415</v>
      </c>
      <c r="M532" s="27" t="s">
        <v>7</v>
      </c>
      <c r="N532" s="2"/>
      <c r="O532" s="3"/>
      <c r="P532" s="2"/>
      <c r="Q532" s="27">
        <v>2989</v>
      </c>
      <c r="R532" s="27" t="s">
        <v>7</v>
      </c>
      <c r="S532" s="2"/>
      <c r="T532" s="27">
        <v>2989</v>
      </c>
      <c r="U532" s="27" t="s">
        <v>7</v>
      </c>
      <c r="V532" s="2"/>
      <c r="W532" s="3"/>
      <c r="X532" s="2"/>
      <c r="Y532" s="27"/>
      <c r="Z532" s="27"/>
      <c r="AA532" s="2"/>
      <c r="AB532" s="27"/>
      <c r="AC532" s="27"/>
      <c r="AD532" s="28"/>
      <c r="AE532" s="3"/>
      <c r="AF532" s="2"/>
      <c r="AG532" s="27">
        <v>1852</v>
      </c>
      <c r="AH532" s="27" t="s">
        <v>7</v>
      </c>
      <c r="AI532" s="29"/>
      <c r="AJ532" s="27">
        <v>1852</v>
      </c>
      <c r="AK532" s="27" t="s">
        <v>7</v>
      </c>
      <c r="AL532" s="3"/>
      <c r="AM532" s="2"/>
      <c r="AN532" s="2"/>
      <c r="AO532" s="16" t="s">
        <v>78</v>
      </c>
      <c r="AP532" s="5">
        <f t="shared" si="19"/>
        <v>0</v>
      </c>
      <c r="AQ532" s="2"/>
      <c r="AR532" s="2"/>
    </row>
    <row r="533" spans="5:44" ht="14.45" customHeight="1" x14ac:dyDescent="0.25">
      <c r="E533" s="2"/>
      <c r="F533" s="125"/>
      <c r="G533" s="2"/>
      <c r="H533" s="2" t="s">
        <v>12</v>
      </c>
      <c r="I533" t="s">
        <v>66</v>
      </c>
      <c r="J533" s="32" t="s">
        <v>79</v>
      </c>
      <c r="K533" s="2"/>
      <c r="L533" t="s">
        <v>66</v>
      </c>
      <c r="M533" s="32" t="s">
        <v>79</v>
      </c>
      <c r="N533" s="2"/>
      <c r="O533" s="3"/>
      <c r="P533" s="2" t="s">
        <v>12</v>
      </c>
      <c r="Q533" t="s">
        <v>66</v>
      </c>
      <c r="R533" s="32" t="s">
        <v>67</v>
      </c>
      <c r="S533" s="2"/>
      <c r="T533" t="s">
        <v>66</v>
      </c>
      <c r="U533" s="32" t="s">
        <v>67</v>
      </c>
      <c r="V533" s="2"/>
      <c r="W533" s="3"/>
      <c r="X533" s="2" t="s">
        <v>12</v>
      </c>
      <c r="Z533" s="32"/>
      <c r="AA533" s="2"/>
      <c r="AC533" s="32"/>
      <c r="AD533" s="2"/>
      <c r="AE533" s="3"/>
      <c r="AF533" s="2" t="s">
        <v>12</v>
      </c>
      <c r="AG533" t="s">
        <v>66</v>
      </c>
      <c r="AH533" s="32" t="s">
        <v>67</v>
      </c>
      <c r="AI533" s="2"/>
      <c r="AJ533" t="s">
        <v>66</v>
      </c>
      <c r="AK533" s="32" t="s">
        <v>67</v>
      </c>
      <c r="AL533" s="3"/>
      <c r="AM533" s="2"/>
      <c r="AN533" s="2"/>
      <c r="AO533" s="8" t="s">
        <v>80</v>
      </c>
      <c r="AP533" s="5">
        <f t="shared" si="19"/>
        <v>0</v>
      </c>
      <c r="AQ533" s="2"/>
      <c r="AR533" s="2"/>
    </row>
    <row r="534" spans="5:44" ht="14.45" customHeight="1" x14ac:dyDescent="0.25">
      <c r="E534" s="2"/>
      <c r="F534" s="125"/>
      <c r="G534" s="2"/>
      <c r="H534" s="2" t="s">
        <v>20</v>
      </c>
      <c r="I534" s="81" t="s">
        <v>71</v>
      </c>
      <c r="J534" s="32" t="s">
        <v>70</v>
      </c>
      <c r="K534" s="2"/>
      <c r="L534" s="81" t="s">
        <v>71</v>
      </c>
      <c r="M534" s="32" t="s">
        <v>70</v>
      </c>
      <c r="N534" s="2"/>
      <c r="O534" s="3"/>
      <c r="P534" s="2" t="s">
        <v>20</v>
      </c>
      <c r="Q534" t="s">
        <v>66</v>
      </c>
      <c r="R534" s="32" t="s">
        <v>67</v>
      </c>
      <c r="S534" s="2"/>
      <c r="T534" t="s">
        <v>66</v>
      </c>
      <c r="U534" s="32" t="s">
        <v>67</v>
      </c>
      <c r="V534" s="2"/>
      <c r="W534" s="3"/>
      <c r="X534" s="2" t="s">
        <v>20</v>
      </c>
      <c r="Z534" s="32"/>
      <c r="AA534" s="2"/>
      <c r="AC534" s="32"/>
      <c r="AD534" s="2"/>
      <c r="AE534" s="3"/>
      <c r="AF534" s="2" t="s">
        <v>20</v>
      </c>
      <c r="AG534" t="s">
        <v>66</v>
      </c>
      <c r="AH534" s="32" t="s">
        <v>67</v>
      </c>
      <c r="AI534" s="2"/>
      <c r="AJ534" t="s">
        <v>66</v>
      </c>
      <c r="AK534" s="32" t="s">
        <v>67</v>
      </c>
      <c r="AL534" s="3"/>
      <c r="AM534" s="2"/>
      <c r="AN534" s="2"/>
      <c r="AO534" s="8" t="s">
        <v>80</v>
      </c>
      <c r="AP534" s="5">
        <f t="shared" si="19"/>
        <v>0</v>
      </c>
      <c r="AQ534" s="2"/>
      <c r="AR534" s="2"/>
    </row>
    <row r="535" spans="5:44" ht="14.45" customHeight="1" x14ac:dyDescent="0.25">
      <c r="E535" s="2"/>
      <c r="F535" s="125"/>
      <c r="G535" s="2"/>
      <c r="H535" s="2" t="s">
        <v>24</v>
      </c>
      <c r="I535" s="81" t="s">
        <v>71</v>
      </c>
      <c r="J535" s="32" t="s">
        <v>70</v>
      </c>
      <c r="K535" s="2"/>
      <c r="L535" s="81" t="s">
        <v>71</v>
      </c>
      <c r="M535" s="32" t="s">
        <v>70</v>
      </c>
      <c r="N535" s="2"/>
      <c r="O535" s="3"/>
      <c r="P535" s="2" t="s">
        <v>24</v>
      </c>
      <c r="Q535" t="s">
        <v>66</v>
      </c>
      <c r="R535" s="32" t="s">
        <v>67</v>
      </c>
      <c r="S535" s="2"/>
      <c r="T535" t="s">
        <v>66</v>
      </c>
      <c r="U535" s="32" t="s">
        <v>67</v>
      </c>
      <c r="V535" s="2"/>
      <c r="W535" s="3"/>
      <c r="X535" s="2" t="s">
        <v>24</v>
      </c>
      <c r="Z535" s="32"/>
      <c r="AA535" s="2"/>
      <c r="AC535" s="32"/>
      <c r="AD535" s="2"/>
      <c r="AE535" s="3"/>
      <c r="AF535" s="2" t="s">
        <v>24</v>
      </c>
      <c r="AG535" t="s">
        <v>66</v>
      </c>
      <c r="AH535" s="32" t="s">
        <v>67</v>
      </c>
      <c r="AI535" s="2"/>
      <c r="AJ535" t="s">
        <v>66</v>
      </c>
      <c r="AK535" s="32" t="s">
        <v>67</v>
      </c>
      <c r="AL535" s="3"/>
      <c r="AM535" s="2"/>
      <c r="AN535" s="2"/>
      <c r="AO535" s="18" t="s">
        <v>82</v>
      </c>
      <c r="AP535" s="5">
        <v>2</v>
      </c>
      <c r="AQ535" s="2"/>
      <c r="AR535" s="2"/>
    </row>
    <row r="536" spans="5:44" ht="14.45" customHeight="1" x14ac:dyDescent="0.25">
      <c r="E536" s="2"/>
      <c r="F536" s="125"/>
      <c r="G536" s="2"/>
      <c r="H536" s="2" t="s">
        <v>28</v>
      </c>
      <c r="I536" s="81" t="s">
        <v>71</v>
      </c>
      <c r="J536" s="32" t="s">
        <v>83</v>
      </c>
      <c r="K536" s="2"/>
      <c r="L536" s="81" t="s">
        <v>71</v>
      </c>
      <c r="M536" s="32" t="s">
        <v>83</v>
      </c>
      <c r="N536" s="2"/>
      <c r="O536" s="3"/>
      <c r="P536" s="2" t="s">
        <v>28</v>
      </c>
      <c r="Q536" t="s">
        <v>66</v>
      </c>
      <c r="R536" s="32" t="s">
        <v>67</v>
      </c>
      <c r="S536" s="2"/>
      <c r="T536" t="s">
        <v>66</v>
      </c>
      <c r="U536" s="32" t="s">
        <v>67</v>
      </c>
      <c r="V536" s="2"/>
      <c r="W536" s="3"/>
      <c r="X536" s="2" t="s">
        <v>28</v>
      </c>
      <c r="Z536" s="32"/>
      <c r="AA536" s="2"/>
      <c r="AC536" s="32"/>
      <c r="AD536" s="2"/>
      <c r="AE536" s="3"/>
      <c r="AF536" s="2" t="s">
        <v>28</v>
      </c>
      <c r="AG536" t="s">
        <v>66</v>
      </c>
      <c r="AH536" s="32" t="s">
        <v>67</v>
      </c>
      <c r="AI536" s="2"/>
      <c r="AJ536" t="s">
        <v>66</v>
      </c>
      <c r="AK536" s="32" t="s">
        <v>67</v>
      </c>
      <c r="AL536" s="3"/>
      <c r="AM536" s="2"/>
      <c r="AN536" s="2"/>
      <c r="AO536" s="2"/>
      <c r="AP536" s="2"/>
      <c r="AQ536" s="2"/>
      <c r="AR536" s="2"/>
    </row>
    <row r="537" spans="5:44" ht="14.45" customHeight="1" x14ac:dyDescent="0.25">
      <c r="E537" s="2"/>
      <c r="F537" s="125"/>
      <c r="G537" s="2"/>
      <c r="H537" s="2" t="s">
        <v>32</v>
      </c>
      <c r="I537" t="s">
        <v>72</v>
      </c>
      <c r="J537" s="32" t="s">
        <v>70</v>
      </c>
      <c r="K537" s="2"/>
      <c r="L537" t="s">
        <v>72</v>
      </c>
      <c r="M537" s="32" t="s">
        <v>70</v>
      </c>
      <c r="N537" s="2"/>
      <c r="O537" s="3"/>
      <c r="P537" s="2" t="s">
        <v>32</v>
      </c>
      <c r="Q537" t="s">
        <v>66</v>
      </c>
      <c r="R537" s="32" t="s">
        <v>67</v>
      </c>
      <c r="S537" s="2"/>
      <c r="T537" t="s">
        <v>66</v>
      </c>
      <c r="U537" s="32" t="s">
        <v>67</v>
      </c>
      <c r="V537" s="2"/>
      <c r="W537" s="3"/>
      <c r="X537" s="2" t="s">
        <v>32</v>
      </c>
      <c r="Z537" s="32"/>
      <c r="AA537" s="2"/>
      <c r="AC537" s="32"/>
      <c r="AD537" s="2"/>
      <c r="AE537" s="3"/>
      <c r="AF537" s="2" t="s">
        <v>32</v>
      </c>
      <c r="AG537" t="s">
        <v>66</v>
      </c>
      <c r="AH537" s="32" t="s">
        <v>67</v>
      </c>
      <c r="AI537" s="2"/>
      <c r="AJ537" t="s">
        <v>66</v>
      </c>
      <c r="AK537" s="32" t="s">
        <v>67</v>
      </c>
      <c r="AL537" s="3"/>
      <c r="AM537" s="2"/>
      <c r="AN537" s="2"/>
      <c r="AO537" s="2"/>
      <c r="AP537" s="2"/>
      <c r="AQ537" s="2"/>
      <c r="AR537" s="2"/>
    </row>
    <row r="538" spans="5:44" ht="14.45" customHeight="1" x14ac:dyDescent="0.25">
      <c r="E538" s="2"/>
      <c r="F538" s="125"/>
      <c r="G538" s="2"/>
      <c r="H538" s="2"/>
      <c r="I538" s="2"/>
      <c r="J538" s="2"/>
      <c r="K538" s="2"/>
      <c r="L538" s="2"/>
      <c r="M538" s="2"/>
      <c r="N538" s="2"/>
      <c r="O538" s="3"/>
      <c r="P538" s="2"/>
      <c r="Q538" s="2"/>
      <c r="R538" s="2"/>
      <c r="S538" s="2"/>
      <c r="T538" s="2"/>
      <c r="U538" s="2"/>
      <c r="V538" s="2"/>
      <c r="W538" s="3"/>
      <c r="X538" s="2"/>
      <c r="Y538" s="2"/>
      <c r="Z538" s="2"/>
      <c r="AA538" s="2"/>
      <c r="AB538" s="2"/>
      <c r="AC538" s="2"/>
      <c r="AD538" s="2"/>
      <c r="AE538" s="3"/>
      <c r="AF538" s="2"/>
      <c r="AG538" s="2"/>
      <c r="AH538" s="2"/>
      <c r="AI538" s="2"/>
      <c r="AJ538" s="2"/>
      <c r="AK538" s="2"/>
      <c r="AL538" s="3"/>
      <c r="AM538" s="2"/>
      <c r="AN538" s="2"/>
      <c r="AO538" s="2"/>
      <c r="AP538" s="2"/>
      <c r="AQ538" s="2"/>
      <c r="AR538" s="2"/>
    </row>
    <row r="539" spans="5:44" ht="14.45" customHeight="1" x14ac:dyDescent="0.25">
      <c r="E539" s="2"/>
      <c r="F539" s="125"/>
      <c r="G539" s="2"/>
      <c r="H539" s="2"/>
      <c r="I539" s="25">
        <v>3707</v>
      </c>
      <c r="J539" s="25"/>
      <c r="K539" s="25"/>
      <c r="L539" s="25" t="s">
        <v>63</v>
      </c>
      <c r="M539" s="3"/>
      <c r="N539" s="2"/>
      <c r="O539" s="3"/>
      <c r="P539" s="2"/>
      <c r="Q539" s="25">
        <v>5275</v>
      </c>
      <c r="R539" s="25"/>
      <c r="S539" s="25"/>
      <c r="T539" s="25" t="s">
        <v>63</v>
      </c>
      <c r="U539" s="3"/>
      <c r="V539" s="2"/>
      <c r="W539" s="3"/>
      <c r="X539" s="2"/>
      <c r="Y539" s="2"/>
      <c r="Z539" s="2"/>
      <c r="AA539" s="2"/>
      <c r="AB539" s="2"/>
      <c r="AC539" s="2"/>
      <c r="AD539" s="2"/>
      <c r="AE539" s="3"/>
      <c r="AF539" s="2"/>
      <c r="AG539" s="36">
        <v>1848</v>
      </c>
      <c r="AH539" s="36"/>
      <c r="AI539" s="36"/>
      <c r="AJ539" s="36" t="s">
        <v>63</v>
      </c>
      <c r="AK539" s="37"/>
      <c r="AL539" s="3"/>
      <c r="AM539" s="2"/>
      <c r="AN539" s="2"/>
      <c r="AO539" s="2"/>
      <c r="AP539" s="2"/>
      <c r="AQ539" s="2"/>
      <c r="AR539" s="2"/>
    </row>
    <row r="540" spans="5:44" ht="14.45" customHeight="1" x14ac:dyDescent="0.25">
      <c r="E540" s="2"/>
      <c r="F540" s="125"/>
      <c r="G540" s="2"/>
      <c r="H540" s="2"/>
      <c r="I540" s="26" t="s">
        <v>4</v>
      </c>
      <c r="J540" s="26"/>
      <c r="K540" s="26"/>
      <c r="L540" s="26" t="s">
        <v>5</v>
      </c>
      <c r="M540" s="26"/>
      <c r="N540" s="2"/>
      <c r="O540" s="3"/>
      <c r="P540" s="2"/>
      <c r="Q540" s="26" t="s">
        <v>4</v>
      </c>
      <c r="R540" s="26"/>
      <c r="S540" s="26"/>
      <c r="T540" s="26" t="s">
        <v>5</v>
      </c>
      <c r="U540" s="26"/>
      <c r="V540" s="2"/>
      <c r="W540" s="3"/>
      <c r="X540" s="2"/>
      <c r="Y540" s="2"/>
      <c r="Z540" s="2"/>
      <c r="AA540" s="2"/>
      <c r="AB540" s="2"/>
      <c r="AC540" s="2"/>
      <c r="AD540" s="2"/>
      <c r="AE540" s="3"/>
      <c r="AF540" s="2"/>
      <c r="AG540" s="26" t="s">
        <v>4</v>
      </c>
      <c r="AH540" s="26"/>
      <c r="AI540" s="26"/>
      <c r="AJ540" s="26"/>
      <c r="AK540" s="26" t="s">
        <v>84</v>
      </c>
      <c r="AL540" s="3"/>
      <c r="AM540" s="2"/>
      <c r="AN540" s="2"/>
      <c r="AO540" s="2"/>
      <c r="AP540" s="2"/>
      <c r="AQ540" s="2"/>
      <c r="AR540" s="2"/>
    </row>
    <row r="541" spans="5:44" ht="14.45" customHeight="1" x14ac:dyDescent="0.25">
      <c r="E541" s="2"/>
      <c r="F541" s="125"/>
      <c r="G541" s="2"/>
      <c r="H541" s="2"/>
      <c r="I541" s="27">
        <v>3707</v>
      </c>
      <c r="J541" s="27" t="s">
        <v>7</v>
      </c>
      <c r="K541" s="2"/>
      <c r="L541" s="27">
        <v>3707</v>
      </c>
      <c r="M541" s="27" t="s">
        <v>7</v>
      </c>
      <c r="N541" s="2"/>
      <c r="O541" s="3"/>
      <c r="P541" s="2"/>
      <c r="Q541" s="27">
        <v>5275</v>
      </c>
      <c r="R541" s="27" t="s">
        <v>7</v>
      </c>
      <c r="S541" s="2"/>
      <c r="T541" s="27">
        <v>5275</v>
      </c>
      <c r="U541" s="27" t="s">
        <v>7</v>
      </c>
      <c r="V541" s="2"/>
      <c r="W541" s="3"/>
      <c r="X541" s="2"/>
      <c r="Y541" s="2"/>
      <c r="Z541" s="2"/>
      <c r="AA541" s="2"/>
      <c r="AB541" s="2"/>
      <c r="AC541" s="2"/>
      <c r="AD541" s="2"/>
      <c r="AE541" s="3"/>
      <c r="AF541" s="2"/>
      <c r="AG541" s="27">
        <v>1848</v>
      </c>
      <c r="AH541" s="27" t="s">
        <v>7</v>
      </c>
      <c r="AI541" s="29"/>
      <c r="AJ541" s="27">
        <v>1848</v>
      </c>
      <c r="AK541" s="27" t="s">
        <v>7</v>
      </c>
      <c r="AL541" s="3"/>
      <c r="AM541" s="2"/>
      <c r="AN541" s="2"/>
      <c r="AO541" s="2"/>
      <c r="AP541" s="2"/>
      <c r="AQ541" s="2"/>
      <c r="AR541" s="2"/>
    </row>
    <row r="542" spans="5:44" ht="14.45" customHeight="1" x14ac:dyDescent="0.25">
      <c r="E542" s="2"/>
      <c r="F542" s="125"/>
      <c r="G542" s="2"/>
      <c r="H542" s="2" t="s">
        <v>12</v>
      </c>
      <c r="I542" t="s">
        <v>66</v>
      </c>
      <c r="J542" s="32" t="s">
        <v>67</v>
      </c>
      <c r="K542" s="2"/>
      <c r="L542" t="s">
        <v>66</v>
      </c>
      <c r="M542" s="32" t="s">
        <v>67</v>
      </c>
      <c r="N542" s="2"/>
      <c r="O542" s="3"/>
      <c r="P542" s="2" t="s">
        <v>12</v>
      </c>
      <c r="Q542" t="s">
        <v>66</v>
      </c>
      <c r="R542" s="32" t="s">
        <v>67</v>
      </c>
      <c r="S542" s="2"/>
      <c r="T542" t="s">
        <v>66</v>
      </c>
      <c r="U542" s="32" t="s">
        <v>67</v>
      </c>
      <c r="V542" s="2"/>
      <c r="W542" s="3"/>
      <c r="X542" s="2"/>
      <c r="Y542" s="2"/>
      <c r="Z542" s="2"/>
      <c r="AA542" s="2"/>
      <c r="AB542" s="2"/>
      <c r="AC542" s="2"/>
      <c r="AD542" s="2"/>
      <c r="AE542" s="3"/>
      <c r="AF542" s="2" t="s">
        <v>12</v>
      </c>
      <c r="AG542" s="15" t="s">
        <v>50</v>
      </c>
      <c r="AH542" s="32" t="s">
        <v>70</v>
      </c>
      <c r="AI542" s="2"/>
      <c r="AJ542" s="15" t="s">
        <v>50</v>
      </c>
      <c r="AK542" s="32" t="s">
        <v>70</v>
      </c>
      <c r="AL542" s="3"/>
      <c r="AM542" s="2"/>
      <c r="AN542" s="2"/>
      <c r="AO542" s="2"/>
      <c r="AP542" s="2"/>
      <c r="AQ542" s="2"/>
      <c r="AR542" s="2"/>
    </row>
    <row r="543" spans="5:44" ht="14.45" customHeight="1" x14ac:dyDescent="0.25">
      <c r="E543" s="2"/>
      <c r="F543" s="125"/>
      <c r="G543" s="2"/>
      <c r="H543" s="2" t="s">
        <v>20</v>
      </c>
      <c r="I543" t="s">
        <v>66</v>
      </c>
      <c r="J543" s="32" t="s">
        <v>67</v>
      </c>
      <c r="K543" s="2"/>
      <c r="L543" t="s">
        <v>66</v>
      </c>
      <c r="M543" s="32" t="s">
        <v>67</v>
      </c>
      <c r="N543" s="2"/>
      <c r="O543" s="3"/>
      <c r="P543" s="2" t="s">
        <v>20</v>
      </c>
      <c r="Q543" t="s">
        <v>66</v>
      </c>
      <c r="R543" s="32" t="s">
        <v>67</v>
      </c>
      <c r="S543" s="2"/>
      <c r="T543" t="s">
        <v>66</v>
      </c>
      <c r="U543" s="32" t="s">
        <v>67</v>
      </c>
      <c r="V543" s="2"/>
      <c r="W543" s="3"/>
      <c r="X543" s="2"/>
      <c r="Y543" s="2"/>
      <c r="Z543" s="2"/>
      <c r="AA543" s="2"/>
      <c r="AB543" s="2"/>
      <c r="AC543" s="2"/>
      <c r="AD543" s="2"/>
      <c r="AE543" s="3"/>
      <c r="AF543" s="2" t="s">
        <v>20</v>
      </c>
      <c r="AG543" s="15" t="s">
        <v>50</v>
      </c>
      <c r="AH543" s="32" t="s">
        <v>70</v>
      </c>
      <c r="AI543" s="2"/>
      <c r="AJ543" s="15" t="s">
        <v>50</v>
      </c>
      <c r="AK543" s="32" t="s">
        <v>70</v>
      </c>
      <c r="AL543" s="3"/>
      <c r="AM543" s="2"/>
      <c r="AN543" s="2"/>
      <c r="AO543" s="2"/>
      <c r="AP543" s="2"/>
      <c r="AQ543" s="2"/>
      <c r="AR543" s="2"/>
    </row>
    <row r="544" spans="5:44" ht="14.45" customHeight="1" x14ac:dyDescent="0.25">
      <c r="E544" s="2"/>
      <c r="F544" s="125"/>
      <c r="G544" s="2"/>
      <c r="H544" s="2" t="s">
        <v>24</v>
      </c>
      <c r="I544" t="s">
        <v>66</v>
      </c>
      <c r="J544" s="32" t="s">
        <v>67</v>
      </c>
      <c r="K544" s="2"/>
      <c r="L544" t="s">
        <v>66</v>
      </c>
      <c r="M544" s="32" t="s">
        <v>67</v>
      </c>
      <c r="N544" s="2"/>
      <c r="O544" s="3"/>
      <c r="P544" s="2" t="s">
        <v>24</v>
      </c>
      <c r="Q544" t="s">
        <v>66</v>
      </c>
      <c r="R544" s="32" t="s">
        <v>67</v>
      </c>
      <c r="S544" s="2"/>
      <c r="T544" t="s">
        <v>66</v>
      </c>
      <c r="U544" s="32" t="s">
        <v>67</v>
      </c>
      <c r="V544" s="2"/>
      <c r="W544" s="3"/>
      <c r="X544" s="2"/>
      <c r="Y544" s="2"/>
      <c r="Z544" s="2"/>
      <c r="AA544" s="2"/>
      <c r="AB544" s="2"/>
      <c r="AC544" s="2"/>
      <c r="AD544" s="2"/>
      <c r="AE544" s="3"/>
      <c r="AF544" s="2" t="s">
        <v>24</v>
      </c>
      <c r="AG544" s="15" t="s">
        <v>50</v>
      </c>
      <c r="AH544" s="32" t="s">
        <v>70</v>
      </c>
      <c r="AI544" s="2"/>
      <c r="AJ544" s="15" t="s">
        <v>50</v>
      </c>
      <c r="AK544" s="32" t="s">
        <v>70</v>
      </c>
      <c r="AL544" s="3"/>
      <c r="AM544" s="2"/>
      <c r="AN544" s="2"/>
      <c r="AO544" s="2"/>
      <c r="AP544" s="2"/>
      <c r="AQ544" s="2"/>
      <c r="AR544" s="2"/>
    </row>
    <row r="545" spans="5:44" ht="14.45" customHeight="1" x14ac:dyDescent="0.25">
      <c r="E545" s="2"/>
      <c r="F545" s="125"/>
      <c r="G545" s="2"/>
      <c r="H545" s="2" t="s">
        <v>28</v>
      </c>
      <c r="I545" t="s">
        <v>66</v>
      </c>
      <c r="J545" s="32" t="s">
        <v>67</v>
      </c>
      <c r="K545" s="2"/>
      <c r="L545" t="s">
        <v>66</v>
      </c>
      <c r="M545" s="32" t="s">
        <v>67</v>
      </c>
      <c r="N545" s="2"/>
      <c r="O545" s="3"/>
      <c r="P545" s="2" t="s">
        <v>28</v>
      </c>
      <c r="Q545" t="s">
        <v>66</v>
      </c>
      <c r="R545" s="32" t="s">
        <v>67</v>
      </c>
      <c r="S545" s="2"/>
      <c r="T545" t="s">
        <v>66</v>
      </c>
      <c r="U545" s="32" t="s">
        <v>67</v>
      </c>
      <c r="V545" s="2"/>
      <c r="W545" s="3"/>
      <c r="X545" s="2"/>
      <c r="Y545" s="2"/>
      <c r="Z545" s="2"/>
      <c r="AA545" s="2"/>
      <c r="AB545" s="2"/>
      <c r="AC545" s="2"/>
      <c r="AD545" s="2"/>
      <c r="AE545" s="3"/>
      <c r="AF545" s="2" t="s">
        <v>28</v>
      </c>
      <c r="AG545" s="15" t="s">
        <v>50</v>
      </c>
      <c r="AH545" s="32" t="s">
        <v>70</v>
      </c>
      <c r="AI545" s="2"/>
      <c r="AJ545" s="15" t="s">
        <v>50</v>
      </c>
      <c r="AK545" s="32" t="s">
        <v>70</v>
      </c>
      <c r="AL545" s="3"/>
      <c r="AM545" s="2"/>
      <c r="AN545" s="2"/>
      <c r="AO545" s="2"/>
      <c r="AP545" s="2"/>
      <c r="AQ545" s="2"/>
      <c r="AR545" s="2"/>
    </row>
    <row r="546" spans="5:44" ht="14.45" customHeight="1" x14ac:dyDescent="0.25">
      <c r="E546" s="2"/>
      <c r="F546" s="125"/>
      <c r="G546" s="2"/>
      <c r="H546" s="2" t="s">
        <v>32</v>
      </c>
      <c r="I546" t="s">
        <v>66</v>
      </c>
      <c r="J546" s="32" t="s">
        <v>67</v>
      </c>
      <c r="K546" s="2"/>
      <c r="L546" t="s">
        <v>66</v>
      </c>
      <c r="M546" s="32" t="s">
        <v>67</v>
      </c>
      <c r="N546" s="2"/>
      <c r="O546" s="3"/>
      <c r="P546" s="2" t="s">
        <v>32</v>
      </c>
      <c r="Q546" t="s">
        <v>66</v>
      </c>
      <c r="R546" s="32" t="s">
        <v>67</v>
      </c>
      <c r="S546" s="2"/>
      <c r="T546" t="s">
        <v>66</v>
      </c>
      <c r="U546" s="32" t="s">
        <v>67</v>
      </c>
      <c r="V546" s="2"/>
      <c r="W546" s="3"/>
      <c r="X546" s="2"/>
      <c r="Y546" s="2"/>
      <c r="Z546" s="2"/>
      <c r="AA546" s="2"/>
      <c r="AB546" s="2"/>
      <c r="AC546" s="2"/>
      <c r="AD546" s="2"/>
      <c r="AE546" s="3"/>
      <c r="AF546" s="2" t="s">
        <v>32</v>
      </c>
      <c r="AG546" s="15" t="s">
        <v>50</v>
      </c>
      <c r="AH546" s="32" t="s">
        <v>70</v>
      </c>
      <c r="AI546" s="2"/>
      <c r="AJ546" s="15" t="s">
        <v>50</v>
      </c>
      <c r="AK546" s="32" t="s">
        <v>70</v>
      </c>
      <c r="AL546" s="3"/>
      <c r="AM546" s="2"/>
      <c r="AN546" s="2"/>
      <c r="AO546" s="2"/>
      <c r="AP546" s="2"/>
      <c r="AQ546" s="2"/>
      <c r="AR546" s="2"/>
    </row>
    <row r="547" spans="5:44" ht="14.45" customHeight="1" x14ac:dyDescent="0.25">
      <c r="E547" s="2"/>
      <c r="F547" s="125"/>
      <c r="G547" s="2"/>
      <c r="H547" s="2"/>
      <c r="I547" s="2"/>
      <c r="J547" s="2"/>
      <c r="K547" s="2"/>
      <c r="L547" s="2"/>
      <c r="M547" s="2"/>
      <c r="N547" s="2"/>
      <c r="O547" s="3"/>
      <c r="P547" s="2"/>
      <c r="Q547" s="2"/>
      <c r="R547" s="2"/>
      <c r="S547" s="2"/>
      <c r="T547" s="2"/>
      <c r="U547" s="2"/>
      <c r="V547" s="2"/>
      <c r="W547" s="3"/>
      <c r="X547" s="2"/>
      <c r="Y547" s="2"/>
      <c r="Z547" s="2"/>
      <c r="AA547" s="2"/>
      <c r="AB547" s="2"/>
      <c r="AC547" s="2"/>
      <c r="AD547" s="2"/>
      <c r="AE547" s="3"/>
      <c r="AF547" s="2"/>
      <c r="AG547" s="2"/>
      <c r="AH547" s="2"/>
      <c r="AI547" s="2"/>
      <c r="AJ547" s="2"/>
      <c r="AK547" s="2"/>
      <c r="AL547" s="3"/>
      <c r="AM547" s="2"/>
      <c r="AN547" s="2"/>
      <c r="AO547" s="2"/>
      <c r="AP547" s="2"/>
      <c r="AQ547" s="2"/>
      <c r="AR547" s="2"/>
    </row>
    <row r="548" spans="5:44" ht="14.45" customHeight="1" x14ac:dyDescent="0.25">
      <c r="E548" s="2"/>
      <c r="F548" s="125"/>
      <c r="G548" s="2"/>
      <c r="H548" s="2"/>
      <c r="I548" s="2"/>
      <c r="J548" s="2"/>
      <c r="K548" s="2"/>
      <c r="L548" s="2"/>
      <c r="M548" s="2"/>
      <c r="N548" s="2"/>
      <c r="O548" s="3"/>
      <c r="P548" s="2"/>
      <c r="Q548" s="2"/>
      <c r="R548" s="2"/>
      <c r="S548" s="2"/>
      <c r="T548" s="2"/>
      <c r="U548" s="2"/>
      <c r="V548" s="2"/>
      <c r="W548" s="3"/>
      <c r="X548" s="2"/>
      <c r="Y548" s="2"/>
      <c r="Z548" s="2"/>
      <c r="AA548" s="2"/>
      <c r="AB548" s="2"/>
      <c r="AC548" s="2"/>
      <c r="AD548" s="2"/>
      <c r="AE548" s="3"/>
      <c r="AF548" s="2"/>
      <c r="AG548" s="36" t="s">
        <v>85</v>
      </c>
      <c r="AH548" s="36"/>
      <c r="AI548" s="36"/>
      <c r="AJ548" s="36" t="s">
        <v>63</v>
      </c>
      <c r="AK548" s="37"/>
      <c r="AL548" s="3"/>
      <c r="AM548" s="2"/>
      <c r="AN548" s="2"/>
      <c r="AO548" s="2"/>
      <c r="AP548" s="2"/>
      <c r="AQ548" s="2"/>
      <c r="AR548" s="2"/>
    </row>
    <row r="549" spans="5:44" ht="14.45" customHeight="1" x14ac:dyDescent="0.25">
      <c r="E549" s="2"/>
      <c r="F549" s="125"/>
      <c r="G549" s="2"/>
      <c r="H549" s="2"/>
      <c r="I549" s="2"/>
      <c r="J549" s="2"/>
      <c r="K549" s="2"/>
      <c r="L549" s="2"/>
      <c r="M549" s="2"/>
      <c r="N549" s="2"/>
      <c r="O549" s="3"/>
      <c r="P549" s="2"/>
      <c r="Q549" s="2"/>
      <c r="R549" s="2"/>
      <c r="S549" s="2"/>
      <c r="T549" s="2"/>
      <c r="U549" s="2"/>
      <c r="V549" s="2"/>
      <c r="W549" s="3"/>
      <c r="X549" s="2"/>
      <c r="Y549" s="2"/>
      <c r="Z549" s="2"/>
      <c r="AA549" s="2"/>
      <c r="AB549" s="2"/>
      <c r="AC549" s="2"/>
      <c r="AD549" s="2"/>
      <c r="AE549" s="3"/>
      <c r="AF549" s="2"/>
      <c r="AG549" s="26" t="s">
        <v>4</v>
      </c>
      <c r="AH549" s="26"/>
      <c r="AI549" s="26"/>
      <c r="AJ549" s="26" t="s">
        <v>5</v>
      </c>
      <c r="AK549" s="26"/>
      <c r="AL549" s="3"/>
      <c r="AM549" s="2"/>
      <c r="AN549" s="2"/>
      <c r="AO549" s="2"/>
      <c r="AP549" s="2"/>
      <c r="AQ549" s="2"/>
      <c r="AR549" s="2"/>
    </row>
    <row r="550" spans="5:44" ht="14.45" customHeight="1" x14ac:dyDescent="0.25">
      <c r="E550" s="2"/>
      <c r="F550" s="125"/>
      <c r="G550" s="2"/>
      <c r="H550" s="2"/>
      <c r="I550" s="2"/>
      <c r="J550" s="2"/>
      <c r="K550" s="2"/>
      <c r="L550" s="2"/>
      <c r="M550" s="2"/>
      <c r="N550" s="2"/>
      <c r="O550" s="3"/>
      <c r="P550" s="2"/>
      <c r="Q550" s="2"/>
      <c r="R550" s="2"/>
      <c r="S550" s="2"/>
      <c r="T550" s="2"/>
      <c r="U550" s="2"/>
      <c r="V550" s="2"/>
      <c r="W550" s="3"/>
      <c r="X550" s="2"/>
      <c r="Y550" s="2"/>
      <c r="Z550" s="2"/>
      <c r="AA550" s="2"/>
      <c r="AB550" s="2"/>
      <c r="AC550" s="2"/>
      <c r="AD550" s="2"/>
      <c r="AE550" s="3"/>
      <c r="AF550" s="2"/>
      <c r="AG550" s="27" t="s">
        <v>85</v>
      </c>
      <c r="AH550" s="27" t="s">
        <v>7</v>
      </c>
      <c r="AI550" s="29"/>
      <c r="AJ550" s="27" t="s">
        <v>85</v>
      </c>
      <c r="AK550" s="27" t="s">
        <v>7</v>
      </c>
      <c r="AL550" s="3"/>
      <c r="AM550" s="2"/>
      <c r="AN550" s="2"/>
      <c r="AO550" s="2"/>
      <c r="AP550" s="2"/>
      <c r="AQ550" s="2"/>
      <c r="AR550" s="2"/>
    </row>
    <row r="551" spans="5:44" ht="14.45" customHeight="1" x14ac:dyDescent="0.25">
      <c r="E551" s="2"/>
      <c r="F551" s="125"/>
      <c r="G551" s="2"/>
      <c r="H551" s="2" t="s">
        <v>12</v>
      </c>
      <c r="I551" s="2"/>
      <c r="J551" s="2"/>
      <c r="K551" s="2"/>
      <c r="L551" s="2"/>
      <c r="M551" s="2"/>
      <c r="N551" s="2"/>
      <c r="O551" s="3"/>
      <c r="P551" s="2"/>
      <c r="Q551" s="2"/>
      <c r="R551" s="2"/>
      <c r="S551" s="2"/>
      <c r="T551" s="2"/>
      <c r="U551" s="2"/>
      <c r="V551" s="2"/>
      <c r="W551" s="3"/>
      <c r="X551" s="2"/>
      <c r="Y551" s="2"/>
      <c r="Z551" s="2"/>
      <c r="AA551" s="2"/>
      <c r="AB551" s="2"/>
      <c r="AC551" s="2"/>
      <c r="AD551" s="2"/>
      <c r="AE551" s="3"/>
      <c r="AF551" s="2" t="s">
        <v>12</v>
      </c>
      <c r="AG551" t="s">
        <v>66</v>
      </c>
      <c r="AH551" s="32" t="s">
        <v>79</v>
      </c>
      <c r="AI551" s="2"/>
      <c r="AJ551" t="s">
        <v>66</v>
      </c>
      <c r="AK551" s="32" t="s">
        <v>79</v>
      </c>
      <c r="AL551" s="3"/>
      <c r="AM551" s="2"/>
      <c r="AN551" s="2"/>
      <c r="AO551" s="2"/>
      <c r="AP551" s="2"/>
      <c r="AQ551" s="2"/>
      <c r="AR551" s="2"/>
    </row>
    <row r="552" spans="5:44" ht="14.45" customHeight="1" x14ac:dyDescent="0.25">
      <c r="E552" s="2"/>
      <c r="F552" s="125"/>
      <c r="G552" s="2"/>
      <c r="H552" s="2" t="s">
        <v>20</v>
      </c>
      <c r="I552" s="2"/>
      <c r="J552" s="2"/>
      <c r="K552" s="2"/>
      <c r="L552" s="2"/>
      <c r="M552" s="2"/>
      <c r="N552" s="2"/>
      <c r="O552" s="3"/>
      <c r="P552" s="2"/>
      <c r="Q552" s="2"/>
      <c r="R552" s="2"/>
      <c r="S552" s="2"/>
      <c r="T552" s="2"/>
      <c r="U552" s="2"/>
      <c r="V552" s="2"/>
      <c r="W552" s="3"/>
      <c r="X552" s="2"/>
      <c r="Y552" s="2"/>
      <c r="Z552" s="2"/>
      <c r="AA552" s="2"/>
      <c r="AB552" s="2"/>
      <c r="AC552" s="2"/>
      <c r="AD552" s="2"/>
      <c r="AE552" s="3"/>
      <c r="AF552" s="2" t="s">
        <v>20</v>
      </c>
      <c r="AG552" s="2" t="s">
        <v>59</v>
      </c>
      <c r="AH552" s="32" t="s">
        <v>70</v>
      </c>
      <c r="AI552" s="2"/>
      <c r="AJ552" s="2" t="s">
        <v>59</v>
      </c>
      <c r="AK552" s="32" t="s">
        <v>70</v>
      </c>
      <c r="AL552" s="3"/>
      <c r="AM552" s="2"/>
      <c r="AN552" s="2"/>
      <c r="AO552" s="2"/>
      <c r="AP552" s="2"/>
      <c r="AQ552" s="2"/>
      <c r="AR552" s="2"/>
    </row>
    <row r="553" spans="5:44" ht="14.45" customHeight="1" x14ac:dyDescent="0.25">
      <c r="E553" s="2"/>
      <c r="F553" s="125"/>
      <c r="G553" s="2"/>
      <c r="H553" s="2" t="s">
        <v>24</v>
      </c>
      <c r="I553" s="2"/>
      <c r="J553" s="2"/>
      <c r="K553" s="2"/>
      <c r="L553" s="2"/>
      <c r="M553" s="2"/>
      <c r="N553" s="2"/>
      <c r="O553" s="3"/>
      <c r="P553" s="2"/>
      <c r="Q553" s="2"/>
      <c r="R553" s="2"/>
      <c r="S553" s="2"/>
      <c r="T553" s="2"/>
      <c r="U553" s="2"/>
      <c r="V553" s="2"/>
      <c r="W553" s="3"/>
      <c r="X553" s="2"/>
      <c r="Y553" s="2"/>
      <c r="Z553" s="2"/>
      <c r="AA553" s="2"/>
      <c r="AB553" s="2"/>
      <c r="AC553" s="2"/>
      <c r="AD553" s="2"/>
      <c r="AE553" s="3"/>
      <c r="AF553" s="2" t="s">
        <v>24</v>
      </c>
      <c r="AG553" s="2" t="s">
        <v>61</v>
      </c>
      <c r="AH553" s="32" t="s">
        <v>70</v>
      </c>
      <c r="AI553" s="2"/>
      <c r="AJ553" s="2" t="s">
        <v>61</v>
      </c>
      <c r="AK553" s="32" t="s">
        <v>70</v>
      </c>
      <c r="AL553" s="3"/>
      <c r="AM553" s="2"/>
      <c r="AN553" s="2"/>
      <c r="AO553" s="2"/>
      <c r="AP553" s="2"/>
      <c r="AQ553" s="2"/>
      <c r="AR553" s="2"/>
    </row>
    <row r="554" spans="5:44" ht="14.45" customHeight="1" x14ac:dyDescent="0.25">
      <c r="E554" s="2"/>
      <c r="F554" s="125"/>
      <c r="G554" s="2"/>
      <c r="H554" s="2" t="s">
        <v>28</v>
      </c>
      <c r="I554" s="2"/>
      <c r="J554" s="2"/>
      <c r="K554" s="2"/>
      <c r="L554" s="2"/>
      <c r="M554" s="2"/>
      <c r="N554" s="2"/>
      <c r="O554" s="3"/>
      <c r="P554" s="2"/>
      <c r="Q554" s="2"/>
      <c r="R554" s="2"/>
      <c r="S554" s="2"/>
      <c r="T554" s="2"/>
      <c r="U554" s="2"/>
      <c r="V554" s="2"/>
      <c r="W554" s="3"/>
      <c r="X554" s="2"/>
      <c r="Y554" s="2"/>
      <c r="Z554" s="2"/>
      <c r="AA554" s="2"/>
      <c r="AB554" s="2"/>
      <c r="AC554" s="2"/>
      <c r="AD554" s="2"/>
      <c r="AE554" s="3"/>
      <c r="AF554" s="2" t="s">
        <v>28</v>
      </c>
      <c r="AG554" s="2" t="s">
        <v>61</v>
      </c>
      <c r="AH554" s="32" t="s">
        <v>70</v>
      </c>
      <c r="AI554" s="2"/>
      <c r="AJ554" s="2" t="s">
        <v>61</v>
      </c>
      <c r="AK554" s="32" t="s">
        <v>70</v>
      </c>
      <c r="AL554" s="3"/>
      <c r="AM554" s="2"/>
      <c r="AN554" s="2"/>
      <c r="AO554" s="2"/>
      <c r="AP554" s="2"/>
      <c r="AQ554" s="2"/>
      <c r="AR554" s="2"/>
    </row>
    <row r="555" spans="5:44" ht="14.45" customHeight="1" x14ac:dyDescent="0.25">
      <c r="E555" s="2"/>
      <c r="F555" s="125"/>
      <c r="G555" s="2"/>
      <c r="H555" s="2" t="s">
        <v>32</v>
      </c>
      <c r="I555" s="2"/>
      <c r="J555" s="2"/>
      <c r="K555" s="2"/>
      <c r="L555" s="2"/>
      <c r="M555" s="2"/>
      <c r="N555" s="2"/>
      <c r="O555" s="3"/>
      <c r="P555" s="2"/>
      <c r="Q555" s="2"/>
      <c r="R555" s="2"/>
      <c r="S555" s="2"/>
      <c r="T555" s="2"/>
      <c r="U555" s="2"/>
      <c r="V555" s="2"/>
      <c r="W555" s="3"/>
      <c r="X555" s="2"/>
      <c r="Y555" s="2"/>
      <c r="Z555" s="2"/>
      <c r="AA555" s="2"/>
      <c r="AB555" s="2"/>
      <c r="AC555" s="2"/>
      <c r="AD555" s="2"/>
      <c r="AE555" s="3"/>
      <c r="AF555" s="2" t="s">
        <v>32</v>
      </c>
      <c r="AG555" s="2" t="s">
        <v>61</v>
      </c>
      <c r="AH555" s="32" t="s">
        <v>70</v>
      </c>
      <c r="AI555" s="2"/>
      <c r="AJ555" s="2" t="s">
        <v>61</v>
      </c>
      <c r="AK555" s="32" t="s">
        <v>70</v>
      </c>
      <c r="AL555" s="3"/>
      <c r="AM555" s="2"/>
      <c r="AN555" s="2"/>
      <c r="AO555" s="2"/>
      <c r="AP555" s="2"/>
      <c r="AQ555" s="2"/>
      <c r="AR555" s="2"/>
    </row>
    <row r="556" spans="5:44" ht="14.45" customHeight="1" x14ac:dyDescent="0.25">
      <c r="E556" s="2"/>
      <c r="F556" s="125"/>
      <c r="G556" s="2"/>
      <c r="H556" s="2"/>
      <c r="I556" s="2"/>
      <c r="J556" s="2"/>
      <c r="K556" s="2"/>
      <c r="L556" s="2"/>
      <c r="M556" s="2"/>
      <c r="N556" s="2"/>
      <c r="O556" s="3"/>
      <c r="P556" s="2"/>
      <c r="Q556" s="2"/>
      <c r="R556" s="2"/>
      <c r="S556" s="2"/>
      <c r="T556" s="2"/>
      <c r="U556" s="2"/>
      <c r="V556" s="2"/>
      <c r="W556" s="3"/>
      <c r="X556" s="2"/>
      <c r="Y556" s="2"/>
      <c r="Z556" s="2"/>
      <c r="AA556" s="2"/>
      <c r="AB556" s="2"/>
      <c r="AC556" s="2"/>
      <c r="AD556" s="2"/>
      <c r="AE556" s="3"/>
      <c r="AF556" s="2"/>
      <c r="AG556" s="2"/>
      <c r="AH556" s="2"/>
      <c r="AI556" s="2"/>
      <c r="AJ556" s="2"/>
      <c r="AK556" s="2"/>
      <c r="AL556" s="3"/>
      <c r="AM556" s="2"/>
      <c r="AN556" s="2"/>
      <c r="AO556" s="2"/>
      <c r="AP556" s="2"/>
      <c r="AQ556" s="2"/>
      <c r="AR556" s="2"/>
    </row>
    <row r="557" spans="5:44" ht="14.45" customHeight="1" x14ac:dyDescent="0.25">
      <c r="E557" s="2"/>
      <c r="F557" s="125"/>
      <c r="G557" s="2"/>
      <c r="H557" s="2"/>
      <c r="I557" s="2"/>
      <c r="J557" s="2"/>
      <c r="K557" s="2"/>
      <c r="L557" s="2"/>
      <c r="M557" s="2"/>
      <c r="N557" s="2"/>
      <c r="O557" s="3"/>
      <c r="P557" s="2"/>
      <c r="Q557" s="2"/>
      <c r="R557" s="2"/>
      <c r="S557" s="2"/>
      <c r="T557" s="2"/>
      <c r="U557" s="2"/>
      <c r="V557" s="2"/>
      <c r="W557" s="3"/>
      <c r="X557" s="2"/>
      <c r="Y557" s="25">
        <v>1823</v>
      </c>
      <c r="Z557" s="25"/>
      <c r="AA557" s="25"/>
      <c r="AB557" s="25" t="s">
        <v>63</v>
      </c>
      <c r="AC557" s="3"/>
      <c r="AD557" s="2"/>
      <c r="AE557" s="3"/>
      <c r="AF557" s="2"/>
      <c r="AG557" s="36">
        <v>1878</v>
      </c>
      <c r="AH557" s="36"/>
      <c r="AI557" s="36"/>
      <c r="AJ557" s="36" t="s">
        <v>63</v>
      </c>
      <c r="AK557" s="37"/>
      <c r="AL557" s="3"/>
      <c r="AM557" s="2"/>
      <c r="AN557" s="2"/>
      <c r="AO557" s="2"/>
      <c r="AP557" s="2"/>
      <c r="AQ557" s="2"/>
      <c r="AR557" s="2"/>
    </row>
    <row r="558" spans="5:44" ht="14.45" customHeight="1" x14ac:dyDescent="0.25">
      <c r="E558" s="2"/>
      <c r="F558" s="125"/>
      <c r="G558" s="2"/>
      <c r="H558" s="2"/>
      <c r="I558" s="2"/>
      <c r="J558" s="2"/>
      <c r="K558" s="2"/>
      <c r="L558" s="2"/>
      <c r="M558" s="2"/>
      <c r="N558" s="2"/>
      <c r="O558" s="3"/>
      <c r="P558" s="2"/>
      <c r="Q558" s="2"/>
      <c r="R558" s="2"/>
      <c r="S558" s="2"/>
      <c r="T558" s="2"/>
      <c r="U558" s="2"/>
      <c r="V558" s="2"/>
      <c r="W558" s="3"/>
      <c r="X558" s="2"/>
      <c r="Y558" s="26" t="s">
        <v>4</v>
      </c>
      <c r="Z558" s="26"/>
      <c r="AA558" s="26"/>
      <c r="AB558" s="26" t="s">
        <v>5</v>
      </c>
      <c r="AC558" s="26"/>
      <c r="AD558" s="26"/>
      <c r="AE558" s="3"/>
      <c r="AF558" s="2"/>
      <c r="AG558" s="26" t="s">
        <v>4</v>
      </c>
      <c r="AH558" s="26"/>
      <c r="AI558" s="26"/>
      <c r="AJ558" s="26" t="s">
        <v>5</v>
      </c>
      <c r="AK558" s="26"/>
      <c r="AL558" s="3"/>
      <c r="AM558" s="2"/>
      <c r="AN558" s="2"/>
      <c r="AO558" s="2"/>
      <c r="AP558" s="2"/>
      <c r="AQ558" s="2"/>
      <c r="AR558" s="2"/>
    </row>
    <row r="559" spans="5:44" ht="14.45" customHeight="1" x14ac:dyDescent="0.25">
      <c r="E559" s="2"/>
      <c r="F559" s="125"/>
      <c r="G559" s="2"/>
      <c r="H559" s="2"/>
      <c r="I559" s="2"/>
      <c r="J559" s="2"/>
      <c r="K559" s="2"/>
      <c r="L559" s="2"/>
      <c r="M559" s="2"/>
      <c r="N559" s="2"/>
      <c r="O559" s="3"/>
      <c r="P559" s="2"/>
      <c r="Q559" s="2"/>
      <c r="R559" s="2"/>
      <c r="S559" s="2"/>
      <c r="T559" s="2"/>
      <c r="U559" s="2"/>
      <c r="V559" s="2"/>
      <c r="W559" s="3"/>
      <c r="X559" s="2"/>
      <c r="Y559" s="27">
        <v>1823</v>
      </c>
      <c r="Z559" s="27" t="s">
        <v>7</v>
      </c>
      <c r="AA559" s="29"/>
      <c r="AB559" s="27">
        <v>1823</v>
      </c>
      <c r="AC559" s="27" t="s">
        <v>7</v>
      </c>
      <c r="AD559" s="28"/>
      <c r="AE559" s="3"/>
      <c r="AF559" s="2"/>
      <c r="AG559" s="27">
        <v>1878</v>
      </c>
      <c r="AH559" s="27" t="s">
        <v>7</v>
      </c>
      <c r="AI559" s="29"/>
      <c r="AJ559" s="27">
        <v>1878</v>
      </c>
      <c r="AK559" s="27" t="s">
        <v>7</v>
      </c>
      <c r="AL559" s="3"/>
      <c r="AM559" s="2"/>
      <c r="AN559" s="2"/>
      <c r="AO559" s="2"/>
      <c r="AP559" s="2"/>
      <c r="AQ559" s="2"/>
      <c r="AR559" s="2"/>
    </row>
    <row r="560" spans="5:44" ht="14.45" customHeight="1" x14ac:dyDescent="0.25">
      <c r="E560" s="2"/>
      <c r="F560" s="125"/>
      <c r="G560" s="2"/>
      <c r="H560" s="2" t="s">
        <v>12</v>
      </c>
      <c r="I560" s="2"/>
      <c r="J560" s="2"/>
      <c r="K560" s="2"/>
      <c r="L560" s="2"/>
      <c r="M560" s="2"/>
      <c r="N560" s="2"/>
      <c r="O560" s="3"/>
      <c r="P560" s="2"/>
      <c r="Q560" s="2"/>
      <c r="R560" s="2"/>
      <c r="S560" s="2"/>
      <c r="T560" s="2"/>
      <c r="U560" s="2"/>
      <c r="V560" s="2"/>
      <c r="W560" s="3"/>
      <c r="X560" s="2" t="s">
        <v>12</v>
      </c>
      <c r="Y560" s="34" t="s">
        <v>86</v>
      </c>
      <c r="Z560" s="32" t="s">
        <v>70</v>
      </c>
      <c r="AA560" s="2"/>
      <c r="AB560" s="34" t="s">
        <v>86</v>
      </c>
      <c r="AC560" s="32" t="s">
        <v>70</v>
      </c>
      <c r="AD560" s="2"/>
      <c r="AE560" s="3"/>
      <c r="AF560" s="2" t="s">
        <v>12</v>
      </c>
      <c r="AG560" t="s">
        <v>50</v>
      </c>
      <c r="AH560" s="32" t="s">
        <v>70</v>
      </c>
      <c r="AI560" s="2"/>
      <c r="AJ560" t="s">
        <v>50</v>
      </c>
      <c r="AK560" s="32" t="s">
        <v>70</v>
      </c>
      <c r="AL560" s="3"/>
      <c r="AM560" s="2"/>
      <c r="AN560" s="2"/>
      <c r="AO560" s="2"/>
      <c r="AP560" s="2"/>
      <c r="AQ560" s="2"/>
      <c r="AR560" s="2"/>
    </row>
    <row r="561" spans="5:44" ht="14.45" customHeight="1" x14ac:dyDescent="0.25">
      <c r="E561" s="2"/>
      <c r="F561" s="125"/>
      <c r="G561" s="2"/>
      <c r="H561" s="2" t="s">
        <v>20</v>
      </c>
      <c r="I561" s="2"/>
      <c r="J561" s="2"/>
      <c r="K561" s="2"/>
      <c r="L561" s="2"/>
      <c r="M561" s="2"/>
      <c r="N561" s="2"/>
      <c r="O561" s="3"/>
      <c r="P561" s="2"/>
      <c r="Q561" s="2"/>
      <c r="R561" s="2"/>
      <c r="S561" s="2"/>
      <c r="T561" s="2"/>
      <c r="U561" s="2"/>
      <c r="V561" s="2"/>
      <c r="W561" s="3"/>
      <c r="X561" s="2" t="s">
        <v>20</v>
      </c>
      <c r="Y561" s="34" t="s">
        <v>86</v>
      </c>
      <c r="Z561" s="32" t="s">
        <v>70</v>
      </c>
      <c r="AA561" s="2"/>
      <c r="AB561" s="34" t="s">
        <v>86</v>
      </c>
      <c r="AC561" s="32" t="s">
        <v>70</v>
      </c>
      <c r="AD561" s="2"/>
      <c r="AE561" s="3"/>
      <c r="AF561" s="2" t="s">
        <v>20</v>
      </c>
      <c r="AG561" t="s">
        <v>50</v>
      </c>
      <c r="AH561" s="32" t="s">
        <v>70</v>
      </c>
      <c r="AI561" s="2"/>
      <c r="AJ561" t="s">
        <v>50</v>
      </c>
      <c r="AK561" s="32" t="s">
        <v>70</v>
      </c>
      <c r="AL561" s="3"/>
      <c r="AM561" s="2"/>
      <c r="AN561" s="2"/>
      <c r="AO561" s="2"/>
      <c r="AP561" s="2"/>
      <c r="AQ561" s="2"/>
      <c r="AR561" s="2"/>
    </row>
    <row r="562" spans="5:44" ht="14.45" customHeight="1" x14ac:dyDescent="0.25">
      <c r="E562" s="2"/>
      <c r="F562" s="125"/>
      <c r="G562" s="2"/>
      <c r="H562" s="2" t="s">
        <v>24</v>
      </c>
      <c r="I562" s="2"/>
      <c r="J562" s="2"/>
      <c r="K562" s="2"/>
      <c r="L562" s="2"/>
      <c r="M562" s="2"/>
      <c r="N562" s="2"/>
      <c r="O562" s="3"/>
      <c r="P562" s="2"/>
      <c r="Q562" s="2"/>
      <c r="R562" s="2"/>
      <c r="S562" s="2"/>
      <c r="T562" s="2"/>
      <c r="U562" s="2"/>
      <c r="V562" s="2"/>
      <c r="W562" s="3"/>
      <c r="X562" s="2" t="s">
        <v>24</v>
      </c>
      <c r="Y562" s="34" t="s">
        <v>87</v>
      </c>
      <c r="Z562" s="32" t="s">
        <v>70</v>
      </c>
      <c r="AA562" s="2"/>
      <c r="AB562" s="34" t="s">
        <v>87</v>
      </c>
      <c r="AC562" s="32" t="s">
        <v>70</v>
      </c>
      <c r="AD562" s="2"/>
      <c r="AE562" s="3"/>
      <c r="AF562" s="2" t="s">
        <v>24</v>
      </c>
      <c r="AG562" t="s">
        <v>50</v>
      </c>
      <c r="AH562" s="32" t="s">
        <v>70</v>
      </c>
      <c r="AI562" s="2"/>
      <c r="AJ562" t="s">
        <v>50</v>
      </c>
      <c r="AK562" s="32" t="s">
        <v>70</v>
      </c>
      <c r="AL562" s="3"/>
      <c r="AM562" s="2"/>
      <c r="AN562" s="2"/>
      <c r="AO562" s="2"/>
      <c r="AP562" s="2"/>
      <c r="AQ562" s="2"/>
      <c r="AR562" s="2"/>
    </row>
    <row r="563" spans="5:44" ht="14.45" customHeight="1" x14ac:dyDescent="0.25">
      <c r="E563" s="2"/>
      <c r="F563" s="125"/>
      <c r="G563" s="2"/>
      <c r="H563" s="2" t="s">
        <v>28</v>
      </c>
      <c r="I563" s="2"/>
      <c r="J563" s="2"/>
      <c r="K563" s="2"/>
      <c r="L563" s="2"/>
      <c r="M563" s="2"/>
      <c r="N563" s="2"/>
      <c r="O563" s="3"/>
      <c r="P563" s="2"/>
      <c r="Q563" s="2"/>
      <c r="R563" s="2"/>
      <c r="S563" s="2"/>
      <c r="T563" s="2"/>
      <c r="U563" s="2"/>
      <c r="V563" s="2"/>
      <c r="W563" s="3"/>
      <c r="X563" s="2" t="s">
        <v>28</v>
      </c>
      <c r="Y563" s="34" t="s">
        <v>87</v>
      </c>
      <c r="Z563" s="32" t="s">
        <v>70</v>
      </c>
      <c r="AA563" s="2"/>
      <c r="AB563" s="34" t="s">
        <v>87</v>
      </c>
      <c r="AC563" s="32" t="s">
        <v>70</v>
      </c>
      <c r="AD563" s="2"/>
      <c r="AE563" s="3"/>
      <c r="AF563" s="2" t="s">
        <v>28</v>
      </c>
      <c r="AG563" t="s">
        <v>50</v>
      </c>
      <c r="AH563" s="32" t="s">
        <v>70</v>
      </c>
      <c r="AI563" s="2"/>
      <c r="AJ563" t="s">
        <v>50</v>
      </c>
      <c r="AK563" s="32" t="s">
        <v>70</v>
      </c>
      <c r="AL563" s="3"/>
      <c r="AM563" s="2"/>
      <c r="AN563" s="2"/>
      <c r="AO563" s="2"/>
      <c r="AP563" s="2"/>
      <c r="AQ563" s="2"/>
      <c r="AR563" s="2"/>
    </row>
    <row r="564" spans="5:44" ht="14.45" customHeight="1" x14ac:dyDescent="0.25">
      <c r="E564" s="2"/>
      <c r="F564" s="125"/>
      <c r="G564" s="2"/>
      <c r="H564" s="2" t="s">
        <v>32</v>
      </c>
      <c r="I564" s="2"/>
      <c r="J564" s="2"/>
      <c r="K564" s="2"/>
      <c r="L564" s="2"/>
      <c r="M564" s="2"/>
      <c r="N564" s="2"/>
      <c r="O564" s="3"/>
      <c r="P564" s="2"/>
      <c r="Q564" s="2"/>
      <c r="R564" s="2"/>
      <c r="S564" s="2"/>
      <c r="T564" s="2"/>
      <c r="U564" s="2"/>
      <c r="V564" s="2"/>
      <c r="W564" s="3"/>
      <c r="X564" s="2" t="s">
        <v>32</v>
      </c>
      <c r="Y564" s="34" t="s">
        <v>87</v>
      </c>
      <c r="Z564" s="32" t="s">
        <v>70</v>
      </c>
      <c r="AA564" s="2"/>
      <c r="AB564" s="34" t="s">
        <v>87</v>
      </c>
      <c r="AC564" s="32" t="s">
        <v>70</v>
      </c>
      <c r="AD564" s="2"/>
      <c r="AE564" s="3"/>
      <c r="AF564" s="2" t="s">
        <v>32</v>
      </c>
      <c r="AG564" t="s">
        <v>50</v>
      </c>
      <c r="AH564" s="32" t="s">
        <v>70</v>
      </c>
      <c r="AI564" s="2"/>
      <c r="AJ564" t="s">
        <v>50</v>
      </c>
      <c r="AK564" s="32" t="s">
        <v>70</v>
      </c>
      <c r="AL564" s="3"/>
      <c r="AM564" s="2"/>
      <c r="AN564" s="2"/>
      <c r="AO564" s="2"/>
      <c r="AP564" s="2"/>
      <c r="AQ564" s="2"/>
      <c r="AR564" s="2"/>
    </row>
    <row r="565" spans="5:44" ht="14.45" customHeight="1" x14ac:dyDescent="0.25">
      <c r="E565" s="2"/>
      <c r="F565" s="125"/>
      <c r="G565" s="2"/>
      <c r="H565" s="2"/>
      <c r="I565" s="2"/>
      <c r="J565" s="2"/>
      <c r="K565" s="2"/>
      <c r="L565" s="2"/>
      <c r="M565" s="2"/>
      <c r="N565" s="2"/>
      <c r="O565" s="3"/>
      <c r="P565" s="2"/>
      <c r="Q565" s="2"/>
      <c r="R565" s="2"/>
      <c r="S565" s="2"/>
      <c r="T565" s="2"/>
      <c r="U565" s="2"/>
      <c r="V565" s="2"/>
      <c r="W565" s="3"/>
      <c r="X565" s="2"/>
      <c r="Y565" s="2"/>
      <c r="Z565" s="2"/>
      <c r="AA565" s="2"/>
      <c r="AB565" s="2"/>
      <c r="AC565" s="2"/>
      <c r="AD565" s="2"/>
      <c r="AE565" s="3"/>
      <c r="AF565" s="2"/>
      <c r="AG565" s="2"/>
      <c r="AH565" s="2"/>
      <c r="AI565" s="2"/>
      <c r="AJ565" s="2"/>
      <c r="AK565" s="2"/>
      <c r="AL565" s="3"/>
      <c r="AM565" s="2"/>
      <c r="AN565" s="2"/>
      <c r="AO565" s="2"/>
      <c r="AP565" s="2"/>
      <c r="AQ565" s="2"/>
      <c r="AR565" s="2"/>
    </row>
    <row r="566" spans="5:44" ht="14.45" customHeight="1" x14ac:dyDescent="0.25">
      <c r="E566" s="2"/>
      <c r="F566" s="125"/>
      <c r="G566" s="2"/>
      <c r="H566" s="2"/>
      <c r="I566" s="2"/>
      <c r="J566" s="2"/>
      <c r="K566" s="2"/>
      <c r="L566" s="2"/>
      <c r="M566" s="2"/>
      <c r="N566" s="2"/>
      <c r="O566" s="3"/>
      <c r="P566" s="2"/>
      <c r="Q566" s="2"/>
      <c r="R566" s="2"/>
      <c r="S566" s="2"/>
      <c r="T566" s="2"/>
      <c r="U566" s="2"/>
      <c r="V566" s="2"/>
      <c r="W566" s="3"/>
      <c r="X566" s="2"/>
      <c r="Y566" s="25" t="s">
        <v>88</v>
      </c>
      <c r="Z566" s="25"/>
      <c r="AA566" s="25"/>
      <c r="AB566" s="25" t="s">
        <v>89</v>
      </c>
      <c r="AC566" s="3"/>
      <c r="AD566" s="2"/>
      <c r="AE566" s="3"/>
      <c r="AF566" s="2"/>
      <c r="AG566" s="2"/>
      <c r="AH566" s="2"/>
      <c r="AI566" s="2"/>
      <c r="AJ566" s="2"/>
      <c r="AK566" s="2"/>
      <c r="AL566" s="3"/>
      <c r="AM566" s="2"/>
      <c r="AN566" s="2"/>
      <c r="AO566" s="2"/>
      <c r="AP566" s="2"/>
      <c r="AQ566" s="2"/>
      <c r="AR566" s="2"/>
    </row>
    <row r="567" spans="5:44" ht="14.45" customHeight="1" x14ac:dyDescent="0.25">
      <c r="E567" s="2"/>
      <c r="F567" s="125"/>
      <c r="G567" s="2"/>
      <c r="H567" s="2"/>
      <c r="I567" s="2"/>
      <c r="J567" s="2"/>
      <c r="K567" s="2"/>
      <c r="L567" s="2"/>
      <c r="M567" s="2"/>
      <c r="N567" s="2"/>
      <c r="O567" s="3"/>
      <c r="P567" s="2"/>
      <c r="Q567" s="2"/>
      <c r="R567" s="2"/>
      <c r="S567" s="2"/>
      <c r="T567" s="2"/>
      <c r="U567" s="2"/>
      <c r="V567" s="2"/>
      <c r="W567" s="3"/>
      <c r="X567" s="2"/>
      <c r="Y567" s="26" t="s">
        <v>4</v>
      </c>
      <c r="Z567" s="26"/>
      <c r="AA567" s="26"/>
      <c r="AB567" s="26" t="s">
        <v>5</v>
      </c>
      <c r="AC567" s="26"/>
      <c r="AD567" s="2"/>
      <c r="AE567" s="3"/>
      <c r="AF567" s="2"/>
      <c r="AG567" s="2"/>
      <c r="AH567" s="2"/>
      <c r="AI567" s="2"/>
      <c r="AJ567" s="2"/>
      <c r="AK567" s="2"/>
      <c r="AL567" s="3"/>
      <c r="AM567" s="2"/>
      <c r="AN567" s="2"/>
      <c r="AO567" s="2"/>
      <c r="AP567" s="2"/>
      <c r="AQ567" s="2"/>
      <c r="AR567" s="2"/>
    </row>
    <row r="568" spans="5:44" ht="14.45" customHeight="1" x14ac:dyDescent="0.25">
      <c r="E568" s="2"/>
      <c r="F568" s="125"/>
      <c r="G568" s="2"/>
      <c r="H568" s="2"/>
      <c r="I568" s="2"/>
      <c r="J568" s="2"/>
      <c r="K568" s="2"/>
      <c r="L568" s="2"/>
      <c r="M568" s="2"/>
      <c r="N568" s="2"/>
      <c r="O568" s="3"/>
      <c r="P568" s="2"/>
      <c r="Q568" s="2"/>
      <c r="R568" s="2"/>
      <c r="S568" s="2"/>
      <c r="T568" s="2"/>
      <c r="U568" s="2"/>
      <c r="V568" s="2"/>
      <c r="W568" s="3"/>
      <c r="X568" s="2"/>
      <c r="Y568" s="27" t="s">
        <v>90</v>
      </c>
      <c r="Z568" s="27" t="s">
        <v>7</v>
      </c>
      <c r="AA568" s="29"/>
      <c r="AB568" s="27" t="s">
        <v>90</v>
      </c>
      <c r="AC568" s="27" t="s">
        <v>7</v>
      </c>
      <c r="AD568" s="2"/>
      <c r="AE568" s="3"/>
      <c r="AF568" s="2"/>
      <c r="AG568" s="2"/>
      <c r="AH568" s="2"/>
      <c r="AI568" s="2"/>
      <c r="AJ568" s="2"/>
      <c r="AK568" s="2"/>
      <c r="AL568" s="3"/>
      <c r="AM568" s="2"/>
      <c r="AN568" s="2"/>
      <c r="AO568" s="2"/>
      <c r="AP568" s="2"/>
      <c r="AQ568" s="2"/>
      <c r="AR568" s="2"/>
    </row>
    <row r="569" spans="5:44" ht="14.45" customHeight="1" x14ac:dyDescent="0.25">
      <c r="E569" s="2"/>
      <c r="F569" s="125"/>
      <c r="G569" s="2"/>
      <c r="H569" s="2" t="s">
        <v>12</v>
      </c>
      <c r="I569" s="2"/>
      <c r="J569" s="2"/>
      <c r="K569" s="2"/>
      <c r="L569" s="2"/>
      <c r="M569" s="2"/>
      <c r="N569" s="2"/>
      <c r="O569" s="3"/>
      <c r="P569" s="2"/>
      <c r="Q569" s="2"/>
      <c r="R569" s="2"/>
      <c r="S569" s="2"/>
      <c r="T569" s="2"/>
      <c r="U569" s="2"/>
      <c r="V569" s="2"/>
      <c r="W569" s="3"/>
      <c r="X569" s="2" t="s">
        <v>12</v>
      </c>
      <c r="Y569" t="s">
        <v>19</v>
      </c>
      <c r="Z569" s="32" t="s">
        <v>79</v>
      </c>
      <c r="AA569" s="2"/>
      <c r="AB569" t="s">
        <v>19</v>
      </c>
      <c r="AC569" s="32" t="s">
        <v>79</v>
      </c>
      <c r="AD569" s="2"/>
      <c r="AE569" s="3"/>
      <c r="AF569" s="2"/>
      <c r="AG569" s="2"/>
      <c r="AH569" s="2"/>
      <c r="AI569" s="2"/>
      <c r="AJ569" s="2"/>
      <c r="AK569" s="2"/>
      <c r="AL569" s="3"/>
      <c r="AM569" s="2"/>
      <c r="AN569" s="2"/>
      <c r="AO569" s="2"/>
      <c r="AP569" s="2"/>
      <c r="AQ569" s="2"/>
      <c r="AR569" s="2"/>
    </row>
    <row r="570" spans="5:44" ht="14.45" customHeight="1" x14ac:dyDescent="0.25">
      <c r="E570" s="2"/>
      <c r="F570" s="125"/>
      <c r="G570" s="2"/>
      <c r="H570" s="2" t="s">
        <v>20</v>
      </c>
      <c r="I570" s="2"/>
      <c r="J570" s="2"/>
      <c r="K570" s="2"/>
      <c r="L570" s="2"/>
      <c r="M570" s="2"/>
      <c r="N570" s="2"/>
      <c r="O570" s="3"/>
      <c r="P570" s="2"/>
      <c r="Q570" s="2"/>
      <c r="R570" s="2"/>
      <c r="S570" s="2"/>
      <c r="T570" s="2"/>
      <c r="U570" s="2"/>
      <c r="V570" s="2"/>
      <c r="W570" s="3"/>
      <c r="X570" s="2" t="s">
        <v>20</v>
      </c>
      <c r="Y570" t="s">
        <v>66</v>
      </c>
      <c r="Z570" s="32" t="s">
        <v>79</v>
      </c>
      <c r="AA570" s="2"/>
      <c r="AB570" t="s">
        <v>66</v>
      </c>
      <c r="AC570" s="32" t="s">
        <v>79</v>
      </c>
      <c r="AD570" s="2"/>
      <c r="AE570" s="3"/>
      <c r="AF570" s="2"/>
      <c r="AG570" s="2"/>
      <c r="AH570" s="2"/>
      <c r="AI570" s="2"/>
      <c r="AJ570" s="2"/>
      <c r="AK570" s="2"/>
      <c r="AL570" s="3"/>
      <c r="AM570" s="2"/>
      <c r="AN570" s="2"/>
      <c r="AO570" s="2"/>
      <c r="AP570" s="2"/>
      <c r="AQ570" s="2"/>
      <c r="AR570" s="2"/>
    </row>
    <row r="571" spans="5:44" ht="14.45" customHeight="1" x14ac:dyDescent="0.25">
      <c r="E571" s="2"/>
      <c r="F571" s="125"/>
      <c r="G571" s="2"/>
      <c r="H571" s="2" t="s">
        <v>24</v>
      </c>
      <c r="I571" s="2"/>
      <c r="J571" s="2"/>
      <c r="K571" s="2"/>
      <c r="L571" s="2"/>
      <c r="M571" s="2"/>
      <c r="N571" s="2"/>
      <c r="O571" s="3"/>
      <c r="P571" s="2"/>
      <c r="Q571" s="2"/>
      <c r="R571" s="2"/>
      <c r="S571" s="2"/>
      <c r="T571" s="2"/>
      <c r="U571" s="2"/>
      <c r="V571" s="2"/>
      <c r="W571" s="3"/>
      <c r="X571" s="2" t="s">
        <v>24</v>
      </c>
      <c r="Y571" s="19" t="s">
        <v>44</v>
      </c>
      <c r="Z571" s="32" t="s">
        <v>70</v>
      </c>
      <c r="AA571" s="2"/>
      <c r="AB571" s="19" t="s">
        <v>44</v>
      </c>
      <c r="AC571" s="32" t="s">
        <v>70</v>
      </c>
      <c r="AD571" s="2"/>
      <c r="AE571" s="3"/>
      <c r="AF571" s="2"/>
      <c r="AG571" s="2"/>
      <c r="AH571" s="2"/>
      <c r="AI571" s="2"/>
      <c r="AJ571" s="2"/>
      <c r="AK571" s="2"/>
      <c r="AL571" s="3"/>
      <c r="AM571" s="2"/>
      <c r="AN571" s="2"/>
      <c r="AO571" s="2"/>
      <c r="AP571" s="2"/>
      <c r="AQ571" s="2"/>
      <c r="AR571" s="2"/>
    </row>
    <row r="572" spans="5:44" ht="14.45" customHeight="1" x14ac:dyDescent="0.25">
      <c r="E572" s="2"/>
      <c r="F572" s="125"/>
      <c r="G572" s="2"/>
      <c r="H572" s="2" t="s">
        <v>28</v>
      </c>
      <c r="I572" s="2"/>
      <c r="J572" s="2"/>
      <c r="K572" s="2"/>
      <c r="L572" s="2"/>
      <c r="M572" s="2"/>
      <c r="N572" s="2"/>
      <c r="O572" s="3"/>
      <c r="P572" s="2"/>
      <c r="Q572" s="2"/>
      <c r="R572" s="2"/>
      <c r="S572" s="2"/>
      <c r="T572" s="2"/>
      <c r="U572" s="2"/>
      <c r="V572" s="2"/>
      <c r="W572" s="3"/>
      <c r="X572" s="2" t="s">
        <v>28</v>
      </c>
      <c r="Y572" s="14" t="s">
        <v>34</v>
      </c>
      <c r="Z572" s="32" t="s">
        <v>70</v>
      </c>
      <c r="AA572" s="2"/>
      <c r="AB572" s="14" t="s">
        <v>34</v>
      </c>
      <c r="AC572" s="32" t="s">
        <v>70</v>
      </c>
      <c r="AD572" s="2"/>
      <c r="AE572" s="3"/>
      <c r="AF572" s="2"/>
      <c r="AG572" s="2"/>
      <c r="AH572" s="2"/>
      <c r="AI572" s="2"/>
      <c r="AJ572" s="2"/>
      <c r="AK572" s="2"/>
      <c r="AL572" s="3"/>
      <c r="AM572" s="2"/>
      <c r="AN572" s="2"/>
      <c r="AO572" s="2"/>
      <c r="AP572" s="2"/>
      <c r="AQ572" s="2"/>
      <c r="AR572" s="2"/>
    </row>
    <row r="573" spans="5:44" ht="14.45" customHeight="1" x14ac:dyDescent="0.25">
      <c r="E573" s="2"/>
      <c r="F573" s="125"/>
      <c r="G573" s="2"/>
      <c r="H573" s="2" t="s">
        <v>32</v>
      </c>
      <c r="I573" s="2"/>
      <c r="J573" s="2"/>
      <c r="K573" s="2"/>
      <c r="L573" s="2"/>
      <c r="M573" s="2"/>
      <c r="N573" s="2"/>
      <c r="O573" s="3"/>
      <c r="P573" s="2"/>
      <c r="Q573" s="2"/>
      <c r="R573" s="2"/>
      <c r="S573" s="2"/>
      <c r="T573" s="2"/>
      <c r="U573" s="2"/>
      <c r="V573" s="2"/>
      <c r="W573" s="3"/>
      <c r="X573" s="2" t="s">
        <v>32</v>
      </c>
      <c r="Y573" s="8" t="s">
        <v>36</v>
      </c>
      <c r="Z573" s="32" t="s">
        <v>91</v>
      </c>
      <c r="AA573" s="2"/>
      <c r="AB573" s="8" t="s">
        <v>36</v>
      </c>
      <c r="AC573" s="32" t="s">
        <v>91</v>
      </c>
      <c r="AD573" s="2"/>
      <c r="AE573" s="3"/>
      <c r="AF573" s="2"/>
      <c r="AG573" s="2"/>
      <c r="AH573" s="2"/>
      <c r="AI573" s="2"/>
      <c r="AJ573" s="2"/>
      <c r="AK573" s="2"/>
      <c r="AL573" s="3"/>
      <c r="AM573" s="2"/>
      <c r="AN573" s="2"/>
      <c r="AO573" s="2"/>
      <c r="AP573" s="2"/>
      <c r="AQ573" s="2"/>
      <c r="AR573" s="2"/>
    </row>
    <row r="574" spans="5:44" ht="14.45" customHeight="1" x14ac:dyDescent="0.25">
      <c r="E574" s="2"/>
      <c r="F574" s="125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</row>
    <row r="575" spans="5:44" ht="14.45" customHeight="1" x14ac:dyDescent="0.25">
      <c r="E575" s="2"/>
      <c r="F575" s="125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</row>
    <row r="576" spans="5:44" ht="14.45" customHeight="1" x14ac:dyDescent="0.25">
      <c r="E576" s="2"/>
      <c r="F576" s="125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</row>
    <row r="577" spans="5:44" x14ac:dyDescent="0.25"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</row>
    <row r="579" spans="5:44" ht="14.85" customHeight="1" x14ac:dyDescent="0.25"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124"/>
      <c r="V579" s="124"/>
      <c r="W579" s="124"/>
      <c r="X579" s="124"/>
      <c r="Y579" s="124" t="s">
        <v>1</v>
      </c>
      <c r="Z579" s="124"/>
      <c r="AA579" s="124"/>
      <c r="AB579" s="124"/>
      <c r="AC579" s="124"/>
      <c r="AD579" s="26"/>
      <c r="AE579" s="3"/>
      <c r="AF579" s="2"/>
      <c r="AG579" s="36" t="s">
        <v>2</v>
      </c>
      <c r="AH579" s="36"/>
      <c r="AI579" s="36"/>
      <c r="AJ579" s="36" t="s">
        <v>3</v>
      </c>
      <c r="AK579" s="37"/>
      <c r="AL579" s="3"/>
      <c r="AM579" s="2"/>
      <c r="AN579" s="2"/>
      <c r="AO579" s="2"/>
      <c r="AP579" s="2"/>
      <c r="AQ579" s="2"/>
      <c r="AR579" s="2"/>
    </row>
    <row r="580" spans="5:44" ht="14.45" customHeight="1" x14ac:dyDescent="0.25">
      <c r="E580" s="2"/>
      <c r="F580" s="125" t="str">
        <f>"ww"&amp;IF(LEFT($F$1,2)+1&lt;10,"0"&amp;LEFT($F$1,2)+1,LEFT($F$1,2)+1)&amp;".4"</f>
        <v>ww17.4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6" t="s">
        <v>4</v>
      </c>
      <c r="Z580" s="26"/>
      <c r="AA580" s="26"/>
      <c r="AB580" s="26" t="s">
        <v>5</v>
      </c>
      <c r="AC580" s="26"/>
      <c r="AD580" s="26"/>
      <c r="AE580" s="3"/>
      <c r="AF580" s="2"/>
      <c r="AG580" s="26" t="s">
        <v>4</v>
      </c>
      <c r="AH580" s="26"/>
      <c r="AI580" s="26"/>
      <c r="AJ580" s="26" t="s">
        <v>5</v>
      </c>
      <c r="AK580" s="26"/>
      <c r="AL580" s="3"/>
      <c r="AM580" s="2"/>
      <c r="AN580" s="2"/>
      <c r="AO580" s="2"/>
      <c r="AP580" s="2"/>
      <c r="AQ580" s="2"/>
      <c r="AR580" s="2"/>
    </row>
    <row r="581" spans="5:44" ht="14.45" customHeight="1" x14ac:dyDescent="0.25">
      <c r="E581" s="2"/>
      <c r="F581" s="125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7" t="s">
        <v>6</v>
      </c>
      <c r="Z581" s="27" t="s">
        <v>7</v>
      </c>
      <c r="AA581" s="2"/>
      <c r="AB581" s="27" t="s">
        <v>6</v>
      </c>
      <c r="AC581" s="27" t="s">
        <v>7</v>
      </c>
      <c r="AD581" s="28"/>
      <c r="AE581" s="3"/>
      <c r="AF581" s="2"/>
      <c r="AG581" s="27" t="s">
        <v>2</v>
      </c>
      <c r="AH581" s="27" t="s">
        <v>7</v>
      </c>
      <c r="AI581" s="29"/>
      <c r="AJ581" s="27" t="s">
        <v>2</v>
      </c>
      <c r="AK581" s="27" t="s">
        <v>7</v>
      </c>
      <c r="AL581" s="3"/>
      <c r="AM581" s="2"/>
      <c r="AN581" s="6" t="s">
        <v>8</v>
      </c>
      <c r="AO581" s="6" t="s">
        <v>9</v>
      </c>
      <c r="AP581" s="7" t="s">
        <v>10</v>
      </c>
      <c r="AQ581" s="7" t="s">
        <v>11</v>
      </c>
      <c r="AR581" s="2"/>
    </row>
    <row r="582" spans="5:44" ht="14.45" customHeight="1" x14ac:dyDescent="0.25">
      <c r="E582" s="2"/>
      <c r="F582" s="125"/>
      <c r="G582" s="2"/>
      <c r="H582" s="2" t="s">
        <v>12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30" t="s">
        <v>13</v>
      </c>
      <c r="V582" s="30" t="s">
        <v>14</v>
      </c>
      <c r="W582" s="30"/>
      <c r="X582" s="31"/>
      <c r="Z582" t="s">
        <v>15</v>
      </c>
      <c r="AA582" s="2"/>
      <c r="AC582" t="s">
        <v>15</v>
      </c>
      <c r="AD582" s="2"/>
      <c r="AE582" s="3"/>
      <c r="AF582" s="2" t="s">
        <v>12</v>
      </c>
      <c r="AG582" s="70" t="s">
        <v>16</v>
      </c>
      <c r="AH582" s="32" t="s">
        <v>17</v>
      </c>
      <c r="AI582" s="2"/>
      <c r="AJ582" s="70" t="s">
        <v>16</v>
      </c>
      <c r="AK582" s="32" t="s">
        <v>17</v>
      </c>
      <c r="AL582" s="3"/>
      <c r="AM582" s="2"/>
      <c r="AN582" s="9" t="s">
        <v>18</v>
      </c>
      <c r="AO582" s="9" t="s">
        <v>19</v>
      </c>
      <c r="AP582" s="5">
        <f>(COUNTIF($I$579:$I$673,"=*"&amp;AO582&amp;"*")+COUNTIF($Q$579:$Q$673,"=*"&amp;AO582&amp;"*")+COUNTIF($AG$579:$AG$673,"=*"&amp;AO582&amp;"*")+COUNTIF($Y$579:$Y$673,"=*"&amp;AO582&amp;"*"))*2</f>
        <v>2</v>
      </c>
      <c r="AQ582" s="5">
        <f>(COUNTIF($L$579:$L$673,"=*"&amp;AO582&amp;"*")+COUNTIF($T$579:$T$673,"=*"&amp;AO582&amp;"*")+COUNTIF($AJ$579:$AJ$673,"=*"&amp;AO582&amp;"*")+COUNTIF($AB$579:$AB$673,"=*"&amp;AO582&amp;"*"))*2</f>
        <v>2</v>
      </c>
      <c r="AR582" s="2"/>
    </row>
    <row r="583" spans="5:44" ht="14.45" customHeight="1" x14ac:dyDescent="0.25">
      <c r="E583" s="2"/>
      <c r="F583" s="125"/>
      <c r="G583" s="2"/>
      <c r="H583" s="2" t="s">
        <v>20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30" t="s">
        <v>21</v>
      </c>
      <c r="V583" s="30" t="s">
        <v>14</v>
      </c>
      <c r="W583" s="30"/>
      <c r="X583" s="31"/>
      <c r="AA583" s="2"/>
      <c r="AD583" s="2"/>
      <c r="AE583" s="3"/>
      <c r="AF583" s="2" t="s">
        <v>20</v>
      </c>
      <c r="AG583" s="70" t="s">
        <v>16</v>
      </c>
      <c r="AH583" s="32" t="s">
        <v>17</v>
      </c>
      <c r="AI583" s="2"/>
      <c r="AJ583" s="70" t="s">
        <v>16</v>
      </c>
      <c r="AK583" s="32" t="s">
        <v>17</v>
      </c>
      <c r="AL583" s="3"/>
      <c r="AM583" s="2"/>
      <c r="AN583" s="10" t="s">
        <v>22</v>
      </c>
      <c r="AO583" s="10" t="s">
        <v>23</v>
      </c>
      <c r="AP583" s="5">
        <f t="shared" ref="AP583:AP609" si="20">(COUNTIF($I$579:$I$673,"=*"&amp;AO583&amp;"*")+COUNTIF($Q$579:$Q$673,"=*"&amp;AO583&amp;"*")+COUNTIF($AG$579:$AG$673,"=*"&amp;AO583&amp;"*")+COUNTIF($Y$579:$Y$673,"=*"&amp;AO583&amp;"*"))*2</f>
        <v>0</v>
      </c>
      <c r="AQ583" s="5">
        <f t="shared" ref="AQ583:AQ609" si="21">(COUNTIF($L$579:$L$673,"=*"&amp;AO583&amp;"*")+COUNTIF($T$579:$T$673,"=*"&amp;AO583&amp;"*")+COUNTIF($AJ$579:$AJ$673,"=*"&amp;AO583&amp;"*")+COUNTIF($AB$579:$AB$673,"=*"&amp;AO583&amp;"*"))*2</f>
        <v>0</v>
      </c>
      <c r="AR583" s="2"/>
    </row>
    <row r="584" spans="5:44" ht="14.45" customHeight="1" x14ac:dyDescent="0.25">
      <c r="E584" s="2"/>
      <c r="F584" s="125"/>
      <c r="G584" s="2"/>
      <c r="H584" s="2" t="s">
        <v>24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30" t="s">
        <v>25</v>
      </c>
      <c r="V584" s="30" t="s">
        <v>14</v>
      </c>
      <c r="W584" s="30"/>
      <c r="X584" s="31"/>
      <c r="Z584" t="s">
        <v>15</v>
      </c>
      <c r="AA584" s="2"/>
      <c r="AC584" t="s">
        <v>15</v>
      </c>
      <c r="AD584" s="2"/>
      <c r="AE584" s="3"/>
      <c r="AF584" s="2" t="s">
        <v>24</v>
      </c>
      <c r="AG584" s="70" t="s">
        <v>16</v>
      </c>
      <c r="AH584" s="32" t="s">
        <v>17</v>
      </c>
      <c r="AI584" s="2"/>
      <c r="AJ584" s="70" t="s">
        <v>16</v>
      </c>
      <c r="AK584" s="32" t="s">
        <v>17</v>
      </c>
      <c r="AL584" s="3"/>
      <c r="AM584" s="2"/>
      <c r="AN584" s="11" t="s">
        <v>26</v>
      </c>
      <c r="AO584" s="11" t="s">
        <v>27</v>
      </c>
      <c r="AP584" s="5">
        <f t="shared" si="20"/>
        <v>14</v>
      </c>
      <c r="AQ584" s="5">
        <f t="shared" si="21"/>
        <v>14</v>
      </c>
      <c r="AR584" s="2"/>
    </row>
    <row r="585" spans="5:44" ht="14.45" customHeight="1" x14ac:dyDescent="0.25">
      <c r="E585" s="2"/>
      <c r="F585" s="125"/>
      <c r="G585" s="2"/>
      <c r="H585" s="2" t="s">
        <v>28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30" t="s">
        <v>29</v>
      </c>
      <c r="V585" s="30" t="s">
        <v>14</v>
      </c>
      <c r="W585" s="30"/>
      <c r="X585" s="31"/>
      <c r="Z585" t="s">
        <v>15</v>
      </c>
      <c r="AA585" s="2"/>
      <c r="AC585" t="s">
        <v>15</v>
      </c>
      <c r="AD585" s="2"/>
      <c r="AE585" s="3"/>
      <c r="AF585" s="2" t="s">
        <v>28</v>
      </c>
      <c r="AG585" s="70" t="s">
        <v>16</v>
      </c>
      <c r="AH585" s="32" t="s">
        <v>17</v>
      </c>
      <c r="AI585" s="2"/>
      <c r="AJ585" s="70" t="s">
        <v>16</v>
      </c>
      <c r="AK585" s="32" t="s">
        <v>17</v>
      </c>
      <c r="AL585" s="3"/>
      <c r="AM585" s="2"/>
      <c r="AN585" s="12" t="s">
        <v>30</v>
      </c>
      <c r="AO585" s="12" t="s">
        <v>31</v>
      </c>
      <c r="AP585" s="5">
        <f t="shared" si="20"/>
        <v>6</v>
      </c>
      <c r="AQ585" s="5">
        <f t="shared" si="21"/>
        <v>6</v>
      </c>
      <c r="AR585" s="2"/>
    </row>
    <row r="586" spans="5:44" ht="14.45" customHeight="1" x14ac:dyDescent="0.25">
      <c r="E586" s="2"/>
      <c r="F586" s="125"/>
      <c r="G586" s="2"/>
      <c r="H586" s="2" t="s">
        <v>32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31"/>
      <c r="V586" s="31"/>
      <c r="W586" s="31"/>
      <c r="X586" s="31"/>
      <c r="AA586" s="2"/>
      <c r="AD586" s="2"/>
      <c r="AE586" s="3"/>
      <c r="AF586" s="2" t="s">
        <v>32</v>
      </c>
      <c r="AG586" s="70" t="s">
        <v>16</v>
      </c>
      <c r="AH586" s="32" t="s">
        <v>17</v>
      </c>
      <c r="AI586" s="2"/>
      <c r="AJ586" s="70" t="s">
        <v>16</v>
      </c>
      <c r="AK586" s="32" t="s">
        <v>17</v>
      </c>
      <c r="AL586" s="3"/>
      <c r="AM586" s="2"/>
      <c r="AN586" s="14" t="s">
        <v>33</v>
      </c>
      <c r="AO586" s="14" t="s">
        <v>34</v>
      </c>
      <c r="AP586" s="5">
        <f t="shared" si="20"/>
        <v>2</v>
      </c>
      <c r="AQ586" s="5">
        <f t="shared" si="21"/>
        <v>2</v>
      </c>
      <c r="AR586" s="2"/>
    </row>
    <row r="587" spans="5:44" ht="14.45" customHeight="1" x14ac:dyDescent="0.25">
      <c r="E587" s="2"/>
      <c r="F587" s="125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3"/>
      <c r="AF587" s="2"/>
      <c r="AG587" s="2"/>
      <c r="AH587" s="2"/>
      <c r="AI587" s="2"/>
      <c r="AJ587" s="2"/>
      <c r="AK587" s="2"/>
      <c r="AL587" s="3"/>
      <c r="AM587" s="2"/>
      <c r="AN587" s="8" t="s">
        <v>35</v>
      </c>
      <c r="AO587" s="8" t="s">
        <v>36</v>
      </c>
      <c r="AP587" s="5">
        <f t="shared" si="20"/>
        <v>2</v>
      </c>
      <c r="AQ587" s="5">
        <f t="shared" si="21"/>
        <v>2</v>
      </c>
      <c r="AR587" s="2"/>
    </row>
    <row r="588" spans="5:44" ht="14.45" customHeight="1" x14ac:dyDescent="0.25">
      <c r="E588" s="2"/>
      <c r="F588" s="125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36">
        <v>2117</v>
      </c>
      <c r="Z588" s="36"/>
      <c r="AA588" s="36"/>
      <c r="AB588" s="36" t="s">
        <v>3</v>
      </c>
      <c r="AC588" s="37"/>
      <c r="AD588" s="2"/>
      <c r="AE588" s="3"/>
      <c r="AF588" s="2"/>
      <c r="AG588" s="36">
        <v>2207</v>
      </c>
      <c r="AH588" s="36"/>
      <c r="AI588" s="36"/>
      <c r="AJ588" s="36" t="s">
        <v>3</v>
      </c>
      <c r="AK588" s="37"/>
      <c r="AL588" s="3"/>
      <c r="AM588" s="2"/>
      <c r="AN588" s="16" t="s">
        <v>37</v>
      </c>
      <c r="AO588" s="16" t="s">
        <v>38</v>
      </c>
      <c r="AP588" s="5">
        <f t="shared" si="20"/>
        <v>0</v>
      </c>
      <c r="AQ588" s="5">
        <f t="shared" si="21"/>
        <v>0</v>
      </c>
      <c r="AR588" s="2"/>
    </row>
    <row r="589" spans="5:44" ht="14.45" customHeight="1" x14ac:dyDescent="0.25">
      <c r="E589" s="2"/>
      <c r="F589" s="125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6" t="s">
        <v>4</v>
      </c>
      <c r="Z589" s="26"/>
      <c r="AA589" s="26"/>
      <c r="AB589" s="26" t="s">
        <v>5</v>
      </c>
      <c r="AC589" s="26"/>
      <c r="AD589" s="26"/>
      <c r="AE589" s="3"/>
      <c r="AF589" s="2"/>
      <c r="AG589" s="26" t="s">
        <v>4</v>
      </c>
      <c r="AH589" s="26"/>
      <c r="AI589" s="26"/>
      <c r="AJ589" s="26" t="s">
        <v>5</v>
      </c>
      <c r="AK589" s="26"/>
      <c r="AL589" s="3"/>
      <c r="AM589" s="2"/>
      <c r="AN589" s="17" t="s">
        <v>39</v>
      </c>
      <c r="AO589" s="17" t="s">
        <v>40</v>
      </c>
      <c r="AP589" s="5">
        <f t="shared" si="20"/>
        <v>0</v>
      </c>
      <c r="AQ589" s="5">
        <f t="shared" si="21"/>
        <v>0</v>
      </c>
      <c r="AR589" s="2"/>
    </row>
    <row r="590" spans="5:44" ht="14.45" customHeight="1" x14ac:dyDescent="0.25">
      <c r="E590" s="2"/>
      <c r="F590" s="125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33"/>
      <c r="R590" s="33"/>
      <c r="S590" s="33"/>
      <c r="T590" s="33"/>
      <c r="U590" s="2"/>
      <c r="V590" s="2"/>
      <c r="W590" s="2"/>
      <c r="X590" s="2"/>
      <c r="Y590" s="27">
        <v>2117</v>
      </c>
      <c r="Z590" s="27" t="s">
        <v>7</v>
      </c>
      <c r="AA590" s="2"/>
      <c r="AB590" s="27">
        <v>2117</v>
      </c>
      <c r="AC590" s="27" t="s">
        <v>7</v>
      </c>
      <c r="AD590" s="28"/>
      <c r="AE590" s="3"/>
      <c r="AF590" s="2"/>
      <c r="AG590" s="27">
        <v>2207</v>
      </c>
      <c r="AH590" s="27" t="s">
        <v>7</v>
      </c>
      <c r="AI590" s="29"/>
      <c r="AJ590" s="27">
        <v>2207</v>
      </c>
      <c r="AK590" s="27" t="s">
        <v>7</v>
      </c>
      <c r="AL590" s="3"/>
      <c r="AM590" s="2"/>
      <c r="AN590" s="18" t="s">
        <v>41</v>
      </c>
      <c r="AO590" s="18" t="s">
        <v>42</v>
      </c>
      <c r="AP590" s="5">
        <f t="shared" si="20"/>
        <v>0</v>
      </c>
      <c r="AQ590" s="5">
        <f t="shared" si="21"/>
        <v>0</v>
      </c>
      <c r="AR590" s="2"/>
    </row>
    <row r="591" spans="5:44" ht="14.45" customHeight="1" x14ac:dyDescent="0.25">
      <c r="E591" s="2"/>
      <c r="F591" s="125"/>
      <c r="G591" s="2"/>
      <c r="H591" s="2" t="s">
        <v>12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 t="s">
        <v>12</v>
      </c>
      <c r="Y591" s="70" t="s">
        <v>16</v>
      </c>
      <c r="Z591" s="32" t="s">
        <v>17</v>
      </c>
      <c r="AA591" s="2"/>
      <c r="AB591" s="70" t="s">
        <v>16</v>
      </c>
      <c r="AC591" s="32" t="s">
        <v>17</v>
      </c>
      <c r="AD591" s="2"/>
      <c r="AE591" s="3"/>
      <c r="AF591" s="2" t="s">
        <v>12</v>
      </c>
      <c r="AG591" s="70" t="s">
        <v>16</v>
      </c>
      <c r="AH591" s="32" t="s">
        <v>17</v>
      </c>
      <c r="AI591" s="2"/>
      <c r="AJ591" s="70" t="s">
        <v>16</v>
      </c>
      <c r="AK591" s="32" t="s">
        <v>17</v>
      </c>
      <c r="AL591" s="3"/>
      <c r="AM591" s="2"/>
      <c r="AN591" s="19" t="s">
        <v>43</v>
      </c>
      <c r="AO591" s="19" t="s">
        <v>44</v>
      </c>
      <c r="AP591" s="5">
        <f t="shared" si="20"/>
        <v>2</v>
      </c>
      <c r="AQ591" s="5">
        <f t="shared" si="21"/>
        <v>2</v>
      </c>
      <c r="AR591" s="2"/>
    </row>
    <row r="592" spans="5:44" ht="14.45" customHeight="1" x14ac:dyDescent="0.25">
      <c r="E592" s="2"/>
      <c r="F592" s="125"/>
      <c r="G592" s="2"/>
      <c r="H592" s="2" t="s">
        <v>20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 t="s">
        <v>20</v>
      </c>
      <c r="Y592" s="70" t="s">
        <v>16</v>
      </c>
      <c r="Z592" s="32" t="s">
        <v>17</v>
      </c>
      <c r="AA592" s="2"/>
      <c r="AB592" s="70" t="s">
        <v>16</v>
      </c>
      <c r="AC592" s="32" t="s">
        <v>17</v>
      </c>
      <c r="AD592" s="2"/>
      <c r="AE592" s="3"/>
      <c r="AF592" s="2" t="s">
        <v>20</v>
      </c>
      <c r="AG592" s="70" t="s">
        <v>16</v>
      </c>
      <c r="AH592" s="32" t="s">
        <v>17</v>
      </c>
      <c r="AI592" s="2"/>
      <c r="AJ592" s="70" t="s">
        <v>16</v>
      </c>
      <c r="AK592" s="32" t="s">
        <v>17</v>
      </c>
      <c r="AL592" s="3"/>
      <c r="AM592" s="2"/>
      <c r="AN592" s="20" t="s">
        <v>45</v>
      </c>
      <c r="AO592" s="20" t="s">
        <v>46</v>
      </c>
      <c r="AP592" s="5">
        <f t="shared" si="20"/>
        <v>0</v>
      </c>
      <c r="AQ592" s="5">
        <f t="shared" si="21"/>
        <v>0</v>
      </c>
      <c r="AR592" s="2"/>
    </row>
    <row r="593" spans="5:44" ht="14.45" customHeight="1" x14ac:dyDescent="0.25">
      <c r="E593" s="2"/>
      <c r="F593" s="125"/>
      <c r="G593" s="2"/>
      <c r="H593" s="2" t="s">
        <v>24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 t="s">
        <v>24</v>
      </c>
      <c r="Y593" s="70" t="s">
        <v>16</v>
      </c>
      <c r="Z593" s="32" t="s">
        <v>17</v>
      </c>
      <c r="AA593" s="2"/>
      <c r="AB593" s="70" t="s">
        <v>16</v>
      </c>
      <c r="AC593" s="32" t="s">
        <v>17</v>
      </c>
      <c r="AD593" s="2"/>
      <c r="AE593" s="3"/>
      <c r="AF593" s="2" t="s">
        <v>24</v>
      </c>
      <c r="AG593" s="70" t="s">
        <v>16</v>
      </c>
      <c r="AH593" s="32" t="s">
        <v>17</v>
      </c>
      <c r="AI593" s="2"/>
      <c r="AJ593" s="70" t="s">
        <v>16</v>
      </c>
      <c r="AK593" s="32" t="s">
        <v>17</v>
      </c>
      <c r="AL593" s="3"/>
      <c r="AM593" s="2"/>
      <c r="AN593" s="21" t="s">
        <v>47</v>
      </c>
      <c r="AO593" s="21" t="s">
        <v>48</v>
      </c>
      <c r="AP593" s="5">
        <f t="shared" si="20"/>
        <v>0</v>
      </c>
      <c r="AQ593" s="5">
        <f t="shared" si="21"/>
        <v>0</v>
      </c>
      <c r="AR593" s="2"/>
    </row>
    <row r="594" spans="5:44" ht="14.45" customHeight="1" x14ac:dyDescent="0.25">
      <c r="E594" s="2"/>
      <c r="F594" s="125"/>
      <c r="G594" s="2"/>
      <c r="H594" s="2" t="s">
        <v>28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 t="s">
        <v>28</v>
      </c>
      <c r="Y594" s="70" t="s">
        <v>16</v>
      </c>
      <c r="Z594" s="32" t="s">
        <v>17</v>
      </c>
      <c r="AA594" s="2"/>
      <c r="AB594" s="70" t="s">
        <v>16</v>
      </c>
      <c r="AC594" s="32" t="s">
        <v>17</v>
      </c>
      <c r="AD594" s="2"/>
      <c r="AE594" s="3"/>
      <c r="AF594" s="2" t="s">
        <v>28</v>
      </c>
      <c r="AG594" s="70" t="s">
        <v>16</v>
      </c>
      <c r="AH594" s="32" t="s">
        <v>17</v>
      </c>
      <c r="AI594" s="2"/>
      <c r="AJ594" s="70" t="s">
        <v>16</v>
      </c>
      <c r="AK594" s="32" t="s">
        <v>17</v>
      </c>
      <c r="AL594" s="3"/>
      <c r="AM594" s="2"/>
      <c r="AN594" s="13" t="s">
        <v>49</v>
      </c>
      <c r="AO594" s="13" t="s">
        <v>50</v>
      </c>
      <c r="AP594" s="5">
        <f t="shared" si="20"/>
        <v>20</v>
      </c>
      <c r="AQ594" s="5">
        <f t="shared" si="21"/>
        <v>20</v>
      </c>
      <c r="AR594" s="2"/>
    </row>
    <row r="595" spans="5:44" ht="14.45" customHeight="1" x14ac:dyDescent="0.25">
      <c r="E595" s="2"/>
      <c r="F595" s="125"/>
      <c r="G595" s="2"/>
      <c r="H595" s="2" t="s">
        <v>32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 t="s">
        <v>32</v>
      </c>
      <c r="Y595" s="70" t="s">
        <v>16</v>
      </c>
      <c r="Z595" s="32" t="s">
        <v>17</v>
      </c>
      <c r="AA595" s="2"/>
      <c r="AB595" s="70" t="s">
        <v>16</v>
      </c>
      <c r="AC595" s="32" t="s">
        <v>17</v>
      </c>
      <c r="AD595" s="2"/>
      <c r="AE595" s="3"/>
      <c r="AF595" s="2" t="s">
        <v>32</v>
      </c>
      <c r="AG595" s="70" t="s">
        <v>16</v>
      </c>
      <c r="AH595" s="32" t="s">
        <v>17</v>
      </c>
      <c r="AI595" s="2"/>
      <c r="AJ595" s="70" t="s">
        <v>16</v>
      </c>
      <c r="AK595" s="32" t="s">
        <v>17</v>
      </c>
      <c r="AL595" s="3"/>
      <c r="AM595" s="2"/>
      <c r="AN595" s="4" t="s">
        <v>51</v>
      </c>
      <c r="AO595" s="4" t="s">
        <v>52</v>
      </c>
      <c r="AP595" s="5">
        <f t="shared" si="20"/>
        <v>0</v>
      </c>
      <c r="AQ595" s="5">
        <f t="shared" si="21"/>
        <v>0</v>
      </c>
      <c r="AR595" s="2"/>
    </row>
    <row r="596" spans="5:44" ht="14.45" customHeight="1" x14ac:dyDescent="0.25">
      <c r="E596" s="2"/>
      <c r="F596" s="125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3"/>
      <c r="AF596" s="2"/>
      <c r="AG596" s="2"/>
      <c r="AH596" s="2"/>
      <c r="AI596" s="2"/>
      <c r="AJ596" s="2"/>
      <c r="AK596" s="2"/>
      <c r="AL596" s="3"/>
      <c r="AM596" s="2"/>
      <c r="AN596" s="22" t="s">
        <v>53</v>
      </c>
      <c r="AO596" s="22" t="s">
        <v>54</v>
      </c>
      <c r="AP596" s="5">
        <f t="shared" si="20"/>
        <v>0</v>
      </c>
      <c r="AQ596" s="5">
        <f t="shared" si="21"/>
        <v>0</v>
      </c>
      <c r="AR596" s="2"/>
    </row>
    <row r="597" spans="5:44" ht="14.45" customHeight="1" x14ac:dyDescent="0.25">
      <c r="E597" s="2"/>
      <c r="F597" s="125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36">
        <v>1701</v>
      </c>
      <c r="Z597" s="36"/>
      <c r="AA597" s="36"/>
      <c r="AB597" s="36" t="s">
        <v>3</v>
      </c>
      <c r="AC597" s="37"/>
      <c r="AD597" s="2"/>
      <c r="AE597" s="3"/>
      <c r="AF597" s="2"/>
      <c r="AG597" s="36">
        <v>1785</v>
      </c>
      <c r="AH597" s="36"/>
      <c r="AI597" s="36"/>
      <c r="AJ597" s="36" t="s">
        <v>3</v>
      </c>
      <c r="AK597" s="37"/>
      <c r="AL597" s="3"/>
      <c r="AM597" s="2"/>
      <c r="AN597" s="24" t="s">
        <v>55</v>
      </c>
      <c r="AO597" s="24" t="s">
        <v>56</v>
      </c>
      <c r="AP597" s="5">
        <f t="shared" si="20"/>
        <v>0</v>
      </c>
      <c r="AQ597" s="5">
        <f t="shared" si="21"/>
        <v>0</v>
      </c>
      <c r="AR597" s="2"/>
    </row>
    <row r="598" spans="5:44" ht="14.45" customHeight="1" x14ac:dyDescent="0.25">
      <c r="E598" s="2"/>
      <c r="F598" s="125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6" t="s">
        <v>4</v>
      </c>
      <c r="Z598" s="26"/>
      <c r="AA598" s="26"/>
      <c r="AB598" s="26" t="s">
        <v>5</v>
      </c>
      <c r="AC598" s="26"/>
      <c r="AD598" s="26"/>
      <c r="AE598" s="3"/>
      <c r="AF598" s="2"/>
      <c r="AG598" s="26" t="s">
        <v>4</v>
      </c>
      <c r="AH598" s="26"/>
      <c r="AI598" s="26"/>
      <c r="AJ598" s="26" t="s">
        <v>5</v>
      </c>
      <c r="AK598" s="26"/>
      <c r="AL598" s="3"/>
      <c r="AM598" s="2"/>
      <c r="AN598" s="35" t="s">
        <v>57</v>
      </c>
      <c r="AO598" s="35" t="s">
        <v>16</v>
      </c>
      <c r="AP598" s="5">
        <f t="shared" si="20"/>
        <v>50</v>
      </c>
      <c r="AQ598" s="5">
        <f t="shared" si="21"/>
        <v>50</v>
      </c>
      <c r="AR598" s="2"/>
    </row>
    <row r="599" spans="5:44" ht="14.45" customHeight="1" x14ac:dyDescent="0.25">
      <c r="E599" s="2"/>
      <c r="F599" s="125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7">
        <v>1701</v>
      </c>
      <c r="Z599" s="27" t="s">
        <v>7</v>
      </c>
      <c r="AA599" s="2"/>
      <c r="AB599" s="27">
        <v>1701</v>
      </c>
      <c r="AC599" s="27" t="s">
        <v>7</v>
      </c>
      <c r="AD599" s="28"/>
      <c r="AE599" s="3"/>
      <c r="AF599" s="2"/>
      <c r="AG599" s="27">
        <v>1785</v>
      </c>
      <c r="AH599" s="27" t="s">
        <v>7</v>
      </c>
      <c r="AI599" s="29"/>
      <c r="AJ599" s="27">
        <v>1785</v>
      </c>
      <c r="AK599" s="27" t="s">
        <v>7</v>
      </c>
      <c r="AL599" s="3"/>
      <c r="AM599" s="2"/>
      <c r="AN599" s="4" t="s">
        <v>58</v>
      </c>
      <c r="AO599" s="4" t="s">
        <v>59</v>
      </c>
      <c r="AP599" s="5">
        <f t="shared" si="20"/>
        <v>2</v>
      </c>
      <c r="AQ599" s="5">
        <f t="shared" si="21"/>
        <v>2</v>
      </c>
      <c r="AR599" s="2"/>
    </row>
    <row r="600" spans="5:44" ht="14.45" customHeight="1" x14ac:dyDescent="0.25">
      <c r="E600" s="2"/>
      <c r="F600" s="125"/>
      <c r="G600" s="2"/>
      <c r="H600" s="2" t="s">
        <v>12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 t="s">
        <v>12</v>
      </c>
      <c r="Y600" s="70" t="s">
        <v>16</v>
      </c>
      <c r="Z600" s="32" t="s">
        <v>17</v>
      </c>
      <c r="AA600" s="2"/>
      <c r="AB600" s="70" t="s">
        <v>16</v>
      </c>
      <c r="AC600" s="32" t="s">
        <v>17</v>
      </c>
      <c r="AD600" s="2"/>
      <c r="AE600" s="3"/>
      <c r="AF600" s="2" t="s">
        <v>12</v>
      </c>
      <c r="AG600" s="70" t="s">
        <v>16</v>
      </c>
      <c r="AH600" s="32" t="s">
        <v>17</v>
      </c>
      <c r="AI600" s="2"/>
      <c r="AJ600" s="70" t="s">
        <v>16</v>
      </c>
      <c r="AK600" s="32" t="s">
        <v>17</v>
      </c>
      <c r="AL600" s="3"/>
      <c r="AM600" s="2"/>
      <c r="AN600" s="4" t="s">
        <v>60</v>
      </c>
      <c r="AO600" s="4" t="s">
        <v>61</v>
      </c>
      <c r="AP600" s="5">
        <f t="shared" si="20"/>
        <v>6</v>
      </c>
      <c r="AQ600" s="5">
        <f t="shared" si="21"/>
        <v>6</v>
      </c>
      <c r="AR600" s="2"/>
    </row>
    <row r="601" spans="5:44" ht="14.45" customHeight="1" x14ac:dyDescent="0.25">
      <c r="E601" s="2"/>
      <c r="F601" s="125"/>
      <c r="G601" s="2"/>
      <c r="H601" s="2" t="s">
        <v>20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 t="s">
        <v>20</v>
      </c>
      <c r="Y601" s="70" t="s">
        <v>16</v>
      </c>
      <c r="Z601" s="32" t="s">
        <v>17</v>
      </c>
      <c r="AA601" s="2"/>
      <c r="AB601" s="70" t="s">
        <v>16</v>
      </c>
      <c r="AC601" s="32" t="s">
        <v>17</v>
      </c>
      <c r="AD601" s="2"/>
      <c r="AE601" s="3"/>
      <c r="AF601" s="2" t="s">
        <v>20</v>
      </c>
      <c r="AG601" s="70" t="s">
        <v>16</v>
      </c>
      <c r="AH601" s="32" t="s">
        <v>17</v>
      </c>
      <c r="AI601" s="2"/>
      <c r="AJ601" s="70" t="s">
        <v>16</v>
      </c>
      <c r="AK601" s="32" t="s">
        <v>17</v>
      </c>
      <c r="AL601" s="3"/>
      <c r="AM601" s="2"/>
      <c r="AN601" s="4" t="s">
        <v>62</v>
      </c>
      <c r="AO601" s="4" t="s">
        <v>62</v>
      </c>
      <c r="AP601" s="5">
        <f t="shared" si="20"/>
        <v>0</v>
      </c>
      <c r="AQ601" s="5">
        <f t="shared" si="21"/>
        <v>0</v>
      </c>
      <c r="AR601" s="2"/>
    </row>
    <row r="602" spans="5:44" ht="14.45" customHeight="1" x14ac:dyDescent="0.25">
      <c r="E602" s="2"/>
      <c r="F602" s="125"/>
      <c r="G602" s="2"/>
      <c r="H602" s="2" t="s">
        <v>24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 t="s">
        <v>24</v>
      </c>
      <c r="Y602" s="70" t="s">
        <v>16</v>
      </c>
      <c r="Z602" s="32" t="s">
        <v>17</v>
      </c>
      <c r="AA602" s="2"/>
      <c r="AB602" s="70" t="s">
        <v>16</v>
      </c>
      <c r="AC602" s="32" t="s">
        <v>17</v>
      </c>
      <c r="AD602" s="2"/>
      <c r="AE602" s="3"/>
      <c r="AF602" s="2" t="s">
        <v>24</v>
      </c>
      <c r="AG602" s="70" t="s">
        <v>16</v>
      </c>
      <c r="AH602" s="32" t="s">
        <v>17</v>
      </c>
      <c r="AI602" s="2"/>
      <c r="AJ602" s="70" t="s">
        <v>16</v>
      </c>
      <c r="AK602" s="32" t="s">
        <v>17</v>
      </c>
      <c r="AL602" s="3"/>
      <c r="AM602" s="2"/>
      <c r="AN602" s="4" t="s">
        <v>62</v>
      </c>
      <c r="AO602" s="4" t="s">
        <v>62</v>
      </c>
      <c r="AP602" s="5">
        <f t="shared" si="20"/>
        <v>0</v>
      </c>
      <c r="AQ602" s="5">
        <f t="shared" si="21"/>
        <v>0</v>
      </c>
      <c r="AR602" s="2"/>
    </row>
    <row r="603" spans="5:44" ht="14.45" customHeight="1" x14ac:dyDescent="0.25">
      <c r="E603" s="2"/>
      <c r="F603" s="125"/>
      <c r="G603" s="2"/>
      <c r="H603" s="2" t="s">
        <v>28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 t="s">
        <v>28</v>
      </c>
      <c r="Y603" s="70" t="s">
        <v>16</v>
      </c>
      <c r="Z603" s="32" t="s">
        <v>17</v>
      </c>
      <c r="AA603" s="2"/>
      <c r="AB603" s="70" t="s">
        <v>16</v>
      </c>
      <c r="AC603" s="32" t="s">
        <v>17</v>
      </c>
      <c r="AD603" s="2"/>
      <c r="AE603" s="3"/>
      <c r="AF603" s="2" t="s">
        <v>28</v>
      </c>
      <c r="AG603" s="70" t="s">
        <v>16</v>
      </c>
      <c r="AH603" s="32" t="s">
        <v>17</v>
      </c>
      <c r="AI603" s="2"/>
      <c r="AJ603" s="70" t="s">
        <v>16</v>
      </c>
      <c r="AK603" s="32" t="s">
        <v>17</v>
      </c>
      <c r="AL603" s="3"/>
      <c r="AM603" s="2"/>
      <c r="AN603" s="4" t="s">
        <v>62</v>
      </c>
      <c r="AO603" s="4" t="s">
        <v>62</v>
      </c>
      <c r="AP603" s="5">
        <f t="shared" si="20"/>
        <v>0</v>
      </c>
      <c r="AQ603" s="5">
        <f t="shared" si="21"/>
        <v>0</v>
      </c>
      <c r="AR603" s="2"/>
    </row>
    <row r="604" spans="5:44" ht="14.45" customHeight="1" x14ac:dyDescent="0.25">
      <c r="E604" s="2"/>
      <c r="F604" s="125"/>
      <c r="G604" s="2"/>
      <c r="H604" s="2" t="s">
        <v>32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 t="s">
        <v>32</v>
      </c>
      <c r="Y604" s="70" t="s">
        <v>16</v>
      </c>
      <c r="Z604" s="32" t="s">
        <v>17</v>
      </c>
      <c r="AA604" s="2"/>
      <c r="AB604" s="70" t="s">
        <v>16</v>
      </c>
      <c r="AC604" s="32" t="s">
        <v>17</v>
      </c>
      <c r="AD604" s="2"/>
      <c r="AE604" s="3"/>
      <c r="AF604" s="2" t="s">
        <v>32</v>
      </c>
      <c r="AG604" s="70" t="s">
        <v>16</v>
      </c>
      <c r="AH604" s="32" t="s">
        <v>17</v>
      </c>
      <c r="AI604" s="2"/>
      <c r="AJ604" s="70" t="s">
        <v>16</v>
      </c>
      <c r="AK604" s="32" t="s">
        <v>17</v>
      </c>
      <c r="AL604" s="3"/>
      <c r="AM604" s="2"/>
      <c r="AN604" s="4" t="s">
        <v>62</v>
      </c>
      <c r="AO604" s="4" t="s">
        <v>62</v>
      </c>
      <c r="AP604" s="5">
        <f t="shared" si="20"/>
        <v>0</v>
      </c>
      <c r="AQ604" s="5">
        <f t="shared" si="21"/>
        <v>0</v>
      </c>
      <c r="AR604" s="2"/>
    </row>
    <row r="605" spans="5:44" ht="14.45" customHeight="1" x14ac:dyDescent="0.25">
      <c r="E605" s="2"/>
      <c r="F605" s="125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3"/>
      <c r="AF605" s="2"/>
      <c r="AG605" s="2"/>
      <c r="AH605" s="2"/>
      <c r="AI605" s="2"/>
      <c r="AJ605" s="2"/>
      <c r="AK605" s="2"/>
      <c r="AL605" s="3"/>
      <c r="AM605" s="2"/>
      <c r="AN605" s="4" t="s">
        <v>62</v>
      </c>
      <c r="AO605" s="4" t="s">
        <v>62</v>
      </c>
      <c r="AP605" s="5">
        <f t="shared" si="20"/>
        <v>0</v>
      </c>
      <c r="AQ605" s="5">
        <f t="shared" si="21"/>
        <v>0</v>
      </c>
      <c r="AR605" s="2"/>
    </row>
    <row r="606" spans="5:44" ht="14.45" customHeight="1" x14ac:dyDescent="0.25">
      <c r="E606" s="2"/>
      <c r="F606" s="125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36">
        <v>1439</v>
      </c>
      <c r="Z606" s="36"/>
      <c r="AA606" s="36"/>
      <c r="AB606" s="36" t="s">
        <v>63</v>
      </c>
      <c r="AC606" s="37"/>
      <c r="AD606" s="2"/>
      <c r="AE606" s="3"/>
      <c r="AF606" s="2"/>
      <c r="AG606" s="25">
        <v>1455</v>
      </c>
      <c r="AH606" s="25"/>
      <c r="AI606" s="25"/>
      <c r="AJ606" s="25" t="s">
        <v>63</v>
      </c>
      <c r="AK606" s="3"/>
      <c r="AL606" s="3"/>
      <c r="AM606" s="2"/>
      <c r="AN606" s="4" t="s">
        <v>62</v>
      </c>
      <c r="AO606" s="4" t="s">
        <v>62</v>
      </c>
      <c r="AP606" s="5">
        <f t="shared" si="20"/>
        <v>0</v>
      </c>
      <c r="AQ606" s="5">
        <f t="shared" si="21"/>
        <v>0</v>
      </c>
      <c r="AR606" s="2"/>
    </row>
    <row r="607" spans="5:44" ht="14.45" customHeight="1" x14ac:dyDescent="0.25">
      <c r="E607" s="2"/>
      <c r="F607" s="125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6" t="s">
        <v>4</v>
      </c>
      <c r="Z607" s="26"/>
      <c r="AA607" s="26"/>
      <c r="AB607" s="26" t="s">
        <v>5</v>
      </c>
      <c r="AC607" s="26"/>
      <c r="AD607" s="26"/>
      <c r="AE607" s="3"/>
      <c r="AF607" s="2"/>
      <c r="AG607" s="26" t="s">
        <v>4</v>
      </c>
      <c r="AH607" s="26"/>
      <c r="AI607" s="26"/>
      <c r="AJ607" s="26" t="s">
        <v>5</v>
      </c>
      <c r="AK607" s="26"/>
      <c r="AL607" s="3"/>
      <c r="AM607" s="2"/>
      <c r="AN607" s="4" t="s">
        <v>64</v>
      </c>
      <c r="AO607" s="4" t="s">
        <v>64</v>
      </c>
      <c r="AP607" s="5">
        <f t="shared" si="20"/>
        <v>8</v>
      </c>
      <c r="AQ607" s="5">
        <f t="shared" si="21"/>
        <v>8</v>
      </c>
      <c r="AR607" s="2"/>
    </row>
    <row r="608" spans="5:44" ht="14.45" customHeight="1" x14ac:dyDescent="0.25">
      <c r="E608" s="2"/>
      <c r="F608" s="125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7">
        <v>1439</v>
      </c>
      <c r="Z608" s="27" t="s">
        <v>7</v>
      </c>
      <c r="AA608" s="2"/>
      <c r="AB608" s="27">
        <v>1439</v>
      </c>
      <c r="AC608" s="27" t="s">
        <v>7</v>
      </c>
      <c r="AD608" s="28"/>
      <c r="AE608" s="3"/>
      <c r="AF608" s="2"/>
      <c r="AG608" s="27">
        <v>1455</v>
      </c>
      <c r="AH608" s="27" t="s">
        <v>7</v>
      </c>
      <c r="AI608" s="29"/>
      <c r="AJ608" s="27">
        <v>1455</v>
      </c>
      <c r="AK608" s="27" t="s">
        <v>7</v>
      </c>
      <c r="AL608" s="3"/>
      <c r="AM608" s="2"/>
      <c r="AN608" s="4" t="s">
        <v>65</v>
      </c>
      <c r="AO608" s="4" t="s">
        <v>66</v>
      </c>
      <c r="AP608" s="5">
        <f t="shared" si="20"/>
        <v>66</v>
      </c>
      <c r="AQ608" s="5">
        <f t="shared" si="21"/>
        <v>66</v>
      </c>
      <c r="AR608" s="2"/>
    </row>
    <row r="609" spans="5:44" ht="14.45" customHeight="1" x14ac:dyDescent="0.25">
      <c r="E609" s="2"/>
      <c r="F609" s="125"/>
      <c r="G609" s="2"/>
      <c r="H609" s="2" t="s">
        <v>12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 t="s">
        <v>12</v>
      </c>
      <c r="Y609" t="s">
        <v>66</v>
      </c>
      <c r="Z609" s="32" t="s">
        <v>67</v>
      </c>
      <c r="AA609" s="2"/>
      <c r="AB609" t="s">
        <v>66</v>
      </c>
      <c r="AC609" s="32" t="s">
        <v>67</v>
      </c>
      <c r="AD609" s="2"/>
      <c r="AE609" s="3"/>
      <c r="AF609" s="2" t="s">
        <v>12</v>
      </c>
      <c r="AG609" t="s">
        <v>66</v>
      </c>
      <c r="AH609" s="32" t="s">
        <v>67</v>
      </c>
      <c r="AI609" s="2"/>
      <c r="AJ609" t="s">
        <v>66</v>
      </c>
      <c r="AK609" s="32" t="s">
        <v>67</v>
      </c>
      <c r="AL609" s="3"/>
      <c r="AM609" s="2"/>
      <c r="AN609" s="4" t="s">
        <v>68</v>
      </c>
      <c r="AO609" s="4" t="s">
        <v>68</v>
      </c>
      <c r="AP609" s="5">
        <f t="shared" si="20"/>
        <v>0</v>
      </c>
      <c r="AQ609" s="5">
        <f t="shared" si="21"/>
        <v>0</v>
      </c>
      <c r="AR609" s="2"/>
    </row>
    <row r="610" spans="5:44" ht="14.45" customHeight="1" x14ac:dyDescent="0.25">
      <c r="E610" s="2"/>
      <c r="F610" s="125"/>
      <c r="G610" s="2"/>
      <c r="H610" s="2" t="s">
        <v>20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 t="s">
        <v>20</v>
      </c>
      <c r="Y610" t="s">
        <v>66</v>
      </c>
      <c r="Z610" s="32" t="s">
        <v>67</v>
      </c>
      <c r="AA610" s="2"/>
      <c r="AB610" t="s">
        <v>66</v>
      </c>
      <c r="AC610" s="32" t="s">
        <v>67</v>
      </c>
      <c r="AD610" s="2"/>
      <c r="AE610" s="3"/>
      <c r="AF610" s="2" t="s">
        <v>20</v>
      </c>
      <c r="AG610" t="s">
        <v>66</v>
      </c>
      <c r="AH610" s="32" t="s">
        <v>67</v>
      </c>
      <c r="AI610" s="2"/>
      <c r="AJ610" t="s">
        <v>66</v>
      </c>
      <c r="AK610" s="32" t="s">
        <v>67</v>
      </c>
      <c r="AL610" s="3"/>
      <c r="AM610" s="2"/>
      <c r="AN610" s="4"/>
      <c r="AO610" s="4" t="s">
        <v>69</v>
      </c>
      <c r="AP610" s="5">
        <f>+SUM(AP582:AP609)</f>
        <v>180</v>
      </c>
      <c r="AQ610" s="5">
        <f>+SUM(AQ582:AQ609)</f>
        <v>180</v>
      </c>
      <c r="AR610" s="2"/>
    </row>
    <row r="611" spans="5:44" ht="14.45" customHeight="1" x14ac:dyDescent="0.25">
      <c r="E611" s="2"/>
      <c r="F611" s="125"/>
      <c r="G611" s="2"/>
      <c r="H611" s="2" t="s">
        <v>24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 t="s">
        <v>24</v>
      </c>
      <c r="Y611" t="s">
        <v>66</v>
      </c>
      <c r="Z611" s="32" t="s">
        <v>67</v>
      </c>
      <c r="AA611" s="2"/>
      <c r="AB611" t="s">
        <v>66</v>
      </c>
      <c r="AC611" s="32" t="s">
        <v>67</v>
      </c>
      <c r="AD611" s="2"/>
      <c r="AE611" s="3"/>
      <c r="AF611" s="2" t="s">
        <v>24</v>
      </c>
      <c r="AG611" t="s">
        <v>66</v>
      </c>
      <c r="AH611" s="32" t="s">
        <v>67</v>
      </c>
      <c r="AI611" s="2"/>
      <c r="AJ611" t="s">
        <v>66</v>
      </c>
      <c r="AK611" s="32" t="s">
        <v>67</v>
      </c>
      <c r="AL611" s="3"/>
      <c r="AM611" s="2"/>
      <c r="AN611" s="2"/>
      <c r="AO611" s="2"/>
      <c r="AP611" s="2"/>
      <c r="AQ611" s="2"/>
      <c r="AR611" s="2"/>
    </row>
    <row r="612" spans="5:44" ht="14.45" customHeight="1" x14ac:dyDescent="0.25">
      <c r="E612" s="2"/>
      <c r="F612" s="125"/>
      <c r="G612" s="2"/>
      <c r="H612" s="2" t="s">
        <v>28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 t="s">
        <v>28</v>
      </c>
      <c r="Y612" t="s">
        <v>66</v>
      </c>
      <c r="Z612" s="32" t="s">
        <v>67</v>
      </c>
      <c r="AA612" s="2"/>
      <c r="AB612" t="s">
        <v>66</v>
      </c>
      <c r="AC612" s="32" t="s">
        <v>67</v>
      </c>
      <c r="AD612" s="2"/>
      <c r="AE612" s="3"/>
      <c r="AF612" s="2" t="s">
        <v>28</v>
      </c>
      <c r="AG612" t="s">
        <v>66</v>
      </c>
      <c r="AH612" s="32" t="s">
        <v>67</v>
      </c>
      <c r="AI612" s="2"/>
      <c r="AJ612" t="s">
        <v>66</v>
      </c>
      <c r="AK612" s="32" t="s">
        <v>67</v>
      </c>
      <c r="AL612" s="3"/>
      <c r="AM612" s="2"/>
      <c r="AN612" s="2"/>
      <c r="AO612" s="2"/>
      <c r="AP612" s="2"/>
      <c r="AQ612" s="2"/>
      <c r="AR612" s="2"/>
    </row>
    <row r="613" spans="5:44" ht="14.45" customHeight="1" x14ac:dyDescent="0.25">
      <c r="E613" s="2"/>
      <c r="F613" s="125"/>
      <c r="G613" s="2"/>
      <c r="H613" s="2" t="s">
        <v>32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 t="s">
        <v>32</v>
      </c>
      <c r="Y613" t="s">
        <v>66</v>
      </c>
      <c r="Z613" s="32" t="s">
        <v>67</v>
      </c>
      <c r="AA613" s="2"/>
      <c r="AB613" t="s">
        <v>66</v>
      </c>
      <c r="AC613" s="32" t="s">
        <v>67</v>
      </c>
      <c r="AD613" s="2"/>
      <c r="AE613" s="3"/>
      <c r="AF613" s="2" t="s">
        <v>32</v>
      </c>
      <c r="AG613" t="s">
        <v>66</v>
      </c>
      <c r="AH613" s="32" t="s">
        <v>67</v>
      </c>
      <c r="AI613" s="2"/>
      <c r="AJ613" t="s">
        <v>66</v>
      </c>
      <c r="AK613" s="32" t="s">
        <v>67</v>
      </c>
      <c r="AL613" s="3"/>
      <c r="AM613" s="2"/>
      <c r="AN613" s="2"/>
      <c r="AO613" s="2"/>
      <c r="AP613" s="2"/>
      <c r="AQ613" s="2"/>
      <c r="AR613" s="2"/>
    </row>
    <row r="614" spans="5:44" ht="14.45" customHeight="1" x14ac:dyDescent="0.25">
      <c r="E614" s="2"/>
      <c r="F614" s="125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3"/>
      <c r="AF614" s="2"/>
      <c r="AG614" s="2"/>
      <c r="AH614" s="2"/>
      <c r="AI614" s="2"/>
      <c r="AJ614" s="2"/>
      <c r="AK614" s="2"/>
      <c r="AL614" s="3"/>
      <c r="AM614" s="2"/>
      <c r="AN614" s="2"/>
      <c r="AO614" s="2"/>
      <c r="AP614" s="2"/>
      <c r="AQ614" s="2"/>
      <c r="AR614" s="2"/>
    </row>
    <row r="615" spans="5:44" ht="14.45" customHeight="1" x14ac:dyDescent="0.25">
      <c r="E615" s="2"/>
      <c r="F615" s="125"/>
      <c r="G615" s="2"/>
      <c r="H615" s="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2"/>
      <c r="AN615" s="2"/>
      <c r="AO615" s="2"/>
      <c r="AP615" s="2"/>
      <c r="AQ615" s="2"/>
      <c r="AR615" s="2"/>
    </row>
    <row r="616" spans="5:44" ht="14.45" customHeight="1" x14ac:dyDescent="0.25">
      <c r="E616" s="2"/>
      <c r="F616" s="125"/>
      <c r="G616" s="2"/>
      <c r="H616" s="2"/>
      <c r="I616" s="2"/>
      <c r="J616" s="2"/>
      <c r="K616" s="2"/>
      <c r="L616" s="2"/>
      <c r="M616" s="2"/>
      <c r="N616" s="2"/>
      <c r="O616" s="3"/>
      <c r="P616" s="2"/>
      <c r="Q616" s="2"/>
      <c r="R616" s="2"/>
      <c r="S616" s="2"/>
      <c r="T616" s="2"/>
      <c r="U616" s="2"/>
      <c r="V616" s="2"/>
      <c r="W616" s="3"/>
      <c r="X616" s="2"/>
      <c r="Y616" s="2"/>
      <c r="Z616" s="2"/>
      <c r="AA616" s="2"/>
      <c r="AB616" s="2"/>
      <c r="AC616" s="2"/>
      <c r="AD616" s="2"/>
      <c r="AE616" s="3"/>
      <c r="AF616" s="2"/>
      <c r="AG616" s="2"/>
      <c r="AH616" s="2"/>
      <c r="AI616" s="2"/>
      <c r="AJ616" s="2"/>
      <c r="AK616" s="2"/>
      <c r="AL616" s="3"/>
      <c r="AM616" s="2"/>
      <c r="AN616" s="2"/>
      <c r="AO616" s="2"/>
      <c r="AP616" s="2"/>
      <c r="AQ616" s="2"/>
      <c r="AR616" s="2"/>
    </row>
    <row r="617" spans="5:44" ht="14.45" customHeight="1" x14ac:dyDescent="0.25">
      <c r="E617" s="2"/>
      <c r="F617" s="125"/>
      <c r="G617" s="2"/>
      <c r="H617" s="2"/>
      <c r="I617" s="25">
        <v>2930</v>
      </c>
      <c r="J617" s="25"/>
      <c r="K617" s="25"/>
      <c r="L617" s="25" t="s">
        <v>63</v>
      </c>
      <c r="M617" s="3"/>
      <c r="N617" s="2"/>
      <c r="O617" s="3"/>
      <c r="P617" s="2"/>
      <c r="Q617" s="25"/>
      <c r="R617" s="25"/>
      <c r="S617" s="25"/>
      <c r="T617" s="25"/>
      <c r="U617" s="3"/>
      <c r="V617" s="2"/>
      <c r="W617" s="3"/>
      <c r="X617" s="2"/>
      <c r="Y617" s="25"/>
      <c r="Z617" s="25"/>
      <c r="AA617" s="25"/>
      <c r="AB617" s="25"/>
      <c r="AC617" s="3"/>
      <c r="AD617" s="2"/>
      <c r="AE617" s="3"/>
      <c r="AF617" s="2"/>
      <c r="AG617" s="25"/>
      <c r="AH617" s="25"/>
      <c r="AI617" s="25"/>
      <c r="AJ617" s="25"/>
      <c r="AK617" s="3"/>
      <c r="AL617" s="3"/>
      <c r="AM617" s="2"/>
      <c r="AN617" s="2"/>
      <c r="AO617" s="2"/>
      <c r="AP617" s="2"/>
      <c r="AQ617" s="2"/>
      <c r="AR617" s="2"/>
    </row>
    <row r="618" spans="5:44" ht="14.45" customHeight="1" x14ac:dyDescent="0.25">
      <c r="E618" s="2"/>
      <c r="F618" s="125"/>
      <c r="G618" s="2"/>
      <c r="H618" s="2"/>
      <c r="I618" s="26" t="s">
        <v>4</v>
      </c>
      <c r="J618" s="26"/>
      <c r="K618" s="26"/>
      <c r="L618" s="26" t="s">
        <v>5</v>
      </c>
      <c r="M618" s="26"/>
      <c r="N618" s="2"/>
      <c r="O618" s="3"/>
      <c r="P618" s="2"/>
      <c r="Q618" s="26"/>
      <c r="R618" s="26"/>
      <c r="S618" s="26"/>
      <c r="T618" s="26"/>
      <c r="U618" s="26"/>
      <c r="V618" s="2"/>
      <c r="W618" s="3"/>
      <c r="X618" s="2"/>
      <c r="Y618" s="26"/>
      <c r="Z618" s="26"/>
      <c r="AA618" s="26"/>
      <c r="AB618" s="26"/>
      <c r="AC618" s="26"/>
      <c r="AD618" s="26"/>
      <c r="AE618" s="3"/>
      <c r="AF618" s="2"/>
      <c r="AG618" s="26"/>
      <c r="AH618" s="26"/>
      <c r="AI618" s="26"/>
      <c r="AJ618" s="26"/>
      <c r="AK618" s="26"/>
      <c r="AL618" s="3"/>
      <c r="AM618" s="2"/>
      <c r="AN618" s="2"/>
      <c r="AO618" s="2"/>
      <c r="AP618" s="2"/>
      <c r="AQ618" s="2"/>
      <c r="AR618" s="2"/>
    </row>
    <row r="619" spans="5:44" ht="14.45" customHeight="1" x14ac:dyDescent="0.25">
      <c r="E619" s="2"/>
      <c r="F619" s="125"/>
      <c r="G619" s="2"/>
      <c r="H619" s="2"/>
      <c r="I619" s="27">
        <v>2930</v>
      </c>
      <c r="J619" s="27" t="s">
        <v>7</v>
      </c>
      <c r="K619" s="2"/>
      <c r="L619" s="27">
        <v>2930</v>
      </c>
      <c r="M619" s="27" t="s">
        <v>7</v>
      </c>
      <c r="N619" s="2"/>
      <c r="O619" s="3"/>
      <c r="P619" s="2"/>
      <c r="Q619" s="27"/>
      <c r="R619" s="27"/>
      <c r="S619" s="2"/>
      <c r="T619" s="27"/>
      <c r="U619" s="27"/>
      <c r="V619" s="2"/>
      <c r="W619" s="3"/>
      <c r="X619" s="2"/>
      <c r="Y619" s="27"/>
      <c r="Z619" s="27"/>
      <c r="AA619" s="2"/>
      <c r="AB619" s="27"/>
      <c r="AC619" s="27"/>
      <c r="AD619" s="28"/>
      <c r="AE619" s="3"/>
      <c r="AF619" s="2"/>
      <c r="AG619" s="27"/>
      <c r="AH619" s="27"/>
      <c r="AI619" s="29"/>
      <c r="AJ619" s="27"/>
      <c r="AK619" s="27"/>
      <c r="AL619" s="3"/>
      <c r="AM619" s="2"/>
      <c r="AN619" s="2"/>
      <c r="AO619" s="2"/>
      <c r="AP619" s="2"/>
      <c r="AQ619" s="2"/>
      <c r="AR619" s="2"/>
    </row>
    <row r="620" spans="5:44" ht="14.45" customHeight="1" x14ac:dyDescent="0.25">
      <c r="E620" s="2"/>
      <c r="F620" s="125"/>
      <c r="G620" s="2"/>
      <c r="H620" s="2" t="s">
        <v>12</v>
      </c>
      <c r="I620" s="81" t="s">
        <v>31</v>
      </c>
      <c r="J620" s="32" t="s">
        <v>70</v>
      </c>
      <c r="K620" s="2"/>
      <c r="L620" s="81" t="s">
        <v>31</v>
      </c>
      <c r="M620" s="32" t="s">
        <v>70</v>
      </c>
      <c r="N620" s="2"/>
      <c r="O620" s="3"/>
      <c r="P620" s="2" t="s">
        <v>12</v>
      </c>
      <c r="R620" s="32"/>
      <c r="S620" s="2"/>
      <c r="U620" s="32"/>
      <c r="V620" s="2"/>
      <c r="W620" s="3"/>
      <c r="X620" s="2" t="s">
        <v>12</v>
      </c>
      <c r="Z620" s="32"/>
      <c r="AA620" s="2"/>
      <c r="AC620" s="32"/>
      <c r="AD620" s="2"/>
      <c r="AE620" s="3"/>
      <c r="AF620" s="2" t="s">
        <v>12</v>
      </c>
      <c r="AH620" s="32"/>
      <c r="AI620" s="2"/>
      <c r="AK620" s="32"/>
      <c r="AL620" s="3"/>
      <c r="AM620" s="2"/>
      <c r="AN620" s="2"/>
      <c r="AO620" s="2"/>
      <c r="AP620" s="2"/>
      <c r="AQ620" s="2"/>
      <c r="AR620" s="2"/>
    </row>
    <row r="621" spans="5:44" ht="14.45" customHeight="1" x14ac:dyDescent="0.25">
      <c r="E621" s="2"/>
      <c r="F621" s="125"/>
      <c r="G621" s="2"/>
      <c r="H621" s="2" t="s">
        <v>20</v>
      </c>
      <c r="I621" s="81" t="s">
        <v>31</v>
      </c>
      <c r="J621" s="32" t="s">
        <v>70</v>
      </c>
      <c r="K621" s="2"/>
      <c r="L621" s="81" t="s">
        <v>31</v>
      </c>
      <c r="M621" s="32" t="s">
        <v>70</v>
      </c>
      <c r="N621" s="2"/>
      <c r="O621" s="3"/>
      <c r="P621" s="2" t="s">
        <v>20</v>
      </c>
      <c r="R621" s="32"/>
      <c r="S621" s="2"/>
      <c r="U621" s="32"/>
      <c r="V621" s="2"/>
      <c r="W621" s="3"/>
      <c r="X621" s="2" t="s">
        <v>20</v>
      </c>
      <c r="Z621" s="32"/>
      <c r="AA621" s="2"/>
      <c r="AC621" s="32"/>
      <c r="AD621" s="2"/>
      <c r="AE621" s="3"/>
      <c r="AF621" s="2" t="s">
        <v>20</v>
      </c>
      <c r="AH621" s="32"/>
      <c r="AI621" s="2"/>
      <c r="AK621" s="32"/>
      <c r="AL621" s="3"/>
      <c r="AM621" s="2"/>
      <c r="AN621" s="2"/>
      <c r="AO621" s="12" t="s">
        <v>71</v>
      </c>
      <c r="AP621" s="5">
        <f t="shared" ref="AP621:AP630" si="22">(COUNTIF($I$292:$I$383,"=*"&amp;AO621&amp;"*")+COUNTIF($Q$292:$Q$382,"=*"&amp;AO621&amp;"*")+COUNTIF($AG$291:$AG$385,"=*"&amp;AO621&amp;"*")+COUNTIF($Y$292:$Y$385,"=*"&amp;AO621&amp;"*"))*2</f>
        <v>8</v>
      </c>
      <c r="AQ621" s="2"/>
      <c r="AR621" s="2"/>
    </row>
    <row r="622" spans="5:44" ht="14.45" customHeight="1" x14ac:dyDescent="0.25">
      <c r="E622" s="2"/>
      <c r="F622" s="125"/>
      <c r="G622" s="2"/>
      <c r="H622" s="2" t="s">
        <v>24</v>
      </c>
      <c r="I622" s="81" t="s">
        <v>31</v>
      </c>
      <c r="J622" s="32" t="s">
        <v>70</v>
      </c>
      <c r="K622" s="2"/>
      <c r="L622" s="81" t="s">
        <v>31</v>
      </c>
      <c r="M622" s="32" t="s">
        <v>70</v>
      </c>
      <c r="N622" s="2"/>
      <c r="O622" s="3"/>
      <c r="P622" s="2" t="s">
        <v>24</v>
      </c>
      <c r="R622" s="32"/>
      <c r="S622" s="2"/>
      <c r="U622" s="32"/>
      <c r="V622" s="2"/>
      <c r="W622" s="3"/>
      <c r="X622" s="2" t="s">
        <v>24</v>
      </c>
      <c r="Z622" s="32"/>
      <c r="AA622" s="2"/>
      <c r="AC622" s="32"/>
      <c r="AD622" s="2"/>
      <c r="AE622" s="3"/>
      <c r="AF622" s="2" t="s">
        <v>24</v>
      </c>
      <c r="AH622" s="32"/>
      <c r="AI622" s="2"/>
      <c r="AK622" s="32"/>
      <c r="AL622" s="3"/>
      <c r="AM622" s="2"/>
      <c r="AN622" s="2"/>
      <c r="AO622" s="12" t="s">
        <v>72</v>
      </c>
      <c r="AP622" s="5">
        <f t="shared" si="22"/>
        <v>2</v>
      </c>
      <c r="AQ622" s="2"/>
      <c r="AR622" s="2"/>
    </row>
    <row r="623" spans="5:44" ht="14.45" customHeight="1" x14ac:dyDescent="0.25">
      <c r="E623" s="2"/>
      <c r="F623" s="125"/>
      <c r="G623" s="2"/>
      <c r="H623" s="2" t="s">
        <v>28</v>
      </c>
      <c r="I623" s="34" t="s">
        <v>73</v>
      </c>
      <c r="J623" s="32" t="s">
        <v>70</v>
      </c>
      <c r="K623" s="2"/>
      <c r="L623" s="34" t="s">
        <v>73</v>
      </c>
      <c r="M623" s="32" t="s">
        <v>70</v>
      </c>
      <c r="N623" s="2"/>
      <c r="O623" s="3"/>
      <c r="P623" s="2" t="s">
        <v>28</v>
      </c>
      <c r="R623" s="32"/>
      <c r="S623" s="2"/>
      <c r="U623" s="32"/>
      <c r="V623" s="2"/>
      <c r="W623" s="3"/>
      <c r="X623" s="2" t="s">
        <v>28</v>
      </c>
      <c r="Z623" s="32"/>
      <c r="AA623" s="2"/>
      <c r="AC623" s="32"/>
      <c r="AD623" s="2"/>
      <c r="AE623" s="3"/>
      <c r="AF623" s="2" t="s">
        <v>28</v>
      </c>
      <c r="AH623" s="32"/>
      <c r="AI623" s="2"/>
      <c r="AK623" s="32"/>
      <c r="AL623" s="3"/>
      <c r="AM623" s="2"/>
      <c r="AN623" s="2"/>
      <c r="AO623" s="23" t="s">
        <v>74</v>
      </c>
      <c r="AP623" s="5">
        <f t="shared" si="22"/>
        <v>0</v>
      </c>
      <c r="AQ623" s="2"/>
      <c r="AR623" s="2"/>
    </row>
    <row r="624" spans="5:44" ht="14.45" customHeight="1" x14ac:dyDescent="0.25">
      <c r="E624" s="2"/>
      <c r="F624" s="125"/>
      <c r="G624" s="2"/>
      <c r="H624" s="2" t="s">
        <v>32</v>
      </c>
      <c r="I624" s="34" t="s">
        <v>73</v>
      </c>
      <c r="J624" s="32" t="s">
        <v>70</v>
      </c>
      <c r="K624" s="2"/>
      <c r="L624" s="34" t="s">
        <v>73</v>
      </c>
      <c r="M624" s="32" t="s">
        <v>70</v>
      </c>
      <c r="N624" s="2"/>
      <c r="O624" s="3"/>
      <c r="P624" s="2" t="s">
        <v>32</v>
      </c>
      <c r="R624" s="32"/>
      <c r="S624" s="2"/>
      <c r="U624" s="32"/>
      <c r="V624" s="2"/>
      <c r="W624" s="3"/>
      <c r="X624" s="2" t="s">
        <v>32</v>
      </c>
      <c r="Z624" s="32"/>
      <c r="AA624" s="2"/>
      <c r="AC624" s="32"/>
      <c r="AD624" s="2"/>
      <c r="AE624" s="3"/>
      <c r="AF624" s="2" t="s">
        <v>32</v>
      </c>
      <c r="AH624" s="32"/>
      <c r="AI624" s="2"/>
      <c r="AK624" s="32"/>
      <c r="AL624" s="3"/>
      <c r="AM624" s="2"/>
      <c r="AN624" s="2"/>
      <c r="AO624" s="8" t="s">
        <v>93</v>
      </c>
      <c r="AP624" s="5">
        <f t="shared" si="22"/>
        <v>0</v>
      </c>
      <c r="AQ624" s="2"/>
      <c r="AR624" s="2"/>
    </row>
    <row r="625" spans="5:44" ht="14.45" customHeight="1" x14ac:dyDescent="0.25">
      <c r="E625" s="2"/>
      <c r="F625" s="125"/>
      <c r="G625" s="2"/>
      <c r="H625" s="2"/>
      <c r="I625" s="2"/>
      <c r="J625" s="2"/>
      <c r="K625" s="2"/>
      <c r="L625" s="2"/>
      <c r="M625" s="2"/>
      <c r="N625" s="2"/>
      <c r="O625" s="3"/>
      <c r="P625" s="2"/>
      <c r="Q625" s="2"/>
      <c r="R625" s="2"/>
      <c r="S625" s="2"/>
      <c r="T625" s="2"/>
      <c r="U625" s="2"/>
      <c r="V625" s="2"/>
      <c r="W625" s="3"/>
      <c r="X625" s="2"/>
      <c r="Y625" s="2"/>
      <c r="Z625" s="2"/>
      <c r="AA625" s="2"/>
      <c r="AB625" s="2"/>
      <c r="AC625" s="2"/>
      <c r="AD625" s="2"/>
      <c r="AE625" s="3"/>
      <c r="AF625" s="2"/>
      <c r="AG625" s="2"/>
      <c r="AH625" s="2"/>
      <c r="AI625" s="2"/>
      <c r="AJ625" s="2"/>
      <c r="AK625" s="2"/>
      <c r="AL625" s="3"/>
      <c r="AM625" s="2"/>
      <c r="AN625" s="2"/>
      <c r="AO625" s="10" t="s">
        <v>75</v>
      </c>
      <c r="AP625" s="5">
        <f t="shared" si="22"/>
        <v>0</v>
      </c>
      <c r="AQ625" s="2"/>
      <c r="AR625" s="2"/>
    </row>
    <row r="626" spans="5:44" ht="14.45" customHeight="1" x14ac:dyDescent="0.25">
      <c r="E626" s="2"/>
      <c r="F626" s="125"/>
      <c r="G626" s="2"/>
      <c r="H626" s="2"/>
      <c r="I626" s="25">
        <v>3415</v>
      </c>
      <c r="J626" s="25"/>
      <c r="K626" s="25"/>
      <c r="L626" s="25" t="s">
        <v>63</v>
      </c>
      <c r="M626" s="3"/>
      <c r="N626" s="2"/>
      <c r="O626" s="3"/>
      <c r="P626" s="2"/>
      <c r="Q626" s="36">
        <v>2989</v>
      </c>
      <c r="R626" s="36"/>
      <c r="S626" s="36"/>
      <c r="T626" s="36" t="s">
        <v>3</v>
      </c>
      <c r="U626" s="37"/>
      <c r="V626" s="2"/>
      <c r="W626" s="3"/>
      <c r="X626" s="2"/>
      <c r="Y626" s="25"/>
      <c r="Z626" s="25"/>
      <c r="AA626" s="25"/>
      <c r="AB626" s="25"/>
      <c r="AC626" s="3"/>
      <c r="AD626" s="2"/>
      <c r="AE626" s="3"/>
      <c r="AF626" s="2"/>
      <c r="AG626" s="36">
        <v>1852</v>
      </c>
      <c r="AH626" s="36"/>
      <c r="AI626" s="36"/>
      <c r="AJ626" s="36" t="s">
        <v>63</v>
      </c>
      <c r="AK626" s="37"/>
      <c r="AL626" s="3"/>
      <c r="AM626" s="2"/>
      <c r="AN626" s="2"/>
      <c r="AO626" s="10" t="s">
        <v>76</v>
      </c>
      <c r="AP626" s="5">
        <f t="shared" si="22"/>
        <v>0</v>
      </c>
      <c r="AQ626" s="2"/>
      <c r="AR626" s="2"/>
    </row>
    <row r="627" spans="5:44" ht="14.45" customHeight="1" x14ac:dyDescent="0.25">
      <c r="E627" s="2"/>
      <c r="F627" s="125"/>
      <c r="G627" s="2"/>
      <c r="H627" s="2"/>
      <c r="I627" s="26" t="s">
        <v>4</v>
      </c>
      <c r="J627" s="26"/>
      <c r="K627" s="26"/>
      <c r="L627" s="26" t="s">
        <v>5</v>
      </c>
      <c r="M627" s="26"/>
      <c r="N627" s="2"/>
      <c r="O627" s="3"/>
      <c r="P627" s="2"/>
      <c r="Q627" s="26" t="s">
        <v>4</v>
      </c>
      <c r="R627" s="26"/>
      <c r="S627" s="26"/>
      <c r="T627" s="26" t="s">
        <v>5</v>
      </c>
      <c r="U627" s="26"/>
      <c r="V627" s="2"/>
      <c r="W627" s="3"/>
      <c r="X627" s="2"/>
      <c r="Y627" s="26"/>
      <c r="Z627" s="26"/>
      <c r="AA627" s="26"/>
      <c r="AB627" s="26"/>
      <c r="AC627" s="26"/>
      <c r="AD627" s="26"/>
      <c r="AE627" s="3"/>
      <c r="AF627" s="2"/>
      <c r="AG627" s="26" t="s">
        <v>4</v>
      </c>
      <c r="AH627" s="26"/>
      <c r="AI627" s="26"/>
      <c r="AJ627" s="26" t="s">
        <v>5</v>
      </c>
      <c r="AK627" s="26"/>
      <c r="AL627" s="3"/>
      <c r="AM627" s="2"/>
      <c r="AN627" s="2"/>
      <c r="AO627" s="19" t="s">
        <v>77</v>
      </c>
      <c r="AP627" s="5">
        <f t="shared" si="22"/>
        <v>0</v>
      </c>
      <c r="AQ627" s="2"/>
      <c r="AR627" s="2"/>
    </row>
    <row r="628" spans="5:44" ht="14.45" customHeight="1" x14ac:dyDescent="0.25">
      <c r="E628" s="2"/>
      <c r="F628" s="125"/>
      <c r="G628" s="2"/>
      <c r="H628" s="2"/>
      <c r="I628" s="27">
        <v>3415</v>
      </c>
      <c r="J628" s="27" t="s">
        <v>7</v>
      </c>
      <c r="K628" s="2"/>
      <c r="L628" s="27">
        <v>3415</v>
      </c>
      <c r="M628" s="27" t="s">
        <v>7</v>
      </c>
      <c r="N628" s="2"/>
      <c r="O628" s="3"/>
      <c r="P628" s="2"/>
      <c r="Q628" s="27">
        <v>2989</v>
      </c>
      <c r="R628" s="27" t="s">
        <v>7</v>
      </c>
      <c r="S628" s="2"/>
      <c r="T628" s="27">
        <v>2989</v>
      </c>
      <c r="U628" s="27" t="s">
        <v>7</v>
      </c>
      <c r="V628" s="2"/>
      <c r="W628" s="3"/>
      <c r="X628" s="2"/>
      <c r="Y628" s="27"/>
      <c r="Z628" s="27"/>
      <c r="AA628" s="2"/>
      <c r="AB628" s="27"/>
      <c r="AC628" s="27"/>
      <c r="AD628" s="28"/>
      <c r="AE628" s="3"/>
      <c r="AF628" s="2"/>
      <c r="AG628" s="27">
        <v>1852</v>
      </c>
      <c r="AH628" s="27" t="s">
        <v>7</v>
      </c>
      <c r="AI628" s="29"/>
      <c r="AJ628" s="27">
        <v>1852</v>
      </c>
      <c r="AK628" s="27" t="s">
        <v>7</v>
      </c>
      <c r="AL628" s="3"/>
      <c r="AM628" s="2"/>
      <c r="AN628" s="2"/>
      <c r="AO628" s="16" t="s">
        <v>78</v>
      </c>
      <c r="AP628" s="5">
        <f t="shared" si="22"/>
        <v>0</v>
      </c>
      <c r="AQ628" s="2"/>
      <c r="AR628" s="2"/>
    </row>
    <row r="629" spans="5:44" ht="14.45" customHeight="1" x14ac:dyDescent="0.25">
      <c r="E629" s="2"/>
      <c r="F629" s="125"/>
      <c r="G629" s="2"/>
      <c r="H629" s="2" t="s">
        <v>12</v>
      </c>
      <c r="I629" t="s">
        <v>66</v>
      </c>
      <c r="J629" s="32" t="s">
        <v>79</v>
      </c>
      <c r="K629" s="2"/>
      <c r="L629" t="s">
        <v>66</v>
      </c>
      <c r="M629" s="32" t="s">
        <v>79</v>
      </c>
      <c r="N629" s="2"/>
      <c r="O629" s="3"/>
      <c r="P629" s="2" t="s">
        <v>12</v>
      </c>
      <c r="Q629" t="s">
        <v>66</v>
      </c>
      <c r="R629" s="32" t="s">
        <v>67</v>
      </c>
      <c r="S629" s="2"/>
      <c r="T629" t="s">
        <v>66</v>
      </c>
      <c r="U629" s="32" t="s">
        <v>67</v>
      </c>
      <c r="V629" s="2"/>
      <c r="W629" s="3"/>
      <c r="X629" s="2" t="s">
        <v>12</v>
      </c>
      <c r="Z629" s="32"/>
      <c r="AA629" s="2"/>
      <c r="AC629" s="32"/>
      <c r="AD629" s="2"/>
      <c r="AE629" s="3"/>
      <c r="AF629" s="2" t="s">
        <v>12</v>
      </c>
      <c r="AG629" t="s">
        <v>66</v>
      </c>
      <c r="AH629" s="32" t="s">
        <v>67</v>
      </c>
      <c r="AI629" s="2"/>
      <c r="AJ629" t="s">
        <v>66</v>
      </c>
      <c r="AK629" s="32" t="s">
        <v>67</v>
      </c>
      <c r="AL629" s="3"/>
      <c r="AM629" s="2"/>
      <c r="AN629" s="2"/>
      <c r="AO629" s="8" t="s">
        <v>80</v>
      </c>
      <c r="AP629" s="5">
        <f t="shared" si="22"/>
        <v>0</v>
      </c>
      <c r="AQ629" s="2"/>
      <c r="AR629" s="2"/>
    </row>
    <row r="630" spans="5:44" ht="14.45" customHeight="1" x14ac:dyDescent="0.25">
      <c r="E630" s="2"/>
      <c r="F630" s="125"/>
      <c r="G630" s="2"/>
      <c r="H630" s="2" t="s">
        <v>20</v>
      </c>
      <c r="I630" s="81" t="s">
        <v>71</v>
      </c>
      <c r="J630" s="32" t="s">
        <v>70</v>
      </c>
      <c r="K630" s="2"/>
      <c r="L630" s="81" t="s">
        <v>71</v>
      </c>
      <c r="M630" s="32" t="s">
        <v>70</v>
      </c>
      <c r="N630" s="2"/>
      <c r="O630" s="3"/>
      <c r="P630" s="2" t="s">
        <v>20</v>
      </c>
      <c r="Q630" t="s">
        <v>66</v>
      </c>
      <c r="R630" s="32" t="s">
        <v>67</v>
      </c>
      <c r="S630" s="2"/>
      <c r="T630" t="s">
        <v>66</v>
      </c>
      <c r="U630" s="32" t="s">
        <v>67</v>
      </c>
      <c r="V630" s="2"/>
      <c r="W630" s="3"/>
      <c r="X630" s="2" t="s">
        <v>20</v>
      </c>
      <c r="Z630" s="32"/>
      <c r="AA630" s="2"/>
      <c r="AC630" s="32"/>
      <c r="AD630" s="2"/>
      <c r="AE630" s="3"/>
      <c r="AF630" s="2" t="s">
        <v>20</v>
      </c>
      <c r="AG630" t="s">
        <v>66</v>
      </c>
      <c r="AH630" s="32" t="s">
        <v>67</v>
      </c>
      <c r="AI630" s="2"/>
      <c r="AJ630" t="s">
        <v>66</v>
      </c>
      <c r="AK630" s="32" t="s">
        <v>67</v>
      </c>
      <c r="AL630" s="3"/>
      <c r="AM630" s="2"/>
      <c r="AN630" s="2"/>
      <c r="AO630" s="8" t="s">
        <v>80</v>
      </c>
      <c r="AP630" s="5">
        <f t="shared" si="22"/>
        <v>0</v>
      </c>
      <c r="AQ630" s="2"/>
      <c r="AR630" s="2"/>
    </row>
    <row r="631" spans="5:44" ht="14.45" customHeight="1" x14ac:dyDescent="0.25">
      <c r="E631" s="2"/>
      <c r="F631" s="125"/>
      <c r="G631" s="2"/>
      <c r="H631" s="2" t="s">
        <v>24</v>
      </c>
      <c r="I631" s="81" t="s">
        <v>71</v>
      </c>
      <c r="J631" s="32" t="s">
        <v>70</v>
      </c>
      <c r="K631" s="2"/>
      <c r="L631" s="81" t="s">
        <v>71</v>
      </c>
      <c r="M631" s="32" t="s">
        <v>70</v>
      </c>
      <c r="N631" s="2"/>
      <c r="O631" s="3"/>
      <c r="P631" s="2" t="s">
        <v>24</v>
      </c>
      <c r="Q631" t="s">
        <v>66</v>
      </c>
      <c r="R631" s="32" t="s">
        <v>67</v>
      </c>
      <c r="S631" s="2"/>
      <c r="T631" t="s">
        <v>66</v>
      </c>
      <c r="U631" s="32" t="s">
        <v>67</v>
      </c>
      <c r="V631" s="2"/>
      <c r="W631" s="3"/>
      <c r="X631" s="2" t="s">
        <v>24</v>
      </c>
      <c r="Z631" s="32"/>
      <c r="AA631" s="2"/>
      <c r="AC631" s="32"/>
      <c r="AD631" s="2"/>
      <c r="AE631" s="3"/>
      <c r="AF631" s="2" t="s">
        <v>24</v>
      </c>
      <c r="AG631" t="s">
        <v>66</v>
      </c>
      <c r="AH631" s="32" t="s">
        <v>67</v>
      </c>
      <c r="AI631" s="2"/>
      <c r="AJ631" t="s">
        <v>66</v>
      </c>
      <c r="AK631" s="32" t="s">
        <v>67</v>
      </c>
      <c r="AL631" s="3"/>
      <c r="AM631" s="2"/>
      <c r="AN631" s="2"/>
      <c r="AO631" s="18" t="s">
        <v>82</v>
      </c>
      <c r="AP631" s="5">
        <v>2</v>
      </c>
      <c r="AQ631" s="2"/>
      <c r="AR631" s="2"/>
    </row>
    <row r="632" spans="5:44" ht="14.45" customHeight="1" x14ac:dyDescent="0.25">
      <c r="E632" s="2"/>
      <c r="F632" s="125"/>
      <c r="G632" s="2"/>
      <c r="H632" s="2" t="s">
        <v>28</v>
      </c>
      <c r="I632" s="81" t="s">
        <v>71</v>
      </c>
      <c r="J632" s="32" t="s">
        <v>83</v>
      </c>
      <c r="K632" s="2"/>
      <c r="L632" s="81" t="s">
        <v>71</v>
      </c>
      <c r="M632" s="32" t="s">
        <v>83</v>
      </c>
      <c r="N632" s="2"/>
      <c r="O632" s="3"/>
      <c r="P632" s="2" t="s">
        <v>28</v>
      </c>
      <c r="Q632" t="s">
        <v>66</v>
      </c>
      <c r="R632" s="32" t="s">
        <v>67</v>
      </c>
      <c r="S632" s="2"/>
      <c r="T632" t="s">
        <v>66</v>
      </c>
      <c r="U632" s="32" t="s">
        <v>67</v>
      </c>
      <c r="V632" s="2"/>
      <c r="W632" s="3"/>
      <c r="X632" s="2" t="s">
        <v>28</v>
      </c>
      <c r="Z632" s="32"/>
      <c r="AA632" s="2"/>
      <c r="AC632" s="32"/>
      <c r="AD632" s="2"/>
      <c r="AE632" s="3"/>
      <c r="AF632" s="2" t="s">
        <v>28</v>
      </c>
      <c r="AG632" t="s">
        <v>66</v>
      </c>
      <c r="AH632" s="32" t="s">
        <v>67</v>
      </c>
      <c r="AI632" s="2"/>
      <c r="AJ632" t="s">
        <v>66</v>
      </c>
      <c r="AK632" s="32" t="s">
        <v>67</v>
      </c>
      <c r="AL632" s="3"/>
      <c r="AM632" s="2"/>
      <c r="AN632" s="2"/>
      <c r="AO632" s="2"/>
      <c r="AP632" s="2"/>
      <c r="AQ632" s="2"/>
      <c r="AR632" s="2"/>
    </row>
    <row r="633" spans="5:44" ht="14.45" customHeight="1" x14ac:dyDescent="0.25">
      <c r="E633" s="2"/>
      <c r="F633" s="125"/>
      <c r="G633" s="2"/>
      <c r="H633" s="2" t="s">
        <v>32</v>
      </c>
      <c r="I633" t="s">
        <v>72</v>
      </c>
      <c r="J633" s="32" t="s">
        <v>70</v>
      </c>
      <c r="K633" s="2"/>
      <c r="L633" t="s">
        <v>72</v>
      </c>
      <c r="M633" s="32" t="s">
        <v>70</v>
      </c>
      <c r="N633" s="2"/>
      <c r="O633" s="3"/>
      <c r="P633" s="2" t="s">
        <v>32</v>
      </c>
      <c r="Q633" t="s">
        <v>66</v>
      </c>
      <c r="R633" s="32" t="s">
        <v>67</v>
      </c>
      <c r="S633" s="2"/>
      <c r="T633" t="s">
        <v>66</v>
      </c>
      <c r="U633" s="32" t="s">
        <v>67</v>
      </c>
      <c r="V633" s="2"/>
      <c r="W633" s="3"/>
      <c r="X633" s="2" t="s">
        <v>32</v>
      </c>
      <c r="Z633" s="32"/>
      <c r="AA633" s="2"/>
      <c r="AC633" s="32"/>
      <c r="AD633" s="2"/>
      <c r="AE633" s="3"/>
      <c r="AF633" s="2" t="s">
        <v>32</v>
      </c>
      <c r="AG633" t="s">
        <v>66</v>
      </c>
      <c r="AH633" s="32" t="s">
        <v>67</v>
      </c>
      <c r="AI633" s="2"/>
      <c r="AJ633" t="s">
        <v>66</v>
      </c>
      <c r="AK633" s="32" t="s">
        <v>67</v>
      </c>
      <c r="AL633" s="3"/>
      <c r="AM633" s="2"/>
      <c r="AN633" s="2"/>
      <c r="AO633" s="2"/>
      <c r="AP633" s="2"/>
      <c r="AQ633" s="2"/>
      <c r="AR633" s="2"/>
    </row>
    <row r="634" spans="5:44" ht="14.45" customHeight="1" x14ac:dyDescent="0.25">
      <c r="E634" s="2"/>
      <c r="F634" s="125"/>
      <c r="G634" s="2"/>
      <c r="H634" s="2"/>
      <c r="I634" s="2"/>
      <c r="J634" s="2"/>
      <c r="K634" s="2"/>
      <c r="L634" s="2"/>
      <c r="M634" s="2"/>
      <c r="N634" s="2"/>
      <c r="O634" s="3"/>
      <c r="P634" s="2"/>
      <c r="Q634" s="2"/>
      <c r="R634" s="2"/>
      <c r="S634" s="2"/>
      <c r="T634" s="2"/>
      <c r="U634" s="2"/>
      <c r="V634" s="2"/>
      <c r="W634" s="3"/>
      <c r="X634" s="2"/>
      <c r="Y634" s="2"/>
      <c r="Z634" s="2"/>
      <c r="AA634" s="2"/>
      <c r="AB634" s="2"/>
      <c r="AC634" s="2"/>
      <c r="AD634" s="2"/>
      <c r="AE634" s="3"/>
      <c r="AF634" s="2"/>
      <c r="AG634" s="2"/>
      <c r="AH634" s="2"/>
      <c r="AI634" s="2"/>
      <c r="AJ634" s="2"/>
      <c r="AK634" s="2"/>
      <c r="AL634" s="3"/>
      <c r="AM634" s="2"/>
      <c r="AN634" s="2"/>
      <c r="AO634" s="2"/>
      <c r="AP634" s="2"/>
      <c r="AQ634" s="2"/>
      <c r="AR634" s="2"/>
    </row>
    <row r="635" spans="5:44" ht="14.45" customHeight="1" x14ac:dyDescent="0.25">
      <c r="E635" s="2"/>
      <c r="F635" s="125"/>
      <c r="G635" s="2"/>
      <c r="H635" s="2"/>
      <c r="I635" s="25">
        <v>3707</v>
      </c>
      <c r="J635" s="25"/>
      <c r="K635" s="25"/>
      <c r="L635" s="25" t="s">
        <v>63</v>
      </c>
      <c r="M635" s="3"/>
      <c r="N635" s="2"/>
      <c r="O635" s="3"/>
      <c r="P635" s="2"/>
      <c r="Q635" s="25">
        <v>5275</v>
      </c>
      <c r="R635" s="25"/>
      <c r="S635" s="25"/>
      <c r="T635" s="25" t="s">
        <v>63</v>
      </c>
      <c r="U635" s="3"/>
      <c r="V635" s="2"/>
      <c r="W635" s="3"/>
      <c r="X635" s="2"/>
      <c r="Y635" s="2"/>
      <c r="Z635" s="2"/>
      <c r="AA635" s="2"/>
      <c r="AB635" s="2"/>
      <c r="AC635" s="2"/>
      <c r="AD635" s="2"/>
      <c r="AE635" s="3"/>
      <c r="AF635" s="2"/>
      <c r="AG635" s="36">
        <v>1848</v>
      </c>
      <c r="AH635" s="36"/>
      <c r="AI635" s="36"/>
      <c r="AJ635" s="36" t="s">
        <v>63</v>
      </c>
      <c r="AK635" s="37"/>
      <c r="AL635" s="3"/>
      <c r="AM635" s="2"/>
      <c r="AN635" s="2"/>
      <c r="AO635" s="2"/>
      <c r="AP635" s="2"/>
      <c r="AQ635" s="2"/>
      <c r="AR635" s="2"/>
    </row>
    <row r="636" spans="5:44" ht="14.45" customHeight="1" x14ac:dyDescent="0.25">
      <c r="E636" s="2"/>
      <c r="F636" s="125"/>
      <c r="G636" s="2"/>
      <c r="H636" s="2"/>
      <c r="I636" s="26" t="s">
        <v>4</v>
      </c>
      <c r="J636" s="26"/>
      <c r="K636" s="26"/>
      <c r="L636" s="26" t="s">
        <v>5</v>
      </c>
      <c r="M636" s="26"/>
      <c r="N636" s="2"/>
      <c r="O636" s="3"/>
      <c r="P636" s="2"/>
      <c r="Q636" s="26" t="s">
        <v>4</v>
      </c>
      <c r="R636" s="26"/>
      <c r="S636" s="26"/>
      <c r="T636" s="26" t="s">
        <v>5</v>
      </c>
      <c r="U636" s="26"/>
      <c r="V636" s="2"/>
      <c r="W636" s="3"/>
      <c r="X636" s="2"/>
      <c r="Y636" s="2"/>
      <c r="Z636" s="2"/>
      <c r="AA636" s="2"/>
      <c r="AB636" s="2"/>
      <c r="AC636" s="2"/>
      <c r="AD636" s="2"/>
      <c r="AE636" s="3"/>
      <c r="AF636" s="2"/>
      <c r="AG636" s="26" t="s">
        <v>4</v>
      </c>
      <c r="AH636" s="26"/>
      <c r="AI636" s="26"/>
      <c r="AJ636" s="26"/>
      <c r="AK636" s="26" t="s">
        <v>84</v>
      </c>
      <c r="AL636" s="3"/>
      <c r="AM636" s="2"/>
      <c r="AN636" s="2"/>
      <c r="AO636" s="2"/>
      <c r="AP636" s="2"/>
      <c r="AQ636" s="2"/>
      <c r="AR636" s="2"/>
    </row>
    <row r="637" spans="5:44" ht="14.45" customHeight="1" x14ac:dyDescent="0.25">
      <c r="E637" s="2"/>
      <c r="F637" s="125"/>
      <c r="G637" s="2"/>
      <c r="H637" s="2"/>
      <c r="I637" s="27">
        <v>3707</v>
      </c>
      <c r="J637" s="27" t="s">
        <v>7</v>
      </c>
      <c r="K637" s="2"/>
      <c r="L637" s="27">
        <v>3707</v>
      </c>
      <c r="M637" s="27" t="s">
        <v>7</v>
      </c>
      <c r="N637" s="2"/>
      <c r="O637" s="3"/>
      <c r="P637" s="2"/>
      <c r="Q637" s="27">
        <v>5275</v>
      </c>
      <c r="R637" s="27" t="s">
        <v>7</v>
      </c>
      <c r="S637" s="2"/>
      <c r="T637" s="27">
        <v>5275</v>
      </c>
      <c r="U637" s="27" t="s">
        <v>7</v>
      </c>
      <c r="V637" s="2"/>
      <c r="W637" s="3"/>
      <c r="X637" s="2"/>
      <c r="Y637" s="2"/>
      <c r="Z637" s="2"/>
      <c r="AA637" s="2"/>
      <c r="AB637" s="2"/>
      <c r="AC637" s="2"/>
      <c r="AD637" s="2"/>
      <c r="AE637" s="3"/>
      <c r="AF637" s="2"/>
      <c r="AG637" s="27">
        <v>1848</v>
      </c>
      <c r="AH637" s="27" t="s">
        <v>7</v>
      </c>
      <c r="AI637" s="29"/>
      <c r="AJ637" s="27">
        <v>1848</v>
      </c>
      <c r="AK637" s="27" t="s">
        <v>7</v>
      </c>
      <c r="AL637" s="3"/>
      <c r="AM637" s="2"/>
      <c r="AN637" s="2"/>
      <c r="AO637" s="2"/>
      <c r="AP637" s="2"/>
      <c r="AQ637" s="2"/>
      <c r="AR637" s="2"/>
    </row>
    <row r="638" spans="5:44" ht="14.45" customHeight="1" x14ac:dyDescent="0.25">
      <c r="E638" s="2"/>
      <c r="F638" s="125"/>
      <c r="G638" s="2"/>
      <c r="H638" s="2" t="s">
        <v>12</v>
      </c>
      <c r="I638" t="s">
        <v>66</v>
      </c>
      <c r="J638" s="32" t="s">
        <v>67</v>
      </c>
      <c r="K638" s="2"/>
      <c r="L638" t="s">
        <v>66</v>
      </c>
      <c r="M638" s="32" t="s">
        <v>67</v>
      </c>
      <c r="N638" s="2"/>
      <c r="O638" s="3"/>
      <c r="P638" s="2" t="s">
        <v>12</v>
      </c>
      <c r="Q638" t="s">
        <v>66</v>
      </c>
      <c r="R638" s="32" t="s">
        <v>67</v>
      </c>
      <c r="S638" s="2"/>
      <c r="T638" t="s">
        <v>66</v>
      </c>
      <c r="U638" s="32" t="s">
        <v>67</v>
      </c>
      <c r="V638" s="2"/>
      <c r="W638" s="3"/>
      <c r="X638" s="2"/>
      <c r="Y638" s="2"/>
      <c r="Z638" s="2"/>
      <c r="AA638" s="2"/>
      <c r="AB638" s="2"/>
      <c r="AC638" s="2"/>
      <c r="AD638" s="2"/>
      <c r="AE638" s="3"/>
      <c r="AF638" s="2" t="s">
        <v>12</v>
      </c>
      <c r="AG638" s="15" t="s">
        <v>50</v>
      </c>
      <c r="AH638" s="32" t="s">
        <v>70</v>
      </c>
      <c r="AI638" s="2"/>
      <c r="AJ638" s="15" t="s">
        <v>50</v>
      </c>
      <c r="AK638" s="32" t="s">
        <v>70</v>
      </c>
      <c r="AL638" s="3"/>
      <c r="AM638" s="2"/>
      <c r="AN638" s="2"/>
      <c r="AO638" s="2"/>
      <c r="AP638" s="2"/>
      <c r="AQ638" s="2"/>
      <c r="AR638" s="2"/>
    </row>
    <row r="639" spans="5:44" ht="14.45" customHeight="1" x14ac:dyDescent="0.25">
      <c r="E639" s="2"/>
      <c r="F639" s="125"/>
      <c r="G639" s="2"/>
      <c r="H639" s="2" t="s">
        <v>20</v>
      </c>
      <c r="I639" t="s">
        <v>66</v>
      </c>
      <c r="J639" s="32" t="s">
        <v>67</v>
      </c>
      <c r="K639" s="2"/>
      <c r="L639" t="s">
        <v>66</v>
      </c>
      <c r="M639" s="32" t="s">
        <v>67</v>
      </c>
      <c r="N639" s="2"/>
      <c r="O639" s="3"/>
      <c r="P639" s="2" t="s">
        <v>20</v>
      </c>
      <c r="Q639" t="s">
        <v>66</v>
      </c>
      <c r="R639" s="32" t="s">
        <v>67</v>
      </c>
      <c r="S639" s="2"/>
      <c r="T639" t="s">
        <v>66</v>
      </c>
      <c r="U639" s="32" t="s">
        <v>67</v>
      </c>
      <c r="V639" s="2"/>
      <c r="W639" s="3"/>
      <c r="X639" s="2"/>
      <c r="Y639" s="2"/>
      <c r="Z639" s="2"/>
      <c r="AA639" s="2"/>
      <c r="AB639" s="2"/>
      <c r="AC639" s="2"/>
      <c r="AD639" s="2"/>
      <c r="AE639" s="3"/>
      <c r="AF639" s="2" t="s">
        <v>20</v>
      </c>
      <c r="AG639" s="15" t="s">
        <v>50</v>
      </c>
      <c r="AH639" s="32" t="s">
        <v>70</v>
      </c>
      <c r="AI639" s="2"/>
      <c r="AJ639" s="15" t="s">
        <v>50</v>
      </c>
      <c r="AK639" s="32" t="s">
        <v>70</v>
      </c>
      <c r="AL639" s="3"/>
      <c r="AM639" s="2"/>
      <c r="AN639" s="2"/>
      <c r="AO639" s="2"/>
      <c r="AP639" s="2"/>
      <c r="AQ639" s="2"/>
      <c r="AR639" s="2"/>
    </row>
    <row r="640" spans="5:44" ht="14.45" customHeight="1" x14ac:dyDescent="0.25">
      <c r="E640" s="2"/>
      <c r="F640" s="125"/>
      <c r="G640" s="2"/>
      <c r="H640" s="2" t="s">
        <v>24</v>
      </c>
      <c r="I640" t="s">
        <v>66</v>
      </c>
      <c r="J640" s="32" t="s">
        <v>67</v>
      </c>
      <c r="K640" s="2"/>
      <c r="L640" t="s">
        <v>66</v>
      </c>
      <c r="M640" s="32" t="s">
        <v>67</v>
      </c>
      <c r="N640" s="2"/>
      <c r="O640" s="3"/>
      <c r="P640" s="2" t="s">
        <v>24</v>
      </c>
      <c r="Q640" t="s">
        <v>66</v>
      </c>
      <c r="R640" s="32" t="s">
        <v>67</v>
      </c>
      <c r="S640" s="2"/>
      <c r="T640" t="s">
        <v>66</v>
      </c>
      <c r="U640" s="32" t="s">
        <v>67</v>
      </c>
      <c r="V640" s="2"/>
      <c r="W640" s="3"/>
      <c r="X640" s="2"/>
      <c r="Y640" s="2"/>
      <c r="Z640" s="2"/>
      <c r="AA640" s="2"/>
      <c r="AB640" s="2"/>
      <c r="AC640" s="2"/>
      <c r="AD640" s="2"/>
      <c r="AE640" s="3"/>
      <c r="AF640" s="2" t="s">
        <v>24</v>
      </c>
      <c r="AG640" s="15" t="s">
        <v>50</v>
      </c>
      <c r="AH640" s="32" t="s">
        <v>70</v>
      </c>
      <c r="AI640" s="2"/>
      <c r="AJ640" s="15" t="s">
        <v>50</v>
      </c>
      <c r="AK640" s="32" t="s">
        <v>70</v>
      </c>
      <c r="AL640" s="3"/>
      <c r="AM640" s="2"/>
      <c r="AN640" s="2"/>
      <c r="AO640" s="2"/>
      <c r="AP640" s="2"/>
      <c r="AQ640" s="2"/>
      <c r="AR640" s="2"/>
    </row>
    <row r="641" spans="5:44" ht="14.45" customHeight="1" x14ac:dyDescent="0.25">
      <c r="E641" s="2"/>
      <c r="F641" s="125"/>
      <c r="G641" s="2"/>
      <c r="H641" s="2" t="s">
        <v>28</v>
      </c>
      <c r="I641" t="s">
        <v>66</v>
      </c>
      <c r="J641" s="32" t="s">
        <v>67</v>
      </c>
      <c r="K641" s="2"/>
      <c r="L641" t="s">
        <v>66</v>
      </c>
      <c r="M641" s="32" t="s">
        <v>67</v>
      </c>
      <c r="N641" s="2"/>
      <c r="O641" s="3"/>
      <c r="P641" s="2" t="s">
        <v>28</v>
      </c>
      <c r="Q641" t="s">
        <v>66</v>
      </c>
      <c r="R641" s="32" t="s">
        <v>67</v>
      </c>
      <c r="S641" s="2"/>
      <c r="T641" t="s">
        <v>66</v>
      </c>
      <c r="U641" s="32" t="s">
        <v>67</v>
      </c>
      <c r="V641" s="2"/>
      <c r="W641" s="3"/>
      <c r="X641" s="2"/>
      <c r="Y641" s="2"/>
      <c r="Z641" s="2"/>
      <c r="AA641" s="2"/>
      <c r="AB641" s="2"/>
      <c r="AC641" s="2"/>
      <c r="AD641" s="2"/>
      <c r="AE641" s="3"/>
      <c r="AF641" s="2" t="s">
        <v>28</v>
      </c>
      <c r="AG641" s="15" t="s">
        <v>50</v>
      </c>
      <c r="AH641" s="32" t="s">
        <v>70</v>
      </c>
      <c r="AI641" s="2"/>
      <c r="AJ641" s="15" t="s">
        <v>50</v>
      </c>
      <c r="AK641" s="32" t="s">
        <v>70</v>
      </c>
      <c r="AL641" s="3"/>
      <c r="AM641" s="2"/>
      <c r="AN641" s="2"/>
      <c r="AO641" s="2"/>
      <c r="AP641" s="2"/>
      <c r="AQ641" s="2"/>
      <c r="AR641" s="2"/>
    </row>
    <row r="642" spans="5:44" ht="14.45" customHeight="1" x14ac:dyDescent="0.25">
      <c r="E642" s="2"/>
      <c r="F642" s="125"/>
      <c r="G642" s="2"/>
      <c r="H642" s="2" t="s">
        <v>32</v>
      </c>
      <c r="I642" t="s">
        <v>66</v>
      </c>
      <c r="J642" s="32" t="s">
        <v>67</v>
      </c>
      <c r="K642" s="2"/>
      <c r="L642" t="s">
        <v>66</v>
      </c>
      <c r="M642" s="32" t="s">
        <v>67</v>
      </c>
      <c r="N642" s="2"/>
      <c r="O642" s="3"/>
      <c r="P642" s="2" t="s">
        <v>32</v>
      </c>
      <c r="Q642" t="s">
        <v>66</v>
      </c>
      <c r="R642" s="32" t="s">
        <v>67</v>
      </c>
      <c r="S642" s="2"/>
      <c r="T642" t="s">
        <v>66</v>
      </c>
      <c r="U642" s="32" t="s">
        <v>67</v>
      </c>
      <c r="V642" s="2"/>
      <c r="W642" s="3"/>
      <c r="X642" s="2"/>
      <c r="Y642" s="2"/>
      <c r="Z642" s="2"/>
      <c r="AA642" s="2"/>
      <c r="AB642" s="2"/>
      <c r="AC642" s="2"/>
      <c r="AD642" s="2"/>
      <c r="AE642" s="3"/>
      <c r="AF642" s="2" t="s">
        <v>32</v>
      </c>
      <c r="AG642" s="15" t="s">
        <v>50</v>
      </c>
      <c r="AH642" s="32" t="s">
        <v>70</v>
      </c>
      <c r="AI642" s="2"/>
      <c r="AJ642" s="15" t="s">
        <v>50</v>
      </c>
      <c r="AK642" s="32" t="s">
        <v>70</v>
      </c>
      <c r="AL642" s="3"/>
      <c r="AM642" s="2"/>
      <c r="AN642" s="2"/>
      <c r="AO642" s="2"/>
      <c r="AP642" s="2"/>
      <c r="AQ642" s="2"/>
      <c r="AR642" s="2"/>
    </row>
    <row r="643" spans="5:44" ht="14.45" customHeight="1" x14ac:dyDescent="0.25">
      <c r="E643" s="2"/>
      <c r="F643" s="125"/>
      <c r="G643" s="2"/>
      <c r="H643" s="2"/>
      <c r="I643" s="2"/>
      <c r="J643" s="2"/>
      <c r="K643" s="2"/>
      <c r="L643" s="2"/>
      <c r="M643" s="2"/>
      <c r="N643" s="2"/>
      <c r="O643" s="3"/>
      <c r="P643" s="2"/>
      <c r="Q643" s="2"/>
      <c r="R643" s="2"/>
      <c r="S643" s="2"/>
      <c r="T643" s="2"/>
      <c r="U643" s="2"/>
      <c r="V643" s="2"/>
      <c r="W643" s="3"/>
      <c r="X643" s="2"/>
      <c r="Y643" s="2"/>
      <c r="Z643" s="2"/>
      <c r="AA643" s="2"/>
      <c r="AB643" s="2"/>
      <c r="AC643" s="2"/>
      <c r="AD643" s="2"/>
      <c r="AE643" s="3"/>
      <c r="AF643" s="2"/>
      <c r="AG643" s="2"/>
      <c r="AH643" s="2"/>
      <c r="AI643" s="2"/>
      <c r="AJ643" s="2"/>
      <c r="AK643" s="2"/>
      <c r="AL643" s="3"/>
      <c r="AM643" s="2"/>
      <c r="AN643" s="2"/>
      <c r="AO643" s="2"/>
      <c r="AP643" s="2"/>
      <c r="AQ643" s="2"/>
      <c r="AR643" s="2"/>
    </row>
    <row r="644" spans="5:44" ht="14.45" customHeight="1" x14ac:dyDescent="0.25">
      <c r="E644" s="2"/>
      <c r="F644" s="125"/>
      <c r="G644" s="2"/>
      <c r="H644" s="2"/>
      <c r="I644" s="2"/>
      <c r="J644" s="2"/>
      <c r="K644" s="2"/>
      <c r="L644" s="2"/>
      <c r="M644" s="2"/>
      <c r="N644" s="2"/>
      <c r="O644" s="3"/>
      <c r="P644" s="2"/>
      <c r="Q644" s="2"/>
      <c r="R644" s="2"/>
      <c r="S644" s="2"/>
      <c r="T644" s="2"/>
      <c r="U644" s="2"/>
      <c r="V644" s="2"/>
      <c r="W644" s="3"/>
      <c r="X644" s="2"/>
      <c r="Y644" s="2"/>
      <c r="Z644" s="2"/>
      <c r="AA644" s="2"/>
      <c r="AB644" s="2"/>
      <c r="AC644" s="2"/>
      <c r="AD644" s="2"/>
      <c r="AE644" s="3"/>
      <c r="AF644" s="2"/>
      <c r="AG644" s="36" t="s">
        <v>85</v>
      </c>
      <c r="AH644" s="36"/>
      <c r="AI644" s="36"/>
      <c r="AJ644" s="36" t="s">
        <v>63</v>
      </c>
      <c r="AK644" s="37"/>
      <c r="AL644" s="3"/>
      <c r="AM644" s="2"/>
      <c r="AN644" s="2"/>
      <c r="AO644" s="2"/>
      <c r="AP644" s="2"/>
      <c r="AQ644" s="2"/>
      <c r="AR644" s="2"/>
    </row>
    <row r="645" spans="5:44" ht="14.45" customHeight="1" x14ac:dyDescent="0.25">
      <c r="E645" s="2"/>
      <c r="F645" s="125"/>
      <c r="G645" s="2"/>
      <c r="H645" s="2"/>
      <c r="I645" s="2"/>
      <c r="J645" s="2"/>
      <c r="K645" s="2"/>
      <c r="L645" s="2"/>
      <c r="M645" s="2"/>
      <c r="N645" s="2"/>
      <c r="O645" s="3"/>
      <c r="P645" s="2"/>
      <c r="Q645" s="2"/>
      <c r="R645" s="2"/>
      <c r="S645" s="2"/>
      <c r="T645" s="2"/>
      <c r="U645" s="2"/>
      <c r="V645" s="2"/>
      <c r="W645" s="3"/>
      <c r="X645" s="2"/>
      <c r="Y645" s="2"/>
      <c r="Z645" s="2"/>
      <c r="AA645" s="2"/>
      <c r="AB645" s="2"/>
      <c r="AC645" s="2"/>
      <c r="AD645" s="2"/>
      <c r="AE645" s="3"/>
      <c r="AF645" s="2"/>
      <c r="AG645" s="26" t="s">
        <v>4</v>
      </c>
      <c r="AH645" s="26"/>
      <c r="AI645" s="26"/>
      <c r="AJ645" s="26" t="s">
        <v>5</v>
      </c>
      <c r="AK645" s="26"/>
      <c r="AL645" s="3"/>
      <c r="AM645" s="2"/>
      <c r="AN645" s="2"/>
      <c r="AO645" s="2"/>
      <c r="AP645" s="2"/>
      <c r="AQ645" s="2"/>
      <c r="AR645" s="2"/>
    </row>
    <row r="646" spans="5:44" ht="14.45" customHeight="1" x14ac:dyDescent="0.25">
      <c r="E646" s="2"/>
      <c r="F646" s="125"/>
      <c r="G646" s="2"/>
      <c r="H646" s="2"/>
      <c r="I646" s="2"/>
      <c r="J646" s="2"/>
      <c r="K646" s="2"/>
      <c r="L646" s="2"/>
      <c r="M646" s="2"/>
      <c r="N646" s="2"/>
      <c r="O646" s="3"/>
      <c r="P646" s="2"/>
      <c r="Q646" s="2"/>
      <c r="R646" s="2"/>
      <c r="S646" s="2"/>
      <c r="T646" s="2"/>
      <c r="U646" s="2"/>
      <c r="V646" s="2"/>
      <c r="W646" s="3"/>
      <c r="X646" s="2"/>
      <c r="Y646" s="2"/>
      <c r="Z646" s="2"/>
      <c r="AA646" s="2"/>
      <c r="AB646" s="2"/>
      <c r="AC646" s="2"/>
      <c r="AD646" s="2"/>
      <c r="AE646" s="3"/>
      <c r="AF646" s="2"/>
      <c r="AG646" s="27" t="s">
        <v>85</v>
      </c>
      <c r="AH646" s="27" t="s">
        <v>7</v>
      </c>
      <c r="AI646" s="29"/>
      <c r="AJ646" s="27" t="s">
        <v>85</v>
      </c>
      <c r="AK646" s="27" t="s">
        <v>7</v>
      </c>
      <c r="AL646" s="3"/>
      <c r="AM646" s="2"/>
      <c r="AN646" s="2"/>
      <c r="AO646" s="2"/>
      <c r="AP646" s="2"/>
      <c r="AQ646" s="2"/>
      <c r="AR646" s="2"/>
    </row>
    <row r="647" spans="5:44" ht="14.45" customHeight="1" x14ac:dyDescent="0.25">
      <c r="E647" s="2"/>
      <c r="F647" s="125"/>
      <c r="G647" s="2"/>
      <c r="H647" s="2" t="s">
        <v>12</v>
      </c>
      <c r="I647" s="2"/>
      <c r="J647" s="2"/>
      <c r="K647" s="2"/>
      <c r="L647" s="2"/>
      <c r="M647" s="2"/>
      <c r="N647" s="2"/>
      <c r="O647" s="3"/>
      <c r="P647" s="2"/>
      <c r="Q647" s="2"/>
      <c r="R647" s="2"/>
      <c r="S647" s="2"/>
      <c r="T647" s="2"/>
      <c r="U647" s="2"/>
      <c r="V647" s="2"/>
      <c r="W647" s="3"/>
      <c r="X647" s="2"/>
      <c r="Y647" s="2"/>
      <c r="Z647" s="2"/>
      <c r="AA647" s="2"/>
      <c r="AB647" s="2"/>
      <c r="AC647" s="2"/>
      <c r="AD647" s="2"/>
      <c r="AE647" s="3"/>
      <c r="AF647" s="2" t="s">
        <v>12</v>
      </c>
      <c r="AG647" t="s">
        <v>66</v>
      </c>
      <c r="AH647" s="32" t="s">
        <v>79</v>
      </c>
      <c r="AI647" s="2"/>
      <c r="AJ647" t="s">
        <v>66</v>
      </c>
      <c r="AK647" s="32" t="s">
        <v>79</v>
      </c>
      <c r="AL647" s="3"/>
      <c r="AM647" s="2"/>
      <c r="AN647" s="2"/>
      <c r="AO647" s="2"/>
      <c r="AP647" s="2"/>
      <c r="AQ647" s="2"/>
      <c r="AR647" s="2"/>
    </row>
    <row r="648" spans="5:44" ht="14.45" customHeight="1" x14ac:dyDescent="0.25">
      <c r="E648" s="2"/>
      <c r="F648" s="125"/>
      <c r="G648" s="2"/>
      <c r="H648" s="2" t="s">
        <v>20</v>
      </c>
      <c r="I648" s="2"/>
      <c r="J648" s="2"/>
      <c r="K648" s="2"/>
      <c r="L648" s="2"/>
      <c r="M648" s="2"/>
      <c r="N648" s="2"/>
      <c r="O648" s="3"/>
      <c r="P648" s="2"/>
      <c r="Q648" s="2"/>
      <c r="R648" s="2"/>
      <c r="S648" s="2"/>
      <c r="T648" s="2"/>
      <c r="U648" s="2"/>
      <c r="V648" s="2"/>
      <c r="W648" s="3"/>
      <c r="X648" s="2"/>
      <c r="Y648" s="2"/>
      <c r="Z648" s="2"/>
      <c r="AA648" s="2"/>
      <c r="AB648" s="2"/>
      <c r="AC648" s="2"/>
      <c r="AD648" s="2"/>
      <c r="AE648" s="3"/>
      <c r="AF648" s="2" t="s">
        <v>20</v>
      </c>
      <c r="AG648" s="2" t="s">
        <v>59</v>
      </c>
      <c r="AH648" s="32" t="s">
        <v>70</v>
      </c>
      <c r="AI648" s="2"/>
      <c r="AJ648" s="2" t="s">
        <v>59</v>
      </c>
      <c r="AK648" s="32" t="s">
        <v>70</v>
      </c>
      <c r="AL648" s="3"/>
      <c r="AM648" s="2"/>
      <c r="AN648" s="2"/>
      <c r="AO648" s="2"/>
      <c r="AP648" s="2"/>
      <c r="AQ648" s="2"/>
      <c r="AR648" s="2"/>
    </row>
    <row r="649" spans="5:44" ht="14.45" customHeight="1" x14ac:dyDescent="0.25">
      <c r="E649" s="2"/>
      <c r="F649" s="125"/>
      <c r="G649" s="2"/>
      <c r="H649" s="2" t="s">
        <v>24</v>
      </c>
      <c r="I649" s="2"/>
      <c r="J649" s="2"/>
      <c r="K649" s="2"/>
      <c r="L649" s="2"/>
      <c r="M649" s="2"/>
      <c r="N649" s="2"/>
      <c r="O649" s="3"/>
      <c r="P649" s="2"/>
      <c r="Q649" s="2"/>
      <c r="R649" s="2"/>
      <c r="S649" s="2"/>
      <c r="T649" s="2"/>
      <c r="U649" s="2"/>
      <c r="V649" s="2"/>
      <c r="W649" s="3"/>
      <c r="X649" s="2"/>
      <c r="Y649" s="2"/>
      <c r="Z649" s="2"/>
      <c r="AA649" s="2"/>
      <c r="AB649" s="2"/>
      <c r="AC649" s="2"/>
      <c r="AD649" s="2"/>
      <c r="AE649" s="3"/>
      <c r="AF649" s="2" t="s">
        <v>24</v>
      </c>
      <c r="AG649" s="2" t="s">
        <v>61</v>
      </c>
      <c r="AH649" s="32" t="s">
        <v>70</v>
      </c>
      <c r="AI649" s="2"/>
      <c r="AJ649" s="2" t="s">
        <v>61</v>
      </c>
      <c r="AK649" s="32" t="s">
        <v>70</v>
      </c>
      <c r="AL649" s="3"/>
      <c r="AM649" s="2"/>
      <c r="AN649" s="2"/>
      <c r="AO649" s="2"/>
      <c r="AP649" s="2"/>
      <c r="AQ649" s="2"/>
      <c r="AR649" s="2"/>
    </row>
    <row r="650" spans="5:44" ht="14.45" customHeight="1" x14ac:dyDescent="0.25">
      <c r="E650" s="2"/>
      <c r="F650" s="125"/>
      <c r="G650" s="2"/>
      <c r="H650" s="2" t="s">
        <v>28</v>
      </c>
      <c r="I650" s="2"/>
      <c r="J650" s="2"/>
      <c r="K650" s="2"/>
      <c r="L650" s="2"/>
      <c r="M650" s="2"/>
      <c r="N650" s="2"/>
      <c r="O650" s="3"/>
      <c r="P650" s="2"/>
      <c r="Q650" s="2"/>
      <c r="R650" s="2"/>
      <c r="S650" s="2"/>
      <c r="T650" s="2"/>
      <c r="U650" s="2"/>
      <c r="V650" s="2"/>
      <c r="W650" s="3"/>
      <c r="X650" s="2"/>
      <c r="Y650" s="2"/>
      <c r="Z650" s="2"/>
      <c r="AA650" s="2"/>
      <c r="AB650" s="2"/>
      <c r="AC650" s="2"/>
      <c r="AD650" s="2"/>
      <c r="AE650" s="3"/>
      <c r="AF650" s="2" t="s">
        <v>28</v>
      </c>
      <c r="AG650" s="2" t="s">
        <v>61</v>
      </c>
      <c r="AH650" s="32" t="s">
        <v>70</v>
      </c>
      <c r="AI650" s="2"/>
      <c r="AJ650" s="2" t="s">
        <v>61</v>
      </c>
      <c r="AK650" s="32" t="s">
        <v>70</v>
      </c>
      <c r="AL650" s="3"/>
      <c r="AM650" s="2"/>
      <c r="AN650" s="2"/>
      <c r="AO650" s="2"/>
      <c r="AP650" s="2"/>
      <c r="AQ650" s="2"/>
      <c r="AR650" s="2"/>
    </row>
    <row r="651" spans="5:44" ht="14.45" customHeight="1" x14ac:dyDescent="0.25">
      <c r="E651" s="2"/>
      <c r="F651" s="125"/>
      <c r="G651" s="2"/>
      <c r="H651" s="2" t="s">
        <v>32</v>
      </c>
      <c r="I651" s="2"/>
      <c r="J651" s="2"/>
      <c r="K651" s="2"/>
      <c r="L651" s="2"/>
      <c r="M651" s="2"/>
      <c r="N651" s="2"/>
      <c r="O651" s="3"/>
      <c r="P651" s="2"/>
      <c r="Q651" s="2"/>
      <c r="R651" s="2"/>
      <c r="S651" s="2"/>
      <c r="T651" s="2"/>
      <c r="U651" s="2"/>
      <c r="V651" s="2"/>
      <c r="W651" s="3"/>
      <c r="X651" s="2"/>
      <c r="Y651" s="2"/>
      <c r="Z651" s="2"/>
      <c r="AA651" s="2"/>
      <c r="AB651" s="2"/>
      <c r="AC651" s="2"/>
      <c r="AD651" s="2"/>
      <c r="AE651" s="3"/>
      <c r="AF651" s="2" t="s">
        <v>32</v>
      </c>
      <c r="AG651" s="2" t="s">
        <v>61</v>
      </c>
      <c r="AH651" s="32" t="s">
        <v>70</v>
      </c>
      <c r="AI651" s="2"/>
      <c r="AJ651" s="2" t="s">
        <v>61</v>
      </c>
      <c r="AK651" s="32" t="s">
        <v>70</v>
      </c>
      <c r="AL651" s="3"/>
      <c r="AM651" s="2"/>
      <c r="AN651" s="2"/>
      <c r="AO651" s="2"/>
      <c r="AP651" s="2"/>
      <c r="AQ651" s="2"/>
      <c r="AR651" s="2"/>
    </row>
    <row r="652" spans="5:44" ht="14.45" customHeight="1" x14ac:dyDescent="0.25">
      <c r="E652" s="2"/>
      <c r="F652" s="125"/>
      <c r="G652" s="2"/>
      <c r="H652" s="2"/>
      <c r="I652" s="2"/>
      <c r="J652" s="2"/>
      <c r="K652" s="2"/>
      <c r="L652" s="2"/>
      <c r="M652" s="2"/>
      <c r="N652" s="2"/>
      <c r="O652" s="3"/>
      <c r="P652" s="2"/>
      <c r="Q652" s="2"/>
      <c r="R652" s="2"/>
      <c r="S652" s="2"/>
      <c r="T652" s="2"/>
      <c r="U652" s="2"/>
      <c r="V652" s="2"/>
      <c r="W652" s="3"/>
      <c r="X652" s="2"/>
      <c r="Y652" s="2"/>
      <c r="Z652" s="2"/>
      <c r="AA652" s="2"/>
      <c r="AB652" s="2"/>
      <c r="AC652" s="2"/>
      <c r="AD652" s="2"/>
      <c r="AE652" s="3"/>
      <c r="AF652" s="2"/>
      <c r="AG652" s="2"/>
      <c r="AH652" s="2"/>
      <c r="AI652" s="2"/>
      <c r="AJ652" s="2"/>
      <c r="AK652" s="2"/>
      <c r="AL652" s="3"/>
      <c r="AM652" s="2"/>
      <c r="AN652" s="2"/>
      <c r="AO652" s="2"/>
      <c r="AP652" s="2"/>
      <c r="AQ652" s="2"/>
      <c r="AR652" s="2"/>
    </row>
    <row r="653" spans="5:44" ht="14.45" customHeight="1" x14ac:dyDescent="0.25">
      <c r="E653" s="2"/>
      <c r="F653" s="125"/>
      <c r="G653" s="2"/>
      <c r="H653" s="2"/>
      <c r="I653" s="2"/>
      <c r="J653" s="2"/>
      <c r="K653" s="2"/>
      <c r="L653" s="2"/>
      <c r="M653" s="2"/>
      <c r="N653" s="2"/>
      <c r="O653" s="3"/>
      <c r="P653" s="2"/>
      <c r="Q653" s="2"/>
      <c r="R653" s="2"/>
      <c r="S653" s="2"/>
      <c r="T653" s="2"/>
      <c r="U653" s="2"/>
      <c r="V653" s="2"/>
      <c r="W653" s="3"/>
      <c r="X653" s="2"/>
      <c r="Y653" s="25">
        <v>1823</v>
      </c>
      <c r="Z653" s="25"/>
      <c r="AA653" s="25"/>
      <c r="AB653" s="25" t="s">
        <v>63</v>
      </c>
      <c r="AC653" s="3"/>
      <c r="AD653" s="2"/>
      <c r="AE653" s="3"/>
      <c r="AF653" s="2"/>
      <c r="AG653" s="36">
        <v>1878</v>
      </c>
      <c r="AH653" s="36"/>
      <c r="AI653" s="36"/>
      <c r="AJ653" s="36" t="s">
        <v>63</v>
      </c>
      <c r="AK653" s="37"/>
      <c r="AL653" s="3"/>
      <c r="AM653" s="2"/>
      <c r="AN653" s="2"/>
      <c r="AO653" s="2"/>
      <c r="AP653" s="2"/>
      <c r="AQ653" s="2"/>
      <c r="AR653" s="2"/>
    </row>
    <row r="654" spans="5:44" ht="14.45" customHeight="1" x14ac:dyDescent="0.25">
      <c r="E654" s="2"/>
      <c r="F654" s="125"/>
      <c r="G654" s="2"/>
      <c r="H654" s="2"/>
      <c r="I654" s="2"/>
      <c r="J654" s="2"/>
      <c r="K654" s="2"/>
      <c r="L654" s="2"/>
      <c r="M654" s="2"/>
      <c r="N654" s="2"/>
      <c r="O654" s="3"/>
      <c r="P654" s="2"/>
      <c r="Q654" s="2"/>
      <c r="R654" s="2"/>
      <c r="S654" s="2"/>
      <c r="T654" s="2"/>
      <c r="U654" s="2"/>
      <c r="V654" s="2"/>
      <c r="W654" s="3"/>
      <c r="X654" s="2"/>
      <c r="Y654" s="26" t="s">
        <v>4</v>
      </c>
      <c r="Z654" s="26"/>
      <c r="AA654" s="26"/>
      <c r="AB654" s="26" t="s">
        <v>5</v>
      </c>
      <c r="AC654" s="26"/>
      <c r="AD654" s="26"/>
      <c r="AE654" s="3"/>
      <c r="AF654" s="2"/>
      <c r="AG654" s="26" t="s">
        <v>4</v>
      </c>
      <c r="AH654" s="26"/>
      <c r="AI654" s="26"/>
      <c r="AJ654" s="26" t="s">
        <v>5</v>
      </c>
      <c r="AK654" s="26"/>
      <c r="AL654" s="3"/>
      <c r="AM654" s="2"/>
      <c r="AN654" s="2"/>
      <c r="AO654" s="2"/>
      <c r="AP654" s="2"/>
      <c r="AQ654" s="2"/>
      <c r="AR654" s="2"/>
    </row>
    <row r="655" spans="5:44" ht="14.45" customHeight="1" x14ac:dyDescent="0.25">
      <c r="E655" s="2"/>
      <c r="F655" s="125"/>
      <c r="G655" s="2"/>
      <c r="H655" s="2"/>
      <c r="I655" s="2"/>
      <c r="J655" s="2"/>
      <c r="K655" s="2"/>
      <c r="L655" s="2"/>
      <c r="M655" s="2"/>
      <c r="N655" s="2"/>
      <c r="O655" s="3"/>
      <c r="P655" s="2"/>
      <c r="Q655" s="2"/>
      <c r="R655" s="2"/>
      <c r="S655" s="2"/>
      <c r="T655" s="2"/>
      <c r="U655" s="2"/>
      <c r="V655" s="2"/>
      <c r="W655" s="3"/>
      <c r="X655" s="2"/>
      <c r="Y655" s="27">
        <v>1823</v>
      </c>
      <c r="Z655" s="27" t="s">
        <v>7</v>
      </c>
      <c r="AA655" s="29"/>
      <c r="AB655" s="27">
        <v>1823</v>
      </c>
      <c r="AC655" s="27" t="s">
        <v>7</v>
      </c>
      <c r="AD655" s="28"/>
      <c r="AE655" s="3"/>
      <c r="AF655" s="2"/>
      <c r="AG655" s="27">
        <v>1878</v>
      </c>
      <c r="AH655" s="27" t="s">
        <v>7</v>
      </c>
      <c r="AI655" s="29"/>
      <c r="AJ655" s="27">
        <v>1878</v>
      </c>
      <c r="AK655" s="27" t="s">
        <v>7</v>
      </c>
      <c r="AL655" s="3"/>
      <c r="AM655" s="2"/>
      <c r="AN655" s="2"/>
      <c r="AO655" s="2"/>
      <c r="AP655" s="2"/>
      <c r="AQ655" s="2"/>
      <c r="AR655" s="2"/>
    </row>
    <row r="656" spans="5:44" ht="14.45" customHeight="1" x14ac:dyDescent="0.25">
      <c r="E656" s="2"/>
      <c r="F656" s="125"/>
      <c r="G656" s="2"/>
      <c r="H656" s="2" t="s">
        <v>12</v>
      </c>
      <c r="I656" s="2"/>
      <c r="J656" s="2"/>
      <c r="K656" s="2"/>
      <c r="L656" s="2"/>
      <c r="M656" s="2"/>
      <c r="N656" s="2"/>
      <c r="O656" s="3"/>
      <c r="P656" s="2"/>
      <c r="Q656" s="2"/>
      <c r="R656" s="2"/>
      <c r="S656" s="2"/>
      <c r="T656" s="2"/>
      <c r="U656" s="2"/>
      <c r="V656" s="2"/>
      <c r="W656" s="3"/>
      <c r="X656" s="2" t="s">
        <v>12</v>
      </c>
      <c r="Y656" s="34" t="s">
        <v>86</v>
      </c>
      <c r="Z656" s="32" t="s">
        <v>70</v>
      </c>
      <c r="AA656" s="2"/>
      <c r="AB656" s="34" t="s">
        <v>86</v>
      </c>
      <c r="AC656" s="32" t="s">
        <v>70</v>
      </c>
      <c r="AD656" s="2"/>
      <c r="AE656" s="3"/>
      <c r="AF656" s="2" t="s">
        <v>12</v>
      </c>
      <c r="AG656" t="s">
        <v>50</v>
      </c>
      <c r="AH656" s="32" t="s">
        <v>70</v>
      </c>
      <c r="AI656" s="2"/>
      <c r="AJ656" t="s">
        <v>50</v>
      </c>
      <c r="AK656" s="32" t="s">
        <v>70</v>
      </c>
      <c r="AL656" s="3"/>
      <c r="AM656" s="2"/>
      <c r="AN656" s="2"/>
      <c r="AO656" s="2"/>
      <c r="AP656" s="2"/>
      <c r="AQ656" s="2"/>
      <c r="AR656" s="2"/>
    </row>
    <row r="657" spans="5:44" ht="14.45" customHeight="1" x14ac:dyDescent="0.25">
      <c r="E657" s="2"/>
      <c r="F657" s="125"/>
      <c r="G657" s="2"/>
      <c r="H657" s="2" t="s">
        <v>20</v>
      </c>
      <c r="I657" s="2"/>
      <c r="J657" s="2"/>
      <c r="K657" s="2"/>
      <c r="L657" s="2"/>
      <c r="M657" s="2"/>
      <c r="N657" s="2"/>
      <c r="O657" s="3"/>
      <c r="P657" s="2"/>
      <c r="Q657" s="2"/>
      <c r="R657" s="2"/>
      <c r="S657" s="2"/>
      <c r="T657" s="2"/>
      <c r="U657" s="2"/>
      <c r="V657" s="2"/>
      <c r="W657" s="3"/>
      <c r="X657" s="2" t="s">
        <v>20</v>
      </c>
      <c r="Y657" s="34" t="s">
        <v>86</v>
      </c>
      <c r="Z657" s="32" t="s">
        <v>70</v>
      </c>
      <c r="AA657" s="2"/>
      <c r="AB657" s="34" t="s">
        <v>86</v>
      </c>
      <c r="AC657" s="32" t="s">
        <v>70</v>
      </c>
      <c r="AD657" s="2"/>
      <c r="AE657" s="3"/>
      <c r="AF657" s="2" t="s">
        <v>20</v>
      </c>
      <c r="AG657" t="s">
        <v>50</v>
      </c>
      <c r="AH657" s="32" t="s">
        <v>70</v>
      </c>
      <c r="AI657" s="2"/>
      <c r="AJ657" t="s">
        <v>50</v>
      </c>
      <c r="AK657" s="32" t="s">
        <v>70</v>
      </c>
      <c r="AL657" s="3"/>
      <c r="AM657" s="2"/>
      <c r="AN657" s="2"/>
      <c r="AO657" s="2"/>
      <c r="AP657" s="2"/>
      <c r="AQ657" s="2"/>
      <c r="AR657" s="2"/>
    </row>
    <row r="658" spans="5:44" ht="14.45" customHeight="1" x14ac:dyDescent="0.25">
      <c r="E658" s="2"/>
      <c r="F658" s="125"/>
      <c r="G658" s="2"/>
      <c r="H658" s="2" t="s">
        <v>24</v>
      </c>
      <c r="I658" s="2"/>
      <c r="J658" s="2"/>
      <c r="K658" s="2"/>
      <c r="L658" s="2"/>
      <c r="M658" s="2"/>
      <c r="N658" s="2"/>
      <c r="O658" s="3"/>
      <c r="P658" s="2"/>
      <c r="Q658" s="2"/>
      <c r="R658" s="2"/>
      <c r="S658" s="2"/>
      <c r="T658" s="2"/>
      <c r="U658" s="2"/>
      <c r="V658" s="2"/>
      <c r="W658" s="3"/>
      <c r="X658" s="2" t="s">
        <v>24</v>
      </c>
      <c r="Y658" s="34" t="s">
        <v>87</v>
      </c>
      <c r="Z658" s="32" t="s">
        <v>70</v>
      </c>
      <c r="AA658" s="2"/>
      <c r="AB658" s="34" t="s">
        <v>87</v>
      </c>
      <c r="AC658" s="32" t="s">
        <v>70</v>
      </c>
      <c r="AD658" s="2"/>
      <c r="AE658" s="3"/>
      <c r="AF658" s="2" t="s">
        <v>24</v>
      </c>
      <c r="AG658" t="s">
        <v>50</v>
      </c>
      <c r="AH658" s="32" t="s">
        <v>70</v>
      </c>
      <c r="AI658" s="2"/>
      <c r="AJ658" t="s">
        <v>50</v>
      </c>
      <c r="AK658" s="32" t="s">
        <v>70</v>
      </c>
      <c r="AL658" s="3"/>
      <c r="AM658" s="2"/>
      <c r="AN658" s="2"/>
      <c r="AO658" s="2"/>
      <c r="AP658" s="2"/>
      <c r="AQ658" s="2"/>
      <c r="AR658" s="2"/>
    </row>
    <row r="659" spans="5:44" ht="14.45" customHeight="1" x14ac:dyDescent="0.25">
      <c r="E659" s="2"/>
      <c r="F659" s="125"/>
      <c r="G659" s="2"/>
      <c r="H659" s="2" t="s">
        <v>28</v>
      </c>
      <c r="I659" s="2"/>
      <c r="J659" s="2"/>
      <c r="K659" s="2"/>
      <c r="L659" s="2"/>
      <c r="M659" s="2"/>
      <c r="N659" s="2"/>
      <c r="O659" s="3"/>
      <c r="P659" s="2"/>
      <c r="Q659" s="2"/>
      <c r="R659" s="2"/>
      <c r="S659" s="2"/>
      <c r="T659" s="2"/>
      <c r="U659" s="2"/>
      <c r="V659" s="2"/>
      <c r="W659" s="3"/>
      <c r="X659" s="2" t="s">
        <v>28</v>
      </c>
      <c r="Y659" s="34" t="s">
        <v>87</v>
      </c>
      <c r="Z659" s="32" t="s">
        <v>70</v>
      </c>
      <c r="AA659" s="2"/>
      <c r="AB659" s="34" t="s">
        <v>87</v>
      </c>
      <c r="AC659" s="32" t="s">
        <v>70</v>
      </c>
      <c r="AD659" s="2"/>
      <c r="AE659" s="3"/>
      <c r="AF659" s="2" t="s">
        <v>28</v>
      </c>
      <c r="AG659" t="s">
        <v>50</v>
      </c>
      <c r="AH659" s="32" t="s">
        <v>70</v>
      </c>
      <c r="AI659" s="2"/>
      <c r="AJ659" t="s">
        <v>50</v>
      </c>
      <c r="AK659" s="32" t="s">
        <v>70</v>
      </c>
      <c r="AL659" s="3"/>
      <c r="AM659" s="2"/>
      <c r="AN659" s="2"/>
      <c r="AO659" s="2"/>
      <c r="AP659" s="2"/>
      <c r="AQ659" s="2"/>
      <c r="AR659" s="2"/>
    </row>
    <row r="660" spans="5:44" ht="14.45" customHeight="1" x14ac:dyDescent="0.25">
      <c r="E660" s="2"/>
      <c r="F660" s="125"/>
      <c r="G660" s="2"/>
      <c r="H660" s="2" t="s">
        <v>32</v>
      </c>
      <c r="I660" s="2"/>
      <c r="J660" s="2"/>
      <c r="K660" s="2"/>
      <c r="L660" s="2"/>
      <c r="M660" s="2"/>
      <c r="N660" s="2"/>
      <c r="O660" s="3"/>
      <c r="P660" s="2"/>
      <c r="Q660" s="2"/>
      <c r="R660" s="2"/>
      <c r="S660" s="2"/>
      <c r="T660" s="2"/>
      <c r="U660" s="2"/>
      <c r="V660" s="2"/>
      <c r="W660" s="3"/>
      <c r="X660" s="2" t="s">
        <v>32</v>
      </c>
      <c r="Y660" s="34" t="s">
        <v>87</v>
      </c>
      <c r="Z660" s="32" t="s">
        <v>70</v>
      </c>
      <c r="AA660" s="2"/>
      <c r="AB660" s="34" t="s">
        <v>87</v>
      </c>
      <c r="AC660" s="32" t="s">
        <v>70</v>
      </c>
      <c r="AD660" s="2"/>
      <c r="AE660" s="3"/>
      <c r="AF660" s="2" t="s">
        <v>32</v>
      </c>
      <c r="AG660" t="s">
        <v>50</v>
      </c>
      <c r="AH660" s="32" t="s">
        <v>70</v>
      </c>
      <c r="AI660" s="2"/>
      <c r="AJ660" t="s">
        <v>50</v>
      </c>
      <c r="AK660" s="32" t="s">
        <v>70</v>
      </c>
      <c r="AL660" s="3"/>
      <c r="AM660" s="2"/>
      <c r="AN660" s="2"/>
      <c r="AO660" s="2"/>
      <c r="AP660" s="2"/>
      <c r="AQ660" s="2"/>
      <c r="AR660" s="2"/>
    </row>
    <row r="661" spans="5:44" ht="14.45" customHeight="1" x14ac:dyDescent="0.25">
      <c r="E661" s="2"/>
      <c r="F661" s="125"/>
      <c r="G661" s="2"/>
      <c r="H661" s="2"/>
      <c r="I661" s="2"/>
      <c r="J661" s="2"/>
      <c r="K661" s="2"/>
      <c r="L661" s="2"/>
      <c r="M661" s="2"/>
      <c r="N661" s="2"/>
      <c r="O661" s="3"/>
      <c r="P661" s="2"/>
      <c r="Q661" s="2"/>
      <c r="R661" s="2"/>
      <c r="S661" s="2"/>
      <c r="T661" s="2"/>
      <c r="U661" s="2"/>
      <c r="V661" s="2"/>
      <c r="W661" s="3"/>
      <c r="X661" s="2"/>
      <c r="Y661" s="2"/>
      <c r="Z661" s="2"/>
      <c r="AA661" s="2"/>
      <c r="AB661" s="2"/>
      <c r="AC661" s="2"/>
      <c r="AD661" s="2"/>
      <c r="AE661" s="3"/>
      <c r="AF661" s="2"/>
      <c r="AG661" s="2"/>
      <c r="AH661" s="2"/>
      <c r="AI661" s="2"/>
      <c r="AJ661" s="2"/>
      <c r="AK661" s="2"/>
      <c r="AL661" s="3"/>
      <c r="AM661" s="2"/>
      <c r="AN661" s="2"/>
      <c r="AO661" s="2"/>
      <c r="AP661" s="2"/>
      <c r="AQ661" s="2"/>
      <c r="AR661" s="2"/>
    </row>
    <row r="662" spans="5:44" ht="14.45" customHeight="1" x14ac:dyDescent="0.25">
      <c r="E662" s="2"/>
      <c r="F662" s="125"/>
      <c r="G662" s="2"/>
      <c r="H662" s="2"/>
      <c r="I662" s="2"/>
      <c r="J662" s="2"/>
      <c r="K662" s="2"/>
      <c r="L662" s="2"/>
      <c r="M662" s="2"/>
      <c r="N662" s="2"/>
      <c r="O662" s="3"/>
      <c r="P662" s="2"/>
      <c r="Q662" s="2"/>
      <c r="R662" s="2"/>
      <c r="S662" s="2"/>
      <c r="T662" s="2"/>
      <c r="U662" s="2"/>
      <c r="V662" s="2"/>
      <c r="W662" s="3"/>
      <c r="X662" s="2"/>
      <c r="Y662" s="25" t="s">
        <v>88</v>
      </c>
      <c r="Z662" s="25"/>
      <c r="AA662" s="25"/>
      <c r="AB662" s="25" t="s">
        <v>89</v>
      </c>
      <c r="AC662" s="3"/>
      <c r="AD662" s="2"/>
      <c r="AE662" s="3"/>
      <c r="AF662" s="2"/>
      <c r="AG662" s="2"/>
      <c r="AH662" s="2"/>
      <c r="AI662" s="2"/>
      <c r="AJ662" s="2"/>
      <c r="AK662" s="2"/>
      <c r="AL662" s="3"/>
      <c r="AM662" s="2"/>
      <c r="AN662" s="2"/>
      <c r="AO662" s="2"/>
      <c r="AP662" s="2"/>
      <c r="AQ662" s="2"/>
      <c r="AR662" s="2"/>
    </row>
    <row r="663" spans="5:44" ht="14.45" customHeight="1" x14ac:dyDescent="0.25">
      <c r="E663" s="2"/>
      <c r="F663" s="125"/>
      <c r="G663" s="2"/>
      <c r="H663" s="2"/>
      <c r="I663" s="2"/>
      <c r="J663" s="2"/>
      <c r="K663" s="2"/>
      <c r="L663" s="2"/>
      <c r="M663" s="2"/>
      <c r="N663" s="2"/>
      <c r="O663" s="3"/>
      <c r="P663" s="2"/>
      <c r="Q663" s="2"/>
      <c r="R663" s="2"/>
      <c r="S663" s="2"/>
      <c r="T663" s="2"/>
      <c r="U663" s="2"/>
      <c r="V663" s="2"/>
      <c r="W663" s="3"/>
      <c r="X663" s="2"/>
      <c r="Y663" s="26" t="s">
        <v>4</v>
      </c>
      <c r="Z663" s="26"/>
      <c r="AA663" s="26"/>
      <c r="AB663" s="26" t="s">
        <v>5</v>
      </c>
      <c r="AC663" s="26"/>
      <c r="AD663" s="2"/>
      <c r="AE663" s="3"/>
      <c r="AF663" s="2"/>
      <c r="AG663" s="2"/>
      <c r="AH663" s="2"/>
      <c r="AI663" s="2"/>
      <c r="AJ663" s="2"/>
      <c r="AK663" s="2"/>
      <c r="AL663" s="3"/>
      <c r="AM663" s="2"/>
      <c r="AN663" s="2"/>
      <c r="AO663" s="2"/>
      <c r="AP663" s="2"/>
      <c r="AQ663" s="2"/>
      <c r="AR663" s="2"/>
    </row>
    <row r="664" spans="5:44" ht="14.45" customHeight="1" x14ac:dyDescent="0.25">
      <c r="E664" s="2"/>
      <c r="F664" s="125"/>
      <c r="G664" s="2"/>
      <c r="H664" s="2"/>
      <c r="I664" s="2"/>
      <c r="J664" s="2"/>
      <c r="K664" s="2"/>
      <c r="L664" s="2"/>
      <c r="M664" s="2"/>
      <c r="N664" s="2"/>
      <c r="O664" s="3"/>
      <c r="P664" s="2"/>
      <c r="Q664" s="2"/>
      <c r="R664" s="2"/>
      <c r="S664" s="2"/>
      <c r="T664" s="2"/>
      <c r="U664" s="2"/>
      <c r="V664" s="2"/>
      <c r="W664" s="3"/>
      <c r="X664" s="2"/>
      <c r="Y664" s="27" t="s">
        <v>90</v>
      </c>
      <c r="Z664" s="27" t="s">
        <v>7</v>
      </c>
      <c r="AA664" s="29"/>
      <c r="AB664" s="27" t="s">
        <v>90</v>
      </c>
      <c r="AC664" s="27" t="s">
        <v>7</v>
      </c>
      <c r="AD664" s="2"/>
      <c r="AE664" s="3"/>
      <c r="AF664" s="2"/>
      <c r="AG664" s="2"/>
      <c r="AH664" s="2"/>
      <c r="AI664" s="2"/>
      <c r="AJ664" s="2"/>
      <c r="AK664" s="2"/>
      <c r="AL664" s="3"/>
      <c r="AM664" s="2"/>
      <c r="AN664" s="2"/>
      <c r="AO664" s="2"/>
      <c r="AP664" s="2"/>
      <c r="AQ664" s="2"/>
      <c r="AR664" s="2"/>
    </row>
    <row r="665" spans="5:44" ht="14.45" customHeight="1" x14ac:dyDescent="0.25">
      <c r="E665" s="2"/>
      <c r="F665" s="125"/>
      <c r="G665" s="2"/>
      <c r="H665" s="2" t="s">
        <v>12</v>
      </c>
      <c r="I665" s="2"/>
      <c r="J665" s="2"/>
      <c r="K665" s="2"/>
      <c r="L665" s="2"/>
      <c r="M665" s="2"/>
      <c r="N665" s="2"/>
      <c r="O665" s="3"/>
      <c r="P665" s="2"/>
      <c r="Q665" s="2"/>
      <c r="R665" s="2"/>
      <c r="S665" s="2"/>
      <c r="T665" s="2"/>
      <c r="U665" s="2"/>
      <c r="V665" s="2"/>
      <c r="W665" s="3"/>
      <c r="X665" s="2" t="s">
        <v>12</v>
      </c>
      <c r="Y665" t="s">
        <v>19</v>
      </c>
      <c r="Z665" s="32" t="s">
        <v>79</v>
      </c>
      <c r="AA665" s="2"/>
      <c r="AB665" t="s">
        <v>19</v>
      </c>
      <c r="AC665" s="32" t="s">
        <v>79</v>
      </c>
      <c r="AD665" s="2"/>
      <c r="AE665" s="3"/>
      <c r="AF665" s="2"/>
      <c r="AG665" s="2"/>
      <c r="AH665" s="2"/>
      <c r="AI665" s="2"/>
      <c r="AJ665" s="2"/>
      <c r="AK665" s="2"/>
      <c r="AL665" s="3"/>
      <c r="AM665" s="2"/>
      <c r="AN665" s="2"/>
      <c r="AO665" s="2"/>
      <c r="AP665" s="2"/>
      <c r="AQ665" s="2"/>
      <c r="AR665" s="2"/>
    </row>
    <row r="666" spans="5:44" ht="14.45" customHeight="1" x14ac:dyDescent="0.25">
      <c r="E666" s="2"/>
      <c r="F666" s="125"/>
      <c r="G666" s="2"/>
      <c r="H666" s="2" t="s">
        <v>20</v>
      </c>
      <c r="I666" s="2"/>
      <c r="J666" s="2"/>
      <c r="K666" s="2"/>
      <c r="L666" s="2"/>
      <c r="M666" s="2"/>
      <c r="N666" s="2"/>
      <c r="O666" s="3"/>
      <c r="P666" s="2"/>
      <c r="Q666" s="2"/>
      <c r="R666" s="2"/>
      <c r="S666" s="2"/>
      <c r="T666" s="2"/>
      <c r="U666" s="2"/>
      <c r="V666" s="2"/>
      <c r="W666" s="3"/>
      <c r="X666" s="2" t="s">
        <v>20</v>
      </c>
      <c r="Y666" t="s">
        <v>66</v>
      </c>
      <c r="Z666" s="32" t="s">
        <v>79</v>
      </c>
      <c r="AA666" s="2"/>
      <c r="AB666" t="s">
        <v>66</v>
      </c>
      <c r="AC666" s="32" t="s">
        <v>79</v>
      </c>
      <c r="AD666" s="2"/>
      <c r="AE666" s="3"/>
      <c r="AF666" s="2"/>
      <c r="AG666" s="2"/>
      <c r="AH666" s="2"/>
      <c r="AI666" s="2"/>
      <c r="AJ666" s="2"/>
      <c r="AK666" s="2"/>
      <c r="AL666" s="3"/>
      <c r="AM666" s="2"/>
      <c r="AN666" s="2"/>
      <c r="AO666" s="2"/>
      <c r="AP666" s="2"/>
      <c r="AQ666" s="2"/>
      <c r="AR666" s="2"/>
    </row>
    <row r="667" spans="5:44" ht="14.45" customHeight="1" x14ac:dyDescent="0.25">
      <c r="E667" s="2"/>
      <c r="F667" s="125"/>
      <c r="G667" s="2"/>
      <c r="H667" s="2" t="s">
        <v>24</v>
      </c>
      <c r="I667" s="2"/>
      <c r="J667" s="2"/>
      <c r="K667" s="2"/>
      <c r="L667" s="2"/>
      <c r="M667" s="2"/>
      <c r="N667" s="2"/>
      <c r="O667" s="3"/>
      <c r="P667" s="2"/>
      <c r="Q667" s="2"/>
      <c r="R667" s="2"/>
      <c r="S667" s="2"/>
      <c r="T667" s="2"/>
      <c r="U667" s="2"/>
      <c r="V667" s="2"/>
      <c r="W667" s="3"/>
      <c r="X667" s="2" t="s">
        <v>24</v>
      </c>
      <c r="Y667" s="19" t="s">
        <v>44</v>
      </c>
      <c r="Z667" s="32" t="s">
        <v>70</v>
      </c>
      <c r="AA667" s="2"/>
      <c r="AB667" s="19" t="s">
        <v>44</v>
      </c>
      <c r="AC667" s="32" t="s">
        <v>70</v>
      </c>
      <c r="AD667" s="2"/>
      <c r="AE667" s="3"/>
      <c r="AF667" s="2"/>
      <c r="AG667" s="2"/>
      <c r="AH667" s="2"/>
      <c r="AI667" s="2"/>
      <c r="AJ667" s="2"/>
      <c r="AK667" s="2"/>
      <c r="AL667" s="3"/>
      <c r="AM667" s="2"/>
      <c r="AN667" s="2"/>
      <c r="AO667" s="2"/>
      <c r="AP667" s="2"/>
      <c r="AQ667" s="2"/>
      <c r="AR667" s="2"/>
    </row>
    <row r="668" spans="5:44" ht="14.45" customHeight="1" x14ac:dyDescent="0.25">
      <c r="E668" s="2"/>
      <c r="F668" s="125"/>
      <c r="G668" s="2"/>
      <c r="H668" s="2" t="s">
        <v>28</v>
      </c>
      <c r="I668" s="2"/>
      <c r="J668" s="2"/>
      <c r="K668" s="2"/>
      <c r="L668" s="2"/>
      <c r="M668" s="2"/>
      <c r="N668" s="2"/>
      <c r="O668" s="3"/>
      <c r="P668" s="2"/>
      <c r="Q668" s="2"/>
      <c r="R668" s="2"/>
      <c r="S668" s="2"/>
      <c r="T668" s="2"/>
      <c r="U668" s="2"/>
      <c r="V668" s="2"/>
      <c r="W668" s="3"/>
      <c r="X668" s="2" t="s">
        <v>28</v>
      </c>
      <c r="Y668" s="14" t="s">
        <v>34</v>
      </c>
      <c r="Z668" s="32" t="s">
        <v>70</v>
      </c>
      <c r="AA668" s="2"/>
      <c r="AB668" s="14" t="s">
        <v>34</v>
      </c>
      <c r="AC668" s="32" t="s">
        <v>70</v>
      </c>
      <c r="AD668" s="2"/>
      <c r="AE668" s="3"/>
      <c r="AF668" s="2"/>
      <c r="AG668" s="2"/>
      <c r="AH668" s="2"/>
      <c r="AI668" s="2"/>
      <c r="AJ668" s="2"/>
      <c r="AK668" s="2"/>
      <c r="AL668" s="3"/>
      <c r="AM668" s="2"/>
      <c r="AN668" s="2"/>
      <c r="AO668" s="2"/>
      <c r="AP668" s="2"/>
      <c r="AQ668" s="2"/>
      <c r="AR668" s="2"/>
    </row>
    <row r="669" spans="5:44" ht="14.45" customHeight="1" x14ac:dyDescent="0.25">
      <c r="E669" s="2"/>
      <c r="F669" s="125"/>
      <c r="G669" s="2"/>
      <c r="H669" s="2" t="s">
        <v>32</v>
      </c>
      <c r="I669" s="2"/>
      <c r="J669" s="2"/>
      <c r="K669" s="2"/>
      <c r="L669" s="2"/>
      <c r="M669" s="2"/>
      <c r="N669" s="2"/>
      <c r="O669" s="3"/>
      <c r="P669" s="2"/>
      <c r="Q669" s="2"/>
      <c r="R669" s="2"/>
      <c r="S669" s="2"/>
      <c r="T669" s="2"/>
      <c r="U669" s="2"/>
      <c r="V669" s="2"/>
      <c r="W669" s="3"/>
      <c r="X669" s="2" t="s">
        <v>32</v>
      </c>
      <c r="Y669" s="8" t="s">
        <v>36</v>
      </c>
      <c r="Z669" s="32" t="s">
        <v>91</v>
      </c>
      <c r="AA669" s="2"/>
      <c r="AB669" s="8" t="s">
        <v>36</v>
      </c>
      <c r="AC669" s="32" t="s">
        <v>91</v>
      </c>
      <c r="AD669" s="2"/>
      <c r="AE669" s="3"/>
      <c r="AF669" s="2"/>
      <c r="AG669" s="2"/>
      <c r="AH669" s="2"/>
      <c r="AI669" s="2"/>
      <c r="AJ669" s="2"/>
      <c r="AK669" s="2"/>
      <c r="AL669" s="3"/>
      <c r="AM669" s="2"/>
      <c r="AN669" s="2"/>
      <c r="AO669" s="2"/>
      <c r="AP669" s="2"/>
      <c r="AQ669" s="2"/>
      <c r="AR669" s="2"/>
    </row>
    <row r="670" spans="5:44" ht="14.45" customHeight="1" x14ac:dyDescent="0.25">
      <c r="E670" s="2"/>
      <c r="F670" s="125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</row>
    <row r="671" spans="5:44" ht="14.45" customHeight="1" x14ac:dyDescent="0.25">
      <c r="E671" s="2"/>
      <c r="F671" s="125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</row>
    <row r="672" spans="5:44" ht="14.45" customHeight="1" x14ac:dyDescent="0.25">
      <c r="E672" s="2"/>
      <c r="F672" s="125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</row>
    <row r="673" spans="5:44" x14ac:dyDescent="0.25"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</row>
    <row r="675" spans="5:44" ht="14.45" customHeight="1" x14ac:dyDescent="0.25"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124"/>
      <c r="V675" s="124"/>
      <c r="W675" s="124"/>
      <c r="X675" s="124"/>
      <c r="Y675" s="124" t="s">
        <v>1</v>
      </c>
      <c r="Z675" s="124"/>
      <c r="AA675" s="124"/>
      <c r="AB675" s="124"/>
      <c r="AC675" s="124"/>
      <c r="AD675" s="26"/>
      <c r="AE675" s="3"/>
      <c r="AF675" s="2"/>
      <c r="AG675" s="36" t="s">
        <v>2</v>
      </c>
      <c r="AH675" s="36"/>
      <c r="AI675" s="36"/>
      <c r="AJ675" s="36" t="s">
        <v>3</v>
      </c>
      <c r="AK675" s="37"/>
      <c r="AL675" s="3"/>
      <c r="AM675" s="2"/>
      <c r="AN675" s="2"/>
      <c r="AO675" s="2"/>
      <c r="AP675" s="2"/>
      <c r="AQ675" s="2"/>
      <c r="AR675" s="2"/>
    </row>
    <row r="676" spans="5:44" ht="14.45" customHeight="1" x14ac:dyDescent="0.25">
      <c r="E676" s="2"/>
      <c r="F676" s="125" t="str">
        <f>"ww"&amp;IF(LEFT($F$1,2)+1&lt;10,"0"&amp;LEFT($F$1,2)+1,LEFT($F$1,2)+1)&amp;".5"</f>
        <v>ww17.5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6" t="s">
        <v>4</v>
      </c>
      <c r="Z676" s="26"/>
      <c r="AA676" s="26"/>
      <c r="AB676" s="26" t="s">
        <v>5</v>
      </c>
      <c r="AC676" s="26"/>
      <c r="AD676" s="26"/>
      <c r="AE676" s="3"/>
      <c r="AF676" s="2"/>
      <c r="AG676" s="26" t="s">
        <v>4</v>
      </c>
      <c r="AH676" s="26"/>
      <c r="AI676" s="26"/>
      <c r="AJ676" s="26" t="s">
        <v>5</v>
      </c>
      <c r="AK676" s="26"/>
      <c r="AL676" s="3"/>
      <c r="AM676" s="2"/>
      <c r="AN676" s="2"/>
      <c r="AO676" s="2"/>
      <c r="AP676" s="2"/>
      <c r="AQ676" s="2"/>
      <c r="AR676" s="2"/>
    </row>
    <row r="677" spans="5:44" ht="14.45" customHeight="1" x14ac:dyDescent="0.25">
      <c r="E677" s="2"/>
      <c r="F677" s="125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7" t="s">
        <v>6</v>
      </c>
      <c r="Z677" s="27" t="s">
        <v>7</v>
      </c>
      <c r="AA677" s="2"/>
      <c r="AB677" s="27" t="s">
        <v>6</v>
      </c>
      <c r="AC677" s="27" t="s">
        <v>7</v>
      </c>
      <c r="AD677" s="28"/>
      <c r="AE677" s="3"/>
      <c r="AF677" s="2"/>
      <c r="AG677" s="27" t="s">
        <v>2</v>
      </c>
      <c r="AH677" s="27" t="s">
        <v>7</v>
      </c>
      <c r="AI677" s="29"/>
      <c r="AJ677" s="27" t="s">
        <v>2</v>
      </c>
      <c r="AK677" s="27" t="s">
        <v>7</v>
      </c>
      <c r="AL677" s="3"/>
      <c r="AM677" s="2"/>
      <c r="AN677" s="6" t="s">
        <v>8</v>
      </c>
      <c r="AO677" s="6" t="s">
        <v>9</v>
      </c>
      <c r="AP677" s="7" t="s">
        <v>10</v>
      </c>
      <c r="AQ677" s="7" t="s">
        <v>11</v>
      </c>
      <c r="AR677" s="2"/>
    </row>
    <row r="678" spans="5:44" ht="14.45" customHeight="1" x14ac:dyDescent="0.25">
      <c r="E678" s="2"/>
      <c r="F678" s="125"/>
      <c r="G678" s="2"/>
      <c r="H678" s="2" t="s">
        <v>12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30" t="s">
        <v>13</v>
      </c>
      <c r="V678" s="30" t="s">
        <v>14</v>
      </c>
      <c r="W678" s="30"/>
      <c r="X678" s="31"/>
      <c r="Z678" t="s">
        <v>15</v>
      </c>
      <c r="AA678" s="2"/>
      <c r="AC678" t="s">
        <v>15</v>
      </c>
      <c r="AD678" s="2"/>
      <c r="AE678" s="3"/>
      <c r="AF678" s="2" t="s">
        <v>12</v>
      </c>
      <c r="AG678" s="70" t="s">
        <v>16</v>
      </c>
      <c r="AH678" s="32" t="s">
        <v>17</v>
      </c>
      <c r="AI678" s="2"/>
      <c r="AJ678" s="70" t="s">
        <v>16</v>
      </c>
      <c r="AK678" s="32" t="s">
        <v>17</v>
      </c>
      <c r="AL678" s="3"/>
      <c r="AM678" s="2"/>
      <c r="AN678" s="9" t="s">
        <v>18</v>
      </c>
      <c r="AO678" s="9" t="s">
        <v>19</v>
      </c>
      <c r="AP678" s="5">
        <f>(COUNTIF($I$675:$I$769,"=*"&amp;AO678&amp;"*")+COUNTIF($Q$675:$Q$769,"=*"&amp;AO678&amp;"*")+COUNTIF($AG$675:$AG$769,"=*"&amp;AO678&amp;"*")+COUNTIF($Y$675:$Y$769,"=*"&amp;AO678&amp;"*"))*2</f>
        <v>2</v>
      </c>
      <c r="AQ678" s="5">
        <f>(COUNTIF($L$676:$L$770,"=*"&amp;AO678&amp;"*")+COUNTIF($T$675:$T$769,"=*"&amp;AO678&amp;"*")+COUNTIF($AJ$676:$AJ$770,"=*"&amp;AO678&amp;"*")+COUNTIF($AB$676:$AB$770,"=*"&amp;AO678&amp;"*"))*2</f>
        <v>2</v>
      </c>
      <c r="AR678" s="2"/>
    </row>
    <row r="679" spans="5:44" ht="14.45" customHeight="1" x14ac:dyDescent="0.25">
      <c r="E679" s="2"/>
      <c r="F679" s="125"/>
      <c r="G679" s="2"/>
      <c r="H679" s="2" t="s">
        <v>20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30" t="s">
        <v>21</v>
      </c>
      <c r="V679" s="30" t="s">
        <v>14</v>
      </c>
      <c r="W679" s="30"/>
      <c r="X679" s="31"/>
      <c r="AA679" s="2"/>
      <c r="AD679" s="2"/>
      <c r="AE679" s="3"/>
      <c r="AF679" s="2" t="s">
        <v>20</v>
      </c>
      <c r="AG679" s="70" t="s">
        <v>16</v>
      </c>
      <c r="AH679" s="32" t="s">
        <v>17</v>
      </c>
      <c r="AI679" s="2"/>
      <c r="AJ679" s="70" t="s">
        <v>16</v>
      </c>
      <c r="AK679" s="32" t="s">
        <v>17</v>
      </c>
      <c r="AL679" s="3"/>
      <c r="AM679" s="2"/>
      <c r="AN679" s="10" t="s">
        <v>22</v>
      </c>
      <c r="AO679" s="10" t="s">
        <v>23</v>
      </c>
      <c r="AP679" s="5">
        <f t="shared" ref="AP679:AP705" si="23">(COUNTIF($I$675:$I$769,"=*"&amp;AO679&amp;"*")+COUNTIF($Q$675:$Q$769,"=*"&amp;AO679&amp;"*")+COUNTIF($AG$675:$AG$769,"=*"&amp;AO679&amp;"*")+COUNTIF($Y$675:$Y$769,"=*"&amp;AO679&amp;"*"))*2</f>
        <v>0</v>
      </c>
      <c r="AQ679" s="5">
        <f t="shared" ref="AQ679:AQ705" si="24">(COUNTIF($L$676:$L$770,"=*"&amp;AO679&amp;"*")+COUNTIF($T$675:$T$769,"=*"&amp;AO679&amp;"*")+COUNTIF($AJ$676:$AJ$770,"=*"&amp;AO679&amp;"*")+COUNTIF($AB$676:$AB$770,"=*"&amp;AO679&amp;"*"))*2</f>
        <v>0</v>
      </c>
      <c r="AR679" s="2"/>
    </row>
    <row r="680" spans="5:44" ht="14.45" customHeight="1" x14ac:dyDescent="0.25">
      <c r="E680" s="2"/>
      <c r="F680" s="125"/>
      <c r="G680" s="2"/>
      <c r="H680" s="2" t="s">
        <v>24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30" t="s">
        <v>25</v>
      </c>
      <c r="V680" s="30" t="s">
        <v>14</v>
      </c>
      <c r="W680" s="30"/>
      <c r="X680" s="31"/>
      <c r="Z680" t="s">
        <v>15</v>
      </c>
      <c r="AA680" s="2"/>
      <c r="AC680" t="s">
        <v>15</v>
      </c>
      <c r="AD680" s="2"/>
      <c r="AE680" s="3"/>
      <c r="AF680" s="2" t="s">
        <v>24</v>
      </c>
      <c r="AG680" s="70" t="s">
        <v>16</v>
      </c>
      <c r="AH680" s="32" t="s">
        <v>17</v>
      </c>
      <c r="AI680" s="2"/>
      <c r="AJ680" s="70" t="s">
        <v>16</v>
      </c>
      <c r="AK680" s="32" t="s">
        <v>17</v>
      </c>
      <c r="AL680" s="3"/>
      <c r="AM680" s="2"/>
      <c r="AN680" s="11" t="s">
        <v>26</v>
      </c>
      <c r="AO680" s="11" t="s">
        <v>27</v>
      </c>
      <c r="AP680" s="5">
        <f t="shared" si="23"/>
        <v>14</v>
      </c>
      <c r="AQ680" s="5">
        <f t="shared" si="24"/>
        <v>14</v>
      </c>
      <c r="AR680" s="2"/>
    </row>
    <row r="681" spans="5:44" ht="14.45" customHeight="1" x14ac:dyDescent="0.25">
      <c r="E681" s="2"/>
      <c r="F681" s="125"/>
      <c r="G681" s="2"/>
      <c r="H681" s="2" t="s">
        <v>28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30" t="s">
        <v>29</v>
      </c>
      <c r="V681" s="30" t="s">
        <v>14</v>
      </c>
      <c r="W681" s="30"/>
      <c r="X681" s="31"/>
      <c r="Z681" t="s">
        <v>15</v>
      </c>
      <c r="AA681" s="2"/>
      <c r="AC681" t="s">
        <v>15</v>
      </c>
      <c r="AD681" s="2"/>
      <c r="AE681" s="3"/>
      <c r="AF681" s="2" t="s">
        <v>28</v>
      </c>
      <c r="AG681" s="70" t="s">
        <v>16</v>
      </c>
      <c r="AH681" s="32" t="s">
        <v>17</v>
      </c>
      <c r="AI681" s="2"/>
      <c r="AJ681" s="70" t="s">
        <v>16</v>
      </c>
      <c r="AK681" s="32" t="s">
        <v>17</v>
      </c>
      <c r="AL681" s="3"/>
      <c r="AM681" s="2"/>
      <c r="AN681" s="12" t="s">
        <v>30</v>
      </c>
      <c r="AO681" s="12" t="s">
        <v>31</v>
      </c>
      <c r="AP681" s="5">
        <f t="shared" si="23"/>
        <v>6</v>
      </c>
      <c r="AQ681" s="5">
        <f t="shared" si="24"/>
        <v>6</v>
      </c>
      <c r="AR681" s="2"/>
    </row>
    <row r="682" spans="5:44" ht="14.45" customHeight="1" x14ac:dyDescent="0.25">
      <c r="E682" s="2"/>
      <c r="F682" s="125"/>
      <c r="G682" s="2"/>
      <c r="H682" s="2" t="s">
        <v>32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31"/>
      <c r="V682" s="31"/>
      <c r="W682" s="31"/>
      <c r="X682" s="31"/>
      <c r="AA682" s="2"/>
      <c r="AD682" s="2"/>
      <c r="AE682" s="3"/>
      <c r="AF682" s="2" t="s">
        <v>32</v>
      </c>
      <c r="AG682" s="70" t="s">
        <v>16</v>
      </c>
      <c r="AH682" s="32" t="s">
        <v>17</v>
      </c>
      <c r="AI682" s="2"/>
      <c r="AJ682" s="70" t="s">
        <v>16</v>
      </c>
      <c r="AK682" s="32" t="s">
        <v>17</v>
      </c>
      <c r="AL682" s="3"/>
      <c r="AM682" s="2"/>
      <c r="AN682" s="14" t="s">
        <v>33</v>
      </c>
      <c r="AO682" s="14" t="s">
        <v>34</v>
      </c>
      <c r="AP682" s="5">
        <f t="shared" si="23"/>
        <v>2</v>
      </c>
      <c r="AQ682" s="5">
        <f t="shared" si="24"/>
        <v>2</v>
      </c>
      <c r="AR682" s="2"/>
    </row>
    <row r="683" spans="5:44" ht="14.45" customHeight="1" x14ac:dyDescent="0.25">
      <c r="E683" s="2"/>
      <c r="F683" s="125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3"/>
      <c r="AF683" s="2"/>
      <c r="AG683" s="2"/>
      <c r="AH683" s="2"/>
      <c r="AI683" s="2"/>
      <c r="AJ683" s="2"/>
      <c r="AK683" s="2"/>
      <c r="AL683" s="3"/>
      <c r="AM683" s="2"/>
      <c r="AN683" s="8" t="s">
        <v>35</v>
      </c>
      <c r="AO683" s="8" t="s">
        <v>36</v>
      </c>
      <c r="AP683" s="5">
        <f t="shared" si="23"/>
        <v>2</v>
      </c>
      <c r="AQ683" s="5">
        <f t="shared" si="24"/>
        <v>2</v>
      </c>
      <c r="AR683" s="2"/>
    </row>
    <row r="684" spans="5:44" ht="14.45" customHeight="1" x14ac:dyDescent="0.25">
      <c r="E684" s="2"/>
      <c r="F684" s="125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36">
        <v>2117</v>
      </c>
      <c r="Z684" s="36"/>
      <c r="AA684" s="36"/>
      <c r="AB684" s="36" t="s">
        <v>3</v>
      </c>
      <c r="AC684" s="37"/>
      <c r="AD684" s="2"/>
      <c r="AE684" s="3"/>
      <c r="AF684" s="2"/>
      <c r="AG684" s="36">
        <v>2207</v>
      </c>
      <c r="AH684" s="36"/>
      <c r="AI684" s="36"/>
      <c r="AJ684" s="36" t="s">
        <v>3</v>
      </c>
      <c r="AK684" s="37"/>
      <c r="AL684" s="3"/>
      <c r="AM684" s="2"/>
      <c r="AN684" s="16" t="s">
        <v>37</v>
      </c>
      <c r="AO684" s="16" t="s">
        <v>38</v>
      </c>
      <c r="AP684" s="5">
        <f t="shared" si="23"/>
        <v>0</v>
      </c>
      <c r="AQ684" s="5">
        <f t="shared" si="24"/>
        <v>0</v>
      </c>
      <c r="AR684" s="2"/>
    </row>
    <row r="685" spans="5:44" ht="14.45" customHeight="1" x14ac:dyDescent="0.25">
      <c r="E685" s="2"/>
      <c r="F685" s="125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6" t="s">
        <v>4</v>
      </c>
      <c r="Z685" s="26"/>
      <c r="AA685" s="26"/>
      <c r="AB685" s="26" t="s">
        <v>5</v>
      </c>
      <c r="AC685" s="26"/>
      <c r="AD685" s="26"/>
      <c r="AE685" s="3"/>
      <c r="AF685" s="2"/>
      <c r="AG685" s="26" t="s">
        <v>4</v>
      </c>
      <c r="AH685" s="26"/>
      <c r="AI685" s="26"/>
      <c r="AJ685" s="26" t="s">
        <v>5</v>
      </c>
      <c r="AK685" s="26"/>
      <c r="AL685" s="3"/>
      <c r="AM685" s="2"/>
      <c r="AN685" s="17" t="s">
        <v>39</v>
      </c>
      <c r="AO685" s="17" t="s">
        <v>40</v>
      </c>
      <c r="AP685" s="5">
        <f t="shared" si="23"/>
        <v>0</v>
      </c>
      <c r="AQ685" s="5">
        <f t="shared" si="24"/>
        <v>0</v>
      </c>
      <c r="AR685" s="2"/>
    </row>
    <row r="686" spans="5:44" ht="14.45" customHeight="1" x14ac:dyDescent="0.25">
      <c r="E686" s="2"/>
      <c r="F686" s="125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33"/>
      <c r="R686" s="33"/>
      <c r="S686" s="33"/>
      <c r="T686" s="33"/>
      <c r="U686" s="2"/>
      <c r="V686" s="2"/>
      <c r="W686" s="2"/>
      <c r="X686" s="2"/>
      <c r="Y686" s="27">
        <v>2117</v>
      </c>
      <c r="Z686" s="27" t="s">
        <v>7</v>
      </c>
      <c r="AA686" s="2"/>
      <c r="AB686" s="27">
        <v>2117</v>
      </c>
      <c r="AC686" s="27" t="s">
        <v>7</v>
      </c>
      <c r="AD686" s="28"/>
      <c r="AE686" s="3"/>
      <c r="AF686" s="2"/>
      <c r="AG686" s="27">
        <v>2207</v>
      </c>
      <c r="AH686" s="27" t="s">
        <v>7</v>
      </c>
      <c r="AI686" s="29"/>
      <c r="AJ686" s="27">
        <v>2207</v>
      </c>
      <c r="AK686" s="27" t="s">
        <v>7</v>
      </c>
      <c r="AL686" s="3"/>
      <c r="AM686" s="2"/>
      <c r="AN686" s="18" t="s">
        <v>41</v>
      </c>
      <c r="AO686" s="18" t="s">
        <v>42</v>
      </c>
      <c r="AP686" s="5">
        <f t="shared" si="23"/>
        <v>0</v>
      </c>
      <c r="AQ686" s="5">
        <f t="shared" si="24"/>
        <v>0</v>
      </c>
      <c r="AR686" s="2"/>
    </row>
    <row r="687" spans="5:44" ht="14.45" customHeight="1" x14ac:dyDescent="0.25">
      <c r="E687" s="2"/>
      <c r="F687" s="125"/>
      <c r="G687" s="2"/>
      <c r="H687" s="2" t="s">
        <v>12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 t="s">
        <v>12</v>
      </c>
      <c r="Y687" s="70" t="s">
        <v>16</v>
      </c>
      <c r="Z687" s="32" t="s">
        <v>17</v>
      </c>
      <c r="AA687" s="2"/>
      <c r="AB687" s="70" t="s">
        <v>16</v>
      </c>
      <c r="AC687" s="32" t="s">
        <v>17</v>
      </c>
      <c r="AD687" s="2"/>
      <c r="AE687" s="3"/>
      <c r="AF687" s="2" t="s">
        <v>12</v>
      </c>
      <c r="AG687" s="70" t="s">
        <v>16</v>
      </c>
      <c r="AH687" s="32" t="s">
        <v>17</v>
      </c>
      <c r="AI687" s="2"/>
      <c r="AJ687" s="70" t="s">
        <v>16</v>
      </c>
      <c r="AK687" s="32" t="s">
        <v>17</v>
      </c>
      <c r="AL687" s="3"/>
      <c r="AM687" s="2"/>
      <c r="AN687" s="19" t="s">
        <v>43</v>
      </c>
      <c r="AO687" s="19" t="s">
        <v>44</v>
      </c>
      <c r="AP687" s="5">
        <f t="shared" si="23"/>
        <v>2</v>
      </c>
      <c r="AQ687" s="5">
        <f t="shared" si="24"/>
        <v>2</v>
      </c>
      <c r="AR687" s="2"/>
    </row>
    <row r="688" spans="5:44" ht="14.45" customHeight="1" x14ac:dyDescent="0.25">
      <c r="E688" s="2"/>
      <c r="F688" s="125"/>
      <c r="G688" s="2"/>
      <c r="H688" s="2" t="s">
        <v>20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 t="s">
        <v>20</v>
      </c>
      <c r="Y688" s="70" t="s">
        <v>16</v>
      </c>
      <c r="Z688" s="32" t="s">
        <v>17</v>
      </c>
      <c r="AA688" s="2"/>
      <c r="AB688" s="70" t="s">
        <v>16</v>
      </c>
      <c r="AC688" s="32" t="s">
        <v>17</v>
      </c>
      <c r="AD688" s="2"/>
      <c r="AE688" s="3"/>
      <c r="AF688" s="2" t="s">
        <v>20</v>
      </c>
      <c r="AG688" s="70" t="s">
        <v>16</v>
      </c>
      <c r="AH688" s="32" t="s">
        <v>17</v>
      </c>
      <c r="AI688" s="2"/>
      <c r="AJ688" s="70" t="s">
        <v>16</v>
      </c>
      <c r="AK688" s="32" t="s">
        <v>17</v>
      </c>
      <c r="AL688" s="3"/>
      <c r="AM688" s="2"/>
      <c r="AN688" s="20" t="s">
        <v>45</v>
      </c>
      <c r="AO688" s="20" t="s">
        <v>46</v>
      </c>
      <c r="AP688" s="5">
        <f t="shared" si="23"/>
        <v>0</v>
      </c>
      <c r="AQ688" s="5">
        <f t="shared" si="24"/>
        <v>0</v>
      </c>
      <c r="AR688" s="2"/>
    </row>
    <row r="689" spans="5:44" ht="14.45" customHeight="1" x14ac:dyDescent="0.25">
      <c r="E689" s="2"/>
      <c r="F689" s="125"/>
      <c r="G689" s="2"/>
      <c r="H689" s="2" t="s">
        <v>24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 t="s">
        <v>24</v>
      </c>
      <c r="Y689" s="70" t="s">
        <v>16</v>
      </c>
      <c r="Z689" s="32" t="s">
        <v>17</v>
      </c>
      <c r="AA689" s="2"/>
      <c r="AB689" s="70" t="s">
        <v>16</v>
      </c>
      <c r="AC689" s="32" t="s">
        <v>17</v>
      </c>
      <c r="AD689" s="2"/>
      <c r="AE689" s="3"/>
      <c r="AF689" s="2" t="s">
        <v>24</v>
      </c>
      <c r="AG689" s="70" t="s">
        <v>16</v>
      </c>
      <c r="AH689" s="32" t="s">
        <v>17</v>
      </c>
      <c r="AI689" s="2"/>
      <c r="AJ689" s="70" t="s">
        <v>16</v>
      </c>
      <c r="AK689" s="32" t="s">
        <v>17</v>
      </c>
      <c r="AL689" s="3"/>
      <c r="AM689" s="2"/>
      <c r="AN689" s="21" t="s">
        <v>47</v>
      </c>
      <c r="AO689" s="21" t="s">
        <v>48</v>
      </c>
      <c r="AP689" s="5">
        <f t="shared" si="23"/>
        <v>0</v>
      </c>
      <c r="AQ689" s="5">
        <f t="shared" si="24"/>
        <v>0</v>
      </c>
      <c r="AR689" s="2"/>
    </row>
    <row r="690" spans="5:44" ht="14.45" customHeight="1" x14ac:dyDescent="0.25">
      <c r="E690" s="2"/>
      <c r="F690" s="125"/>
      <c r="G690" s="2"/>
      <c r="H690" s="2" t="s">
        <v>28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 t="s">
        <v>28</v>
      </c>
      <c r="Y690" s="70" t="s">
        <v>16</v>
      </c>
      <c r="Z690" s="32" t="s">
        <v>17</v>
      </c>
      <c r="AA690" s="2"/>
      <c r="AB690" s="70" t="s">
        <v>16</v>
      </c>
      <c r="AC690" s="32" t="s">
        <v>17</v>
      </c>
      <c r="AD690" s="2"/>
      <c r="AE690" s="3"/>
      <c r="AF690" s="2" t="s">
        <v>28</v>
      </c>
      <c r="AG690" s="70" t="s">
        <v>16</v>
      </c>
      <c r="AH690" s="32" t="s">
        <v>17</v>
      </c>
      <c r="AI690" s="2"/>
      <c r="AJ690" s="70" t="s">
        <v>16</v>
      </c>
      <c r="AK690" s="32" t="s">
        <v>17</v>
      </c>
      <c r="AL690" s="3"/>
      <c r="AM690" s="2"/>
      <c r="AN690" s="13" t="s">
        <v>49</v>
      </c>
      <c r="AO690" s="13" t="s">
        <v>50</v>
      </c>
      <c r="AP690" s="5">
        <f t="shared" si="23"/>
        <v>20</v>
      </c>
      <c r="AQ690" s="5">
        <f t="shared" si="24"/>
        <v>20</v>
      </c>
      <c r="AR690" s="2"/>
    </row>
    <row r="691" spans="5:44" ht="14.45" customHeight="1" x14ac:dyDescent="0.25">
      <c r="E691" s="2"/>
      <c r="F691" s="125"/>
      <c r="G691" s="2"/>
      <c r="H691" s="2" t="s">
        <v>32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 t="s">
        <v>32</v>
      </c>
      <c r="Y691" s="70" t="s">
        <v>16</v>
      </c>
      <c r="Z691" s="32" t="s">
        <v>17</v>
      </c>
      <c r="AA691" s="2"/>
      <c r="AB691" s="70" t="s">
        <v>16</v>
      </c>
      <c r="AC691" s="32" t="s">
        <v>17</v>
      </c>
      <c r="AD691" s="2"/>
      <c r="AE691" s="3"/>
      <c r="AF691" s="2" t="s">
        <v>32</v>
      </c>
      <c r="AG691" s="70" t="s">
        <v>16</v>
      </c>
      <c r="AH691" s="32" t="s">
        <v>17</v>
      </c>
      <c r="AI691" s="2"/>
      <c r="AJ691" s="70" t="s">
        <v>16</v>
      </c>
      <c r="AK691" s="32" t="s">
        <v>17</v>
      </c>
      <c r="AL691" s="3"/>
      <c r="AM691" s="2"/>
      <c r="AN691" s="4" t="s">
        <v>51</v>
      </c>
      <c r="AO691" s="4" t="s">
        <v>52</v>
      </c>
      <c r="AP691" s="5">
        <f t="shared" si="23"/>
        <v>0</v>
      </c>
      <c r="AQ691" s="5">
        <f t="shared" si="24"/>
        <v>0</v>
      </c>
      <c r="AR691" s="2"/>
    </row>
    <row r="692" spans="5:44" ht="14.45" customHeight="1" x14ac:dyDescent="0.25">
      <c r="E692" s="2"/>
      <c r="F692" s="125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3"/>
      <c r="AF692" s="2"/>
      <c r="AG692" s="2"/>
      <c r="AH692" s="2"/>
      <c r="AI692" s="2"/>
      <c r="AJ692" s="2"/>
      <c r="AK692" s="2"/>
      <c r="AL692" s="3"/>
      <c r="AM692" s="2"/>
      <c r="AN692" s="22" t="s">
        <v>53</v>
      </c>
      <c r="AO692" s="22" t="s">
        <v>54</v>
      </c>
      <c r="AP692" s="5">
        <f t="shared" si="23"/>
        <v>0</v>
      </c>
      <c r="AQ692" s="5">
        <f t="shared" si="24"/>
        <v>0</v>
      </c>
      <c r="AR692" s="2"/>
    </row>
    <row r="693" spans="5:44" ht="14.45" customHeight="1" x14ac:dyDescent="0.25">
      <c r="E693" s="2"/>
      <c r="F693" s="125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36">
        <v>1701</v>
      </c>
      <c r="Z693" s="36"/>
      <c r="AA693" s="36"/>
      <c r="AB693" s="36" t="s">
        <v>3</v>
      </c>
      <c r="AC693" s="37"/>
      <c r="AD693" s="2"/>
      <c r="AE693" s="3"/>
      <c r="AF693" s="2"/>
      <c r="AG693" s="36">
        <v>1785</v>
      </c>
      <c r="AH693" s="36"/>
      <c r="AI693" s="36"/>
      <c r="AJ693" s="36" t="s">
        <v>3</v>
      </c>
      <c r="AK693" s="37"/>
      <c r="AL693" s="3"/>
      <c r="AM693" s="2"/>
      <c r="AN693" s="24" t="s">
        <v>55</v>
      </c>
      <c r="AO693" s="24" t="s">
        <v>56</v>
      </c>
      <c r="AP693" s="5">
        <f t="shared" si="23"/>
        <v>0</v>
      </c>
      <c r="AQ693" s="5">
        <f t="shared" si="24"/>
        <v>0</v>
      </c>
      <c r="AR693" s="2"/>
    </row>
    <row r="694" spans="5:44" ht="14.45" customHeight="1" x14ac:dyDescent="0.25">
      <c r="E694" s="2"/>
      <c r="F694" s="125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6" t="s">
        <v>4</v>
      </c>
      <c r="Z694" s="26"/>
      <c r="AA694" s="26"/>
      <c r="AB694" s="26" t="s">
        <v>5</v>
      </c>
      <c r="AC694" s="26"/>
      <c r="AD694" s="26"/>
      <c r="AE694" s="3"/>
      <c r="AF694" s="2"/>
      <c r="AG694" s="26" t="s">
        <v>4</v>
      </c>
      <c r="AH694" s="26"/>
      <c r="AI694" s="26"/>
      <c r="AJ694" s="26" t="s">
        <v>5</v>
      </c>
      <c r="AK694" s="26"/>
      <c r="AL694" s="3"/>
      <c r="AM694" s="2"/>
      <c r="AN694" s="35" t="s">
        <v>57</v>
      </c>
      <c r="AO694" s="35" t="s">
        <v>16</v>
      </c>
      <c r="AP694" s="5">
        <f t="shared" si="23"/>
        <v>50</v>
      </c>
      <c r="AQ694" s="5">
        <f t="shared" si="24"/>
        <v>50</v>
      </c>
      <c r="AR694" s="2"/>
    </row>
    <row r="695" spans="5:44" ht="14.45" customHeight="1" x14ac:dyDescent="0.25">
      <c r="E695" s="2"/>
      <c r="F695" s="125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7">
        <v>1701</v>
      </c>
      <c r="Z695" s="27" t="s">
        <v>7</v>
      </c>
      <c r="AA695" s="2"/>
      <c r="AB695" s="27">
        <v>1701</v>
      </c>
      <c r="AC695" s="27" t="s">
        <v>7</v>
      </c>
      <c r="AD695" s="28"/>
      <c r="AE695" s="3"/>
      <c r="AF695" s="2"/>
      <c r="AG695" s="27">
        <v>1785</v>
      </c>
      <c r="AH695" s="27" t="s">
        <v>7</v>
      </c>
      <c r="AI695" s="29"/>
      <c r="AJ695" s="27">
        <v>1785</v>
      </c>
      <c r="AK695" s="27" t="s">
        <v>7</v>
      </c>
      <c r="AL695" s="3"/>
      <c r="AM695" s="2"/>
      <c r="AN695" s="4" t="s">
        <v>58</v>
      </c>
      <c r="AO695" s="4" t="s">
        <v>59</v>
      </c>
      <c r="AP695" s="5">
        <f t="shared" si="23"/>
        <v>2</v>
      </c>
      <c r="AQ695" s="5">
        <f t="shared" si="24"/>
        <v>2</v>
      </c>
      <c r="AR695" s="2"/>
    </row>
    <row r="696" spans="5:44" ht="14.45" customHeight="1" x14ac:dyDescent="0.25">
      <c r="E696" s="2"/>
      <c r="F696" s="125"/>
      <c r="G696" s="2"/>
      <c r="H696" s="2" t="s">
        <v>12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 t="s">
        <v>12</v>
      </c>
      <c r="Y696" s="70" t="s">
        <v>16</v>
      </c>
      <c r="Z696" s="32" t="s">
        <v>17</v>
      </c>
      <c r="AA696" s="2"/>
      <c r="AB696" s="70" t="s">
        <v>16</v>
      </c>
      <c r="AC696" s="32" t="s">
        <v>17</v>
      </c>
      <c r="AD696" s="2"/>
      <c r="AE696" s="3"/>
      <c r="AF696" s="2" t="s">
        <v>12</v>
      </c>
      <c r="AG696" s="70" t="s">
        <v>16</v>
      </c>
      <c r="AH696" s="32" t="s">
        <v>17</v>
      </c>
      <c r="AI696" s="2"/>
      <c r="AJ696" s="70" t="s">
        <v>16</v>
      </c>
      <c r="AK696" s="32" t="s">
        <v>17</v>
      </c>
      <c r="AL696" s="3"/>
      <c r="AM696" s="2"/>
      <c r="AN696" s="4" t="s">
        <v>60</v>
      </c>
      <c r="AO696" s="4" t="s">
        <v>61</v>
      </c>
      <c r="AP696" s="5">
        <f t="shared" si="23"/>
        <v>6</v>
      </c>
      <c r="AQ696" s="5">
        <f t="shared" si="24"/>
        <v>6</v>
      </c>
      <c r="AR696" s="2"/>
    </row>
    <row r="697" spans="5:44" ht="14.45" customHeight="1" x14ac:dyDescent="0.25">
      <c r="E697" s="2"/>
      <c r="F697" s="125"/>
      <c r="G697" s="2"/>
      <c r="H697" s="2" t="s">
        <v>20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 t="s">
        <v>20</v>
      </c>
      <c r="Y697" s="70" t="s">
        <v>16</v>
      </c>
      <c r="Z697" s="32" t="s">
        <v>17</v>
      </c>
      <c r="AA697" s="2"/>
      <c r="AB697" s="70" t="s">
        <v>16</v>
      </c>
      <c r="AC697" s="32" t="s">
        <v>17</v>
      </c>
      <c r="AD697" s="2"/>
      <c r="AE697" s="3"/>
      <c r="AF697" s="2" t="s">
        <v>20</v>
      </c>
      <c r="AG697" s="70" t="s">
        <v>16</v>
      </c>
      <c r="AH697" s="32" t="s">
        <v>17</v>
      </c>
      <c r="AI697" s="2"/>
      <c r="AJ697" s="70" t="s">
        <v>16</v>
      </c>
      <c r="AK697" s="32" t="s">
        <v>17</v>
      </c>
      <c r="AL697" s="3"/>
      <c r="AM697" s="2"/>
      <c r="AN697" s="4" t="s">
        <v>62</v>
      </c>
      <c r="AO697" s="4" t="s">
        <v>62</v>
      </c>
      <c r="AP697" s="5">
        <f t="shared" si="23"/>
        <v>0</v>
      </c>
      <c r="AQ697" s="5">
        <f t="shared" si="24"/>
        <v>0</v>
      </c>
      <c r="AR697" s="2"/>
    </row>
    <row r="698" spans="5:44" ht="14.45" customHeight="1" x14ac:dyDescent="0.25">
      <c r="E698" s="2"/>
      <c r="F698" s="125"/>
      <c r="G698" s="2"/>
      <c r="H698" s="2" t="s">
        <v>24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 t="s">
        <v>24</v>
      </c>
      <c r="Y698" s="70" t="s">
        <v>16</v>
      </c>
      <c r="Z698" s="32" t="s">
        <v>17</v>
      </c>
      <c r="AA698" s="2"/>
      <c r="AB698" s="70" t="s">
        <v>16</v>
      </c>
      <c r="AC698" s="32" t="s">
        <v>17</v>
      </c>
      <c r="AD698" s="2"/>
      <c r="AE698" s="3"/>
      <c r="AF698" s="2" t="s">
        <v>24</v>
      </c>
      <c r="AG698" s="70" t="s">
        <v>16</v>
      </c>
      <c r="AH698" s="32" t="s">
        <v>17</v>
      </c>
      <c r="AI698" s="2"/>
      <c r="AJ698" s="70" t="s">
        <v>16</v>
      </c>
      <c r="AK698" s="32" t="s">
        <v>17</v>
      </c>
      <c r="AL698" s="3"/>
      <c r="AM698" s="2"/>
      <c r="AN698" s="4" t="s">
        <v>62</v>
      </c>
      <c r="AO698" s="4" t="s">
        <v>62</v>
      </c>
      <c r="AP698" s="5">
        <f t="shared" si="23"/>
        <v>0</v>
      </c>
      <c r="AQ698" s="5">
        <f t="shared" si="24"/>
        <v>0</v>
      </c>
      <c r="AR698" s="2"/>
    </row>
    <row r="699" spans="5:44" ht="14.45" customHeight="1" x14ac:dyDescent="0.25">
      <c r="E699" s="2"/>
      <c r="F699" s="125"/>
      <c r="G699" s="2"/>
      <c r="H699" s="2" t="s">
        <v>28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 t="s">
        <v>28</v>
      </c>
      <c r="Y699" s="70" t="s">
        <v>16</v>
      </c>
      <c r="Z699" s="32" t="s">
        <v>17</v>
      </c>
      <c r="AA699" s="2"/>
      <c r="AB699" s="70" t="s">
        <v>16</v>
      </c>
      <c r="AC699" s="32" t="s">
        <v>17</v>
      </c>
      <c r="AD699" s="2"/>
      <c r="AE699" s="3"/>
      <c r="AF699" s="2" t="s">
        <v>28</v>
      </c>
      <c r="AG699" s="70" t="s">
        <v>16</v>
      </c>
      <c r="AH699" s="32" t="s">
        <v>17</v>
      </c>
      <c r="AI699" s="2"/>
      <c r="AJ699" s="70" t="s">
        <v>16</v>
      </c>
      <c r="AK699" s="32" t="s">
        <v>17</v>
      </c>
      <c r="AL699" s="3"/>
      <c r="AM699" s="2"/>
      <c r="AN699" s="4" t="s">
        <v>62</v>
      </c>
      <c r="AO699" s="4" t="s">
        <v>62</v>
      </c>
      <c r="AP699" s="5">
        <f t="shared" si="23"/>
        <v>0</v>
      </c>
      <c r="AQ699" s="5">
        <f t="shared" si="24"/>
        <v>0</v>
      </c>
      <c r="AR699" s="2"/>
    </row>
    <row r="700" spans="5:44" ht="14.45" customHeight="1" x14ac:dyDescent="0.25">
      <c r="E700" s="2"/>
      <c r="F700" s="125"/>
      <c r="G700" s="2"/>
      <c r="H700" s="2" t="s">
        <v>32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 t="s">
        <v>32</v>
      </c>
      <c r="Y700" s="70" t="s">
        <v>16</v>
      </c>
      <c r="Z700" s="32" t="s">
        <v>17</v>
      </c>
      <c r="AA700" s="2"/>
      <c r="AB700" s="70" t="s">
        <v>16</v>
      </c>
      <c r="AC700" s="32" t="s">
        <v>17</v>
      </c>
      <c r="AD700" s="2"/>
      <c r="AE700" s="3"/>
      <c r="AF700" s="2" t="s">
        <v>32</v>
      </c>
      <c r="AG700" s="70" t="s">
        <v>16</v>
      </c>
      <c r="AH700" s="32" t="s">
        <v>17</v>
      </c>
      <c r="AI700" s="2"/>
      <c r="AJ700" s="70" t="s">
        <v>16</v>
      </c>
      <c r="AK700" s="32" t="s">
        <v>17</v>
      </c>
      <c r="AL700" s="3"/>
      <c r="AM700" s="2"/>
      <c r="AN700" s="4" t="s">
        <v>62</v>
      </c>
      <c r="AO700" s="4" t="s">
        <v>62</v>
      </c>
      <c r="AP700" s="5">
        <f t="shared" si="23"/>
        <v>0</v>
      </c>
      <c r="AQ700" s="5">
        <f t="shared" si="24"/>
        <v>0</v>
      </c>
      <c r="AR700" s="2"/>
    </row>
    <row r="701" spans="5:44" ht="14.45" customHeight="1" x14ac:dyDescent="0.25">
      <c r="E701" s="2"/>
      <c r="F701" s="125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3"/>
      <c r="AF701" s="2"/>
      <c r="AG701" s="2"/>
      <c r="AH701" s="2"/>
      <c r="AI701" s="2"/>
      <c r="AJ701" s="2"/>
      <c r="AK701" s="2"/>
      <c r="AL701" s="3"/>
      <c r="AM701" s="2"/>
      <c r="AN701" s="4" t="s">
        <v>62</v>
      </c>
      <c r="AO701" s="4" t="s">
        <v>62</v>
      </c>
      <c r="AP701" s="5">
        <f t="shared" si="23"/>
        <v>0</v>
      </c>
      <c r="AQ701" s="5">
        <f t="shared" si="24"/>
        <v>0</v>
      </c>
      <c r="AR701" s="2"/>
    </row>
    <row r="702" spans="5:44" ht="14.45" customHeight="1" x14ac:dyDescent="0.25">
      <c r="E702" s="2"/>
      <c r="F702" s="125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36">
        <v>1439</v>
      </c>
      <c r="Z702" s="36"/>
      <c r="AA702" s="36"/>
      <c r="AB702" s="36" t="s">
        <v>63</v>
      </c>
      <c r="AC702" s="37"/>
      <c r="AD702" s="2"/>
      <c r="AE702" s="3"/>
      <c r="AF702" s="2"/>
      <c r="AG702" s="25">
        <v>1455</v>
      </c>
      <c r="AH702" s="25"/>
      <c r="AI702" s="25"/>
      <c r="AJ702" s="25" t="s">
        <v>63</v>
      </c>
      <c r="AK702" s="3"/>
      <c r="AL702" s="3"/>
      <c r="AM702" s="2"/>
      <c r="AN702" s="4" t="s">
        <v>62</v>
      </c>
      <c r="AO702" s="4" t="s">
        <v>62</v>
      </c>
      <c r="AP702" s="5">
        <f t="shared" si="23"/>
        <v>0</v>
      </c>
      <c r="AQ702" s="5">
        <f t="shared" si="24"/>
        <v>0</v>
      </c>
      <c r="AR702" s="2"/>
    </row>
    <row r="703" spans="5:44" ht="14.45" customHeight="1" x14ac:dyDescent="0.25">
      <c r="E703" s="2"/>
      <c r="F703" s="125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6" t="s">
        <v>4</v>
      </c>
      <c r="Z703" s="26"/>
      <c r="AA703" s="26"/>
      <c r="AB703" s="26" t="s">
        <v>5</v>
      </c>
      <c r="AC703" s="26"/>
      <c r="AD703" s="26"/>
      <c r="AE703" s="3"/>
      <c r="AF703" s="2"/>
      <c r="AG703" s="26" t="s">
        <v>4</v>
      </c>
      <c r="AH703" s="26"/>
      <c r="AI703" s="26"/>
      <c r="AJ703" s="26" t="s">
        <v>5</v>
      </c>
      <c r="AK703" s="26"/>
      <c r="AL703" s="3"/>
      <c r="AM703" s="2"/>
      <c r="AN703" s="4" t="s">
        <v>64</v>
      </c>
      <c r="AO703" s="4" t="s">
        <v>64</v>
      </c>
      <c r="AP703" s="5">
        <f t="shared" si="23"/>
        <v>8</v>
      </c>
      <c r="AQ703" s="5">
        <f t="shared" si="24"/>
        <v>8</v>
      </c>
      <c r="AR703" s="2"/>
    </row>
    <row r="704" spans="5:44" ht="14.45" customHeight="1" x14ac:dyDescent="0.25">
      <c r="E704" s="2"/>
      <c r="F704" s="125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7">
        <v>1439</v>
      </c>
      <c r="Z704" s="27" t="s">
        <v>7</v>
      </c>
      <c r="AA704" s="2"/>
      <c r="AB704" s="27">
        <v>1439</v>
      </c>
      <c r="AC704" s="27" t="s">
        <v>7</v>
      </c>
      <c r="AD704" s="28"/>
      <c r="AE704" s="3"/>
      <c r="AF704" s="2"/>
      <c r="AG704" s="27">
        <v>1455</v>
      </c>
      <c r="AH704" s="27" t="s">
        <v>7</v>
      </c>
      <c r="AI704" s="29"/>
      <c r="AJ704" s="27">
        <v>1455</v>
      </c>
      <c r="AK704" s="27" t="s">
        <v>7</v>
      </c>
      <c r="AL704" s="3"/>
      <c r="AM704" s="2"/>
      <c r="AN704" s="4" t="s">
        <v>65</v>
      </c>
      <c r="AO704" s="4" t="s">
        <v>66</v>
      </c>
      <c r="AP704" s="5">
        <f t="shared" si="23"/>
        <v>66</v>
      </c>
      <c r="AQ704" s="5">
        <f t="shared" si="24"/>
        <v>66</v>
      </c>
      <c r="AR704" s="2"/>
    </row>
    <row r="705" spans="5:44" ht="14.45" customHeight="1" x14ac:dyDescent="0.25">
      <c r="E705" s="2"/>
      <c r="F705" s="125"/>
      <c r="G705" s="2"/>
      <c r="H705" s="2" t="s">
        <v>12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 t="s">
        <v>12</v>
      </c>
      <c r="Y705" t="s">
        <v>66</v>
      </c>
      <c r="Z705" s="32" t="s">
        <v>67</v>
      </c>
      <c r="AA705" s="2"/>
      <c r="AB705" t="s">
        <v>66</v>
      </c>
      <c r="AC705" s="32" t="s">
        <v>67</v>
      </c>
      <c r="AD705" s="2"/>
      <c r="AE705" s="3"/>
      <c r="AF705" s="2" t="s">
        <v>12</v>
      </c>
      <c r="AG705" t="s">
        <v>66</v>
      </c>
      <c r="AH705" s="32" t="s">
        <v>67</v>
      </c>
      <c r="AI705" s="2"/>
      <c r="AJ705" t="s">
        <v>66</v>
      </c>
      <c r="AK705" s="32" t="s">
        <v>67</v>
      </c>
      <c r="AL705" s="3"/>
      <c r="AM705" s="2"/>
      <c r="AN705" s="4" t="s">
        <v>68</v>
      </c>
      <c r="AO705" s="4" t="s">
        <v>68</v>
      </c>
      <c r="AP705" s="5">
        <f t="shared" si="23"/>
        <v>0</v>
      </c>
      <c r="AQ705" s="5">
        <f t="shared" si="24"/>
        <v>0</v>
      </c>
      <c r="AR705" s="2"/>
    </row>
    <row r="706" spans="5:44" ht="14.45" customHeight="1" x14ac:dyDescent="0.25">
      <c r="E706" s="2"/>
      <c r="F706" s="125"/>
      <c r="G706" s="2"/>
      <c r="H706" s="2" t="s">
        <v>20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 t="s">
        <v>20</v>
      </c>
      <c r="Y706" t="s">
        <v>66</v>
      </c>
      <c r="Z706" s="32" t="s">
        <v>67</v>
      </c>
      <c r="AA706" s="2"/>
      <c r="AB706" t="s">
        <v>66</v>
      </c>
      <c r="AC706" s="32" t="s">
        <v>67</v>
      </c>
      <c r="AD706" s="2"/>
      <c r="AE706" s="3"/>
      <c r="AF706" s="2" t="s">
        <v>20</v>
      </c>
      <c r="AG706" t="s">
        <v>66</v>
      </c>
      <c r="AH706" s="32" t="s">
        <v>67</v>
      </c>
      <c r="AI706" s="2"/>
      <c r="AJ706" t="s">
        <v>66</v>
      </c>
      <c r="AK706" s="32" t="s">
        <v>67</v>
      </c>
      <c r="AL706" s="3"/>
      <c r="AM706" s="2"/>
      <c r="AN706" s="4"/>
      <c r="AO706" s="4" t="s">
        <v>69</v>
      </c>
      <c r="AP706" s="5">
        <f>+SUM(AP678:AP705)</f>
        <v>180</v>
      </c>
      <c r="AQ706" s="5">
        <f>+SUM(AQ678:AQ705)</f>
        <v>180</v>
      </c>
      <c r="AR706" s="2"/>
    </row>
    <row r="707" spans="5:44" ht="14.45" customHeight="1" x14ac:dyDescent="0.25">
      <c r="E707" s="2"/>
      <c r="F707" s="125"/>
      <c r="G707" s="2"/>
      <c r="H707" s="2" t="s">
        <v>24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 t="s">
        <v>24</v>
      </c>
      <c r="Y707" t="s">
        <v>66</v>
      </c>
      <c r="Z707" s="32" t="s">
        <v>67</v>
      </c>
      <c r="AA707" s="2"/>
      <c r="AB707" t="s">
        <v>66</v>
      </c>
      <c r="AC707" s="32" t="s">
        <v>67</v>
      </c>
      <c r="AD707" s="2"/>
      <c r="AE707" s="3"/>
      <c r="AF707" s="2" t="s">
        <v>24</v>
      </c>
      <c r="AG707" t="s">
        <v>66</v>
      </c>
      <c r="AH707" s="32" t="s">
        <v>67</v>
      </c>
      <c r="AI707" s="2"/>
      <c r="AJ707" t="s">
        <v>66</v>
      </c>
      <c r="AK707" s="32" t="s">
        <v>67</v>
      </c>
      <c r="AL707" s="3"/>
      <c r="AM707" s="2"/>
      <c r="AN707" s="2"/>
      <c r="AO707" s="2"/>
      <c r="AP707" s="2"/>
      <c r="AQ707" s="2"/>
      <c r="AR707" s="2"/>
    </row>
    <row r="708" spans="5:44" ht="14.45" customHeight="1" x14ac:dyDescent="0.25">
      <c r="E708" s="2"/>
      <c r="F708" s="125"/>
      <c r="G708" s="2"/>
      <c r="H708" s="2" t="s">
        <v>28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 t="s">
        <v>28</v>
      </c>
      <c r="Y708" t="s">
        <v>66</v>
      </c>
      <c r="Z708" s="32" t="s">
        <v>67</v>
      </c>
      <c r="AA708" s="2"/>
      <c r="AB708" t="s">
        <v>66</v>
      </c>
      <c r="AC708" s="32" t="s">
        <v>67</v>
      </c>
      <c r="AD708" s="2"/>
      <c r="AE708" s="3"/>
      <c r="AF708" s="2" t="s">
        <v>28</v>
      </c>
      <c r="AG708" t="s">
        <v>66</v>
      </c>
      <c r="AH708" s="32" t="s">
        <v>67</v>
      </c>
      <c r="AI708" s="2"/>
      <c r="AJ708" t="s">
        <v>66</v>
      </c>
      <c r="AK708" s="32" t="s">
        <v>67</v>
      </c>
      <c r="AL708" s="3"/>
      <c r="AM708" s="2"/>
      <c r="AN708" s="2"/>
      <c r="AO708" s="2"/>
      <c r="AP708" s="2"/>
      <c r="AQ708" s="2"/>
      <c r="AR708" s="2"/>
    </row>
    <row r="709" spans="5:44" ht="14.45" customHeight="1" x14ac:dyDescent="0.25">
      <c r="E709" s="2"/>
      <c r="F709" s="125"/>
      <c r="G709" s="2"/>
      <c r="H709" s="2" t="s">
        <v>32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 t="s">
        <v>32</v>
      </c>
      <c r="Y709" t="s">
        <v>66</v>
      </c>
      <c r="Z709" s="32" t="s">
        <v>67</v>
      </c>
      <c r="AA709" s="2"/>
      <c r="AB709" t="s">
        <v>66</v>
      </c>
      <c r="AC709" s="32" t="s">
        <v>67</v>
      </c>
      <c r="AD709" s="2"/>
      <c r="AE709" s="3"/>
      <c r="AF709" s="2" t="s">
        <v>32</v>
      </c>
      <c r="AG709" t="s">
        <v>66</v>
      </c>
      <c r="AH709" s="32" t="s">
        <v>67</v>
      </c>
      <c r="AI709" s="2"/>
      <c r="AJ709" t="s">
        <v>66</v>
      </c>
      <c r="AK709" s="32" t="s">
        <v>67</v>
      </c>
      <c r="AL709" s="3"/>
      <c r="AM709" s="2"/>
      <c r="AN709" s="2"/>
      <c r="AO709" s="2"/>
      <c r="AP709" s="2"/>
      <c r="AQ709" s="2"/>
      <c r="AR709" s="2"/>
    </row>
    <row r="710" spans="5:44" ht="14.45" customHeight="1" x14ac:dyDescent="0.25">
      <c r="E710" s="2"/>
      <c r="F710" s="125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3"/>
      <c r="AF710" s="2"/>
      <c r="AG710" s="2"/>
      <c r="AH710" s="2"/>
      <c r="AI710" s="2"/>
      <c r="AJ710" s="2"/>
      <c r="AK710" s="2"/>
      <c r="AL710" s="3"/>
      <c r="AM710" s="2"/>
      <c r="AN710" s="2"/>
      <c r="AO710" s="2"/>
      <c r="AP710" s="2"/>
      <c r="AQ710" s="2"/>
      <c r="AR710" s="2"/>
    </row>
    <row r="711" spans="5:44" ht="14.45" customHeight="1" x14ac:dyDescent="0.25">
      <c r="E711" s="2"/>
      <c r="F711" s="125"/>
      <c r="G711" s="2"/>
      <c r="H711" s="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2"/>
      <c r="AN711" s="2"/>
      <c r="AO711" s="2"/>
      <c r="AP711" s="2"/>
      <c r="AQ711" s="2"/>
      <c r="AR711" s="2"/>
    </row>
    <row r="712" spans="5:44" ht="14.45" customHeight="1" x14ac:dyDescent="0.25">
      <c r="E712" s="2"/>
      <c r="F712" s="125"/>
      <c r="G712" s="2"/>
      <c r="H712" s="2"/>
      <c r="I712" s="2"/>
      <c r="J712" s="2"/>
      <c r="K712" s="2"/>
      <c r="L712" s="2"/>
      <c r="M712" s="2"/>
      <c r="N712" s="2"/>
      <c r="O712" s="3"/>
      <c r="P712" s="2"/>
      <c r="Q712" s="2"/>
      <c r="R712" s="2"/>
      <c r="S712" s="2"/>
      <c r="T712" s="2"/>
      <c r="U712" s="2"/>
      <c r="V712" s="2"/>
      <c r="W712" s="3"/>
      <c r="X712" s="2"/>
      <c r="Y712" s="2"/>
      <c r="Z712" s="2"/>
      <c r="AA712" s="2"/>
      <c r="AB712" s="2"/>
      <c r="AC712" s="2"/>
      <c r="AD712" s="2"/>
      <c r="AE712" s="3"/>
      <c r="AF712" s="2"/>
      <c r="AG712" s="2"/>
      <c r="AH712" s="2"/>
      <c r="AI712" s="2"/>
      <c r="AJ712" s="2"/>
      <c r="AK712" s="2"/>
      <c r="AL712" s="3"/>
      <c r="AM712" s="2"/>
      <c r="AN712" s="2"/>
      <c r="AO712" s="2"/>
      <c r="AP712" s="2"/>
      <c r="AQ712" s="2"/>
      <c r="AR712" s="2"/>
    </row>
    <row r="713" spans="5:44" ht="14.45" customHeight="1" x14ac:dyDescent="0.25">
      <c r="E713" s="2"/>
      <c r="F713" s="125"/>
      <c r="G713" s="2"/>
      <c r="H713" s="2"/>
      <c r="I713" s="25">
        <v>2930</v>
      </c>
      <c r="J713" s="25"/>
      <c r="K713" s="25"/>
      <c r="L713" s="25" t="s">
        <v>63</v>
      </c>
      <c r="M713" s="3"/>
      <c r="N713" s="2"/>
      <c r="O713" s="3"/>
      <c r="P713" s="2"/>
      <c r="Q713" s="25"/>
      <c r="R713" s="25"/>
      <c r="S713" s="25"/>
      <c r="T713" s="25"/>
      <c r="U713" s="3"/>
      <c r="V713" s="2"/>
      <c r="W713" s="3"/>
      <c r="X713" s="2"/>
      <c r="Y713" s="25"/>
      <c r="Z713" s="25"/>
      <c r="AA713" s="25"/>
      <c r="AB713" s="25"/>
      <c r="AC713" s="3"/>
      <c r="AD713" s="2"/>
      <c r="AE713" s="3"/>
      <c r="AF713" s="2"/>
      <c r="AG713" s="25"/>
      <c r="AH713" s="25"/>
      <c r="AI713" s="25"/>
      <c r="AJ713" s="25"/>
      <c r="AK713" s="3"/>
      <c r="AL713" s="3"/>
      <c r="AM713" s="2"/>
      <c r="AN713" s="2"/>
      <c r="AO713" s="2"/>
      <c r="AP713" s="2"/>
      <c r="AQ713" s="2"/>
      <c r="AR713" s="2"/>
    </row>
    <row r="714" spans="5:44" ht="14.45" customHeight="1" x14ac:dyDescent="0.25">
      <c r="E714" s="2"/>
      <c r="F714" s="125"/>
      <c r="G714" s="2"/>
      <c r="H714" s="2"/>
      <c r="I714" s="26" t="s">
        <v>4</v>
      </c>
      <c r="J714" s="26"/>
      <c r="K714" s="26"/>
      <c r="L714" s="26" t="s">
        <v>5</v>
      </c>
      <c r="M714" s="26"/>
      <c r="N714" s="2"/>
      <c r="O714" s="3"/>
      <c r="P714" s="2"/>
      <c r="Q714" s="26"/>
      <c r="R714" s="26"/>
      <c r="S714" s="26"/>
      <c r="T714" s="26"/>
      <c r="U714" s="26"/>
      <c r="V714" s="2"/>
      <c r="W714" s="3"/>
      <c r="X714" s="2"/>
      <c r="Y714" s="26"/>
      <c r="Z714" s="26"/>
      <c r="AA714" s="26"/>
      <c r="AB714" s="26"/>
      <c r="AC714" s="26"/>
      <c r="AD714" s="26"/>
      <c r="AE714" s="3"/>
      <c r="AF714" s="2"/>
      <c r="AG714" s="26"/>
      <c r="AH714" s="26"/>
      <c r="AI714" s="26"/>
      <c r="AJ714" s="26"/>
      <c r="AK714" s="26"/>
      <c r="AL714" s="3"/>
      <c r="AM714" s="2"/>
      <c r="AN714" s="2"/>
      <c r="AO714" s="2"/>
      <c r="AP714" s="2"/>
      <c r="AQ714" s="2"/>
      <c r="AR714" s="2"/>
    </row>
    <row r="715" spans="5:44" ht="14.45" customHeight="1" x14ac:dyDescent="0.25">
      <c r="E715" s="2"/>
      <c r="F715" s="125"/>
      <c r="G715" s="2"/>
      <c r="H715" s="2"/>
      <c r="I715" s="27">
        <v>2930</v>
      </c>
      <c r="J715" s="27" t="s">
        <v>7</v>
      </c>
      <c r="K715" s="2"/>
      <c r="L715" s="27">
        <v>2930</v>
      </c>
      <c r="M715" s="27" t="s">
        <v>7</v>
      </c>
      <c r="N715" s="2"/>
      <c r="O715" s="3"/>
      <c r="P715" s="2"/>
      <c r="Q715" s="27"/>
      <c r="R715" s="27"/>
      <c r="S715" s="2"/>
      <c r="T715" s="27"/>
      <c r="U715" s="27"/>
      <c r="V715" s="2"/>
      <c r="W715" s="3"/>
      <c r="X715" s="2"/>
      <c r="Y715" s="27"/>
      <c r="Z715" s="27"/>
      <c r="AA715" s="2"/>
      <c r="AB715" s="27"/>
      <c r="AC715" s="27"/>
      <c r="AD715" s="28"/>
      <c r="AE715" s="3"/>
      <c r="AF715" s="2"/>
      <c r="AG715" s="27"/>
      <c r="AH715" s="27"/>
      <c r="AI715" s="29"/>
      <c r="AJ715" s="27"/>
      <c r="AK715" s="27"/>
      <c r="AL715" s="3"/>
      <c r="AM715" s="2"/>
      <c r="AN715" s="2"/>
      <c r="AO715" s="2"/>
      <c r="AP715" s="2"/>
      <c r="AQ715" s="2"/>
      <c r="AR715" s="2"/>
    </row>
    <row r="716" spans="5:44" ht="14.45" customHeight="1" x14ac:dyDescent="0.25">
      <c r="E716" s="2"/>
      <c r="F716" s="125"/>
      <c r="G716" s="2"/>
      <c r="H716" s="2" t="s">
        <v>12</v>
      </c>
      <c r="I716" s="81" t="s">
        <v>31</v>
      </c>
      <c r="J716" s="32" t="s">
        <v>70</v>
      </c>
      <c r="K716" s="2"/>
      <c r="L716" s="81" t="s">
        <v>31</v>
      </c>
      <c r="M716" s="32" t="s">
        <v>70</v>
      </c>
      <c r="N716" s="2"/>
      <c r="O716" s="3"/>
      <c r="P716" s="2" t="s">
        <v>12</v>
      </c>
      <c r="R716" s="32"/>
      <c r="S716" s="2"/>
      <c r="U716" s="32"/>
      <c r="V716" s="2"/>
      <c r="W716" s="3"/>
      <c r="X716" s="2" t="s">
        <v>12</v>
      </c>
      <c r="Z716" s="32"/>
      <c r="AA716" s="2"/>
      <c r="AC716" s="32"/>
      <c r="AD716" s="2"/>
      <c r="AE716" s="3"/>
      <c r="AF716" s="2" t="s">
        <v>12</v>
      </c>
      <c r="AH716" s="32"/>
      <c r="AI716" s="2"/>
      <c r="AK716" s="32"/>
      <c r="AL716" s="3"/>
      <c r="AM716" s="2"/>
      <c r="AN716" s="2"/>
      <c r="AO716" s="2"/>
      <c r="AP716" s="2"/>
      <c r="AQ716" s="2"/>
      <c r="AR716" s="2"/>
    </row>
    <row r="717" spans="5:44" ht="14.45" customHeight="1" x14ac:dyDescent="0.25">
      <c r="E717" s="2"/>
      <c r="F717" s="125"/>
      <c r="G717" s="2"/>
      <c r="H717" s="2" t="s">
        <v>20</v>
      </c>
      <c r="I717" s="81" t="s">
        <v>31</v>
      </c>
      <c r="J717" s="32" t="s">
        <v>70</v>
      </c>
      <c r="K717" s="2"/>
      <c r="L717" s="81" t="s">
        <v>31</v>
      </c>
      <c r="M717" s="32" t="s">
        <v>70</v>
      </c>
      <c r="N717" s="2"/>
      <c r="O717" s="3"/>
      <c r="P717" s="2" t="s">
        <v>20</v>
      </c>
      <c r="R717" s="32"/>
      <c r="S717" s="2"/>
      <c r="U717" s="32"/>
      <c r="V717" s="2"/>
      <c r="W717" s="3"/>
      <c r="X717" s="2" t="s">
        <v>20</v>
      </c>
      <c r="Z717" s="32"/>
      <c r="AA717" s="2"/>
      <c r="AC717" s="32"/>
      <c r="AD717" s="2"/>
      <c r="AE717" s="3"/>
      <c r="AF717" s="2" t="s">
        <v>20</v>
      </c>
      <c r="AH717" s="32"/>
      <c r="AI717" s="2"/>
      <c r="AK717" s="32"/>
      <c r="AL717" s="3"/>
      <c r="AM717" s="2"/>
      <c r="AN717" s="2"/>
      <c r="AO717" s="12" t="s">
        <v>71</v>
      </c>
      <c r="AP717" s="5">
        <f t="shared" ref="AP717:AP727" si="25">(COUNTIF($I$292:$I$383,"=*"&amp;AO717&amp;"*")+COUNTIF($Q$292:$Q$382,"=*"&amp;AO717&amp;"*")+COUNTIF($AG$291:$AG$385,"=*"&amp;AO717&amp;"*")+COUNTIF($Y$292:$Y$385,"=*"&amp;AO717&amp;"*"))*2</f>
        <v>8</v>
      </c>
      <c r="AQ717" s="2"/>
      <c r="AR717" s="2"/>
    </row>
    <row r="718" spans="5:44" ht="14.45" customHeight="1" x14ac:dyDescent="0.25">
      <c r="E718" s="2"/>
      <c r="F718" s="125"/>
      <c r="G718" s="2"/>
      <c r="H718" s="2" t="s">
        <v>24</v>
      </c>
      <c r="I718" s="81" t="s">
        <v>31</v>
      </c>
      <c r="J718" s="32" t="s">
        <v>70</v>
      </c>
      <c r="K718" s="2"/>
      <c r="L718" s="81" t="s">
        <v>31</v>
      </c>
      <c r="M718" s="32" t="s">
        <v>70</v>
      </c>
      <c r="N718" s="2"/>
      <c r="O718" s="3"/>
      <c r="P718" s="2" t="s">
        <v>24</v>
      </c>
      <c r="R718" s="32"/>
      <c r="S718" s="2"/>
      <c r="U718" s="32"/>
      <c r="V718" s="2"/>
      <c r="W718" s="3"/>
      <c r="X718" s="2" t="s">
        <v>24</v>
      </c>
      <c r="Z718" s="32"/>
      <c r="AA718" s="2"/>
      <c r="AC718" s="32"/>
      <c r="AD718" s="2"/>
      <c r="AE718" s="3"/>
      <c r="AF718" s="2" t="s">
        <v>24</v>
      </c>
      <c r="AH718" s="32"/>
      <c r="AI718" s="2"/>
      <c r="AK718" s="32"/>
      <c r="AL718" s="3"/>
      <c r="AM718" s="2"/>
      <c r="AN718" s="2"/>
      <c r="AO718" s="12" t="s">
        <v>72</v>
      </c>
      <c r="AP718" s="5">
        <f t="shared" si="25"/>
        <v>2</v>
      </c>
      <c r="AQ718" s="2"/>
      <c r="AR718" s="2"/>
    </row>
    <row r="719" spans="5:44" ht="14.45" customHeight="1" x14ac:dyDescent="0.25">
      <c r="E719" s="2"/>
      <c r="F719" s="125"/>
      <c r="G719" s="2"/>
      <c r="H719" s="2" t="s">
        <v>28</v>
      </c>
      <c r="I719" s="34" t="s">
        <v>73</v>
      </c>
      <c r="J719" s="32" t="s">
        <v>70</v>
      </c>
      <c r="K719" s="2"/>
      <c r="L719" s="34" t="s">
        <v>73</v>
      </c>
      <c r="M719" s="32" t="s">
        <v>70</v>
      </c>
      <c r="N719" s="2"/>
      <c r="O719" s="3"/>
      <c r="P719" s="2" t="s">
        <v>28</v>
      </c>
      <c r="R719" s="32"/>
      <c r="S719" s="2"/>
      <c r="U719" s="32"/>
      <c r="V719" s="2"/>
      <c r="W719" s="3"/>
      <c r="X719" s="2" t="s">
        <v>28</v>
      </c>
      <c r="Z719" s="32"/>
      <c r="AA719" s="2"/>
      <c r="AC719" s="32"/>
      <c r="AD719" s="2"/>
      <c r="AE719" s="3"/>
      <c r="AF719" s="2" t="s">
        <v>28</v>
      </c>
      <c r="AH719" s="32"/>
      <c r="AI719" s="2"/>
      <c r="AK719" s="32"/>
      <c r="AL719" s="3"/>
      <c r="AM719" s="2"/>
      <c r="AN719" s="2"/>
      <c r="AO719" s="23" t="s">
        <v>74</v>
      </c>
      <c r="AP719" s="5">
        <f t="shared" si="25"/>
        <v>0</v>
      </c>
      <c r="AQ719" s="2"/>
      <c r="AR719" s="2"/>
    </row>
    <row r="720" spans="5:44" ht="14.45" customHeight="1" x14ac:dyDescent="0.25">
      <c r="E720" s="2"/>
      <c r="F720" s="125"/>
      <c r="G720" s="2"/>
      <c r="H720" s="2" t="s">
        <v>32</v>
      </c>
      <c r="I720" s="34" t="s">
        <v>73</v>
      </c>
      <c r="J720" s="32" t="s">
        <v>70</v>
      </c>
      <c r="K720" s="2"/>
      <c r="L720" s="34" t="s">
        <v>73</v>
      </c>
      <c r="M720" s="32" t="s">
        <v>70</v>
      </c>
      <c r="N720" s="2"/>
      <c r="O720" s="3"/>
      <c r="P720" s="2" t="s">
        <v>32</v>
      </c>
      <c r="R720" s="32"/>
      <c r="S720" s="2"/>
      <c r="U720" s="32"/>
      <c r="V720" s="2"/>
      <c r="W720" s="3"/>
      <c r="X720" s="2" t="s">
        <v>32</v>
      </c>
      <c r="Z720" s="32"/>
      <c r="AA720" s="2"/>
      <c r="AC720" s="32"/>
      <c r="AD720" s="2"/>
      <c r="AE720" s="3"/>
      <c r="AF720" s="2" t="s">
        <v>32</v>
      </c>
      <c r="AH720" s="32"/>
      <c r="AI720" s="2"/>
      <c r="AK720" s="32"/>
      <c r="AL720" s="3"/>
      <c r="AM720" s="2"/>
      <c r="AN720" s="2"/>
      <c r="AO720" s="8" t="s">
        <v>93</v>
      </c>
      <c r="AP720" s="5">
        <f t="shared" si="25"/>
        <v>0</v>
      </c>
      <c r="AQ720" s="2"/>
      <c r="AR720" s="2"/>
    </row>
    <row r="721" spans="5:44" ht="14.45" customHeight="1" x14ac:dyDescent="0.25">
      <c r="E721" s="2"/>
      <c r="F721" s="125"/>
      <c r="G721" s="2"/>
      <c r="H721" s="2"/>
      <c r="I721" s="2"/>
      <c r="J721" s="2"/>
      <c r="K721" s="2"/>
      <c r="L721" s="2"/>
      <c r="M721" s="2"/>
      <c r="N721" s="2"/>
      <c r="O721" s="3"/>
      <c r="P721" s="2"/>
      <c r="Q721" s="2"/>
      <c r="R721" s="2"/>
      <c r="S721" s="2"/>
      <c r="T721" s="2"/>
      <c r="U721" s="2"/>
      <c r="V721" s="2"/>
      <c r="W721" s="3"/>
      <c r="X721" s="2"/>
      <c r="Y721" s="2"/>
      <c r="Z721" s="2"/>
      <c r="AA721" s="2"/>
      <c r="AB721" s="2"/>
      <c r="AC721" s="2"/>
      <c r="AD721" s="2"/>
      <c r="AE721" s="3"/>
      <c r="AF721" s="2"/>
      <c r="AG721" s="2"/>
      <c r="AH721" s="2"/>
      <c r="AI721" s="2"/>
      <c r="AJ721" s="2"/>
      <c r="AK721" s="2"/>
      <c r="AL721" s="3"/>
      <c r="AM721" s="2"/>
      <c r="AN721" s="2"/>
      <c r="AO721" s="10" t="s">
        <v>75</v>
      </c>
      <c r="AP721" s="5">
        <f t="shared" si="25"/>
        <v>0</v>
      </c>
      <c r="AQ721" s="2"/>
      <c r="AR721" s="2"/>
    </row>
    <row r="722" spans="5:44" ht="14.45" customHeight="1" x14ac:dyDescent="0.25">
      <c r="E722" s="2"/>
      <c r="F722" s="125"/>
      <c r="G722" s="2"/>
      <c r="H722" s="2"/>
      <c r="I722" s="25">
        <v>3415</v>
      </c>
      <c r="J722" s="25"/>
      <c r="K722" s="25"/>
      <c r="L722" s="25" t="s">
        <v>63</v>
      </c>
      <c r="M722" s="3"/>
      <c r="N722" s="2"/>
      <c r="O722" s="3"/>
      <c r="P722" s="2"/>
      <c r="Q722" s="36">
        <v>2989</v>
      </c>
      <c r="R722" s="36"/>
      <c r="S722" s="36"/>
      <c r="T722" s="36" t="s">
        <v>3</v>
      </c>
      <c r="U722" s="37"/>
      <c r="V722" s="2"/>
      <c r="W722" s="3"/>
      <c r="X722" s="2"/>
      <c r="Y722" s="25"/>
      <c r="Z722" s="25"/>
      <c r="AA722" s="25"/>
      <c r="AB722" s="25"/>
      <c r="AC722" s="3"/>
      <c r="AD722" s="2"/>
      <c r="AE722" s="3"/>
      <c r="AF722" s="2"/>
      <c r="AG722" s="36">
        <v>1852</v>
      </c>
      <c r="AH722" s="36"/>
      <c r="AI722" s="36"/>
      <c r="AJ722" s="36" t="s">
        <v>63</v>
      </c>
      <c r="AK722" s="37"/>
      <c r="AL722" s="3"/>
      <c r="AM722" s="2"/>
      <c r="AN722" s="2"/>
      <c r="AO722" s="10" t="s">
        <v>76</v>
      </c>
      <c r="AP722" s="5">
        <f t="shared" si="25"/>
        <v>0</v>
      </c>
      <c r="AQ722" s="2"/>
      <c r="AR722" s="2"/>
    </row>
    <row r="723" spans="5:44" ht="14.45" customHeight="1" x14ac:dyDescent="0.25">
      <c r="E723" s="2"/>
      <c r="F723" s="125"/>
      <c r="G723" s="2"/>
      <c r="H723" s="2"/>
      <c r="I723" s="26" t="s">
        <v>4</v>
      </c>
      <c r="J723" s="26"/>
      <c r="K723" s="26"/>
      <c r="L723" s="26" t="s">
        <v>5</v>
      </c>
      <c r="M723" s="26"/>
      <c r="N723" s="2"/>
      <c r="O723" s="3"/>
      <c r="P723" s="2"/>
      <c r="Q723" s="26" t="s">
        <v>4</v>
      </c>
      <c r="R723" s="26"/>
      <c r="S723" s="26"/>
      <c r="T723" s="26" t="s">
        <v>5</v>
      </c>
      <c r="U723" s="26"/>
      <c r="V723" s="2"/>
      <c r="W723" s="3"/>
      <c r="X723" s="2"/>
      <c r="Y723" s="26"/>
      <c r="Z723" s="26"/>
      <c r="AA723" s="26"/>
      <c r="AB723" s="26"/>
      <c r="AC723" s="26"/>
      <c r="AD723" s="26"/>
      <c r="AE723" s="3"/>
      <c r="AF723" s="2"/>
      <c r="AG723" s="26" t="s">
        <v>4</v>
      </c>
      <c r="AH723" s="26"/>
      <c r="AI723" s="26"/>
      <c r="AJ723" s="26" t="s">
        <v>5</v>
      </c>
      <c r="AK723" s="26"/>
      <c r="AL723" s="3"/>
      <c r="AM723" s="2"/>
      <c r="AN723" s="2"/>
      <c r="AO723" s="19" t="s">
        <v>77</v>
      </c>
      <c r="AP723" s="5">
        <f t="shared" si="25"/>
        <v>0</v>
      </c>
      <c r="AQ723" s="2"/>
      <c r="AR723" s="2"/>
    </row>
    <row r="724" spans="5:44" ht="14.45" customHeight="1" x14ac:dyDescent="0.25">
      <c r="E724" s="2"/>
      <c r="F724" s="125"/>
      <c r="G724" s="2"/>
      <c r="H724" s="2"/>
      <c r="I724" s="27">
        <v>3415</v>
      </c>
      <c r="J724" s="27" t="s">
        <v>7</v>
      </c>
      <c r="K724" s="2"/>
      <c r="L724" s="27">
        <v>3415</v>
      </c>
      <c r="M724" s="27" t="s">
        <v>7</v>
      </c>
      <c r="N724" s="2"/>
      <c r="O724" s="3"/>
      <c r="P724" s="2"/>
      <c r="Q724" s="27">
        <v>2989</v>
      </c>
      <c r="R724" s="27" t="s">
        <v>7</v>
      </c>
      <c r="S724" s="2"/>
      <c r="T724" s="27">
        <v>2989</v>
      </c>
      <c r="U724" s="27" t="s">
        <v>7</v>
      </c>
      <c r="V724" s="2"/>
      <c r="W724" s="3"/>
      <c r="X724" s="2"/>
      <c r="Y724" s="27"/>
      <c r="Z724" s="27"/>
      <c r="AA724" s="2"/>
      <c r="AB724" s="27"/>
      <c r="AC724" s="27"/>
      <c r="AD724" s="28"/>
      <c r="AE724" s="3"/>
      <c r="AF724" s="2"/>
      <c r="AG724" s="27">
        <v>1852</v>
      </c>
      <c r="AH724" s="27" t="s">
        <v>7</v>
      </c>
      <c r="AI724" s="29"/>
      <c r="AJ724" s="27">
        <v>1852</v>
      </c>
      <c r="AK724" s="27" t="s">
        <v>7</v>
      </c>
      <c r="AL724" s="3"/>
      <c r="AM724" s="2"/>
      <c r="AN724" s="2"/>
      <c r="AO724" s="16" t="s">
        <v>78</v>
      </c>
      <c r="AP724" s="5">
        <f t="shared" si="25"/>
        <v>0</v>
      </c>
      <c r="AQ724" s="2"/>
      <c r="AR724" s="2"/>
    </row>
    <row r="725" spans="5:44" ht="14.45" customHeight="1" x14ac:dyDescent="0.25">
      <c r="E725" s="2"/>
      <c r="F725" s="125"/>
      <c r="G725" s="2"/>
      <c r="H725" s="2" t="s">
        <v>12</v>
      </c>
      <c r="I725" t="s">
        <v>66</v>
      </c>
      <c r="J725" s="32" t="s">
        <v>79</v>
      </c>
      <c r="K725" s="2"/>
      <c r="L725" t="s">
        <v>66</v>
      </c>
      <c r="M725" s="32" t="s">
        <v>79</v>
      </c>
      <c r="N725" s="2"/>
      <c r="O725" s="3"/>
      <c r="P725" s="2" t="s">
        <v>12</v>
      </c>
      <c r="Q725" t="s">
        <v>66</v>
      </c>
      <c r="R725" s="32" t="s">
        <v>67</v>
      </c>
      <c r="S725" s="2"/>
      <c r="T725" t="s">
        <v>66</v>
      </c>
      <c r="U725" s="32" t="s">
        <v>67</v>
      </c>
      <c r="V725" s="2"/>
      <c r="W725" s="3"/>
      <c r="X725" s="2" t="s">
        <v>12</v>
      </c>
      <c r="Z725" s="32"/>
      <c r="AA725" s="2"/>
      <c r="AC725" s="32"/>
      <c r="AD725" s="2"/>
      <c r="AE725" s="3"/>
      <c r="AF725" s="2" t="s">
        <v>12</v>
      </c>
      <c r="AG725" t="s">
        <v>66</v>
      </c>
      <c r="AH725" s="32" t="s">
        <v>67</v>
      </c>
      <c r="AI725" s="2"/>
      <c r="AJ725" t="s">
        <v>66</v>
      </c>
      <c r="AK725" s="32" t="s">
        <v>67</v>
      </c>
      <c r="AL725" s="3"/>
      <c r="AM725" s="2"/>
      <c r="AN725" s="2"/>
      <c r="AO725" s="8" t="s">
        <v>80</v>
      </c>
      <c r="AP725" s="5">
        <f t="shared" si="25"/>
        <v>0</v>
      </c>
      <c r="AQ725" s="2"/>
      <c r="AR725" s="2"/>
    </row>
    <row r="726" spans="5:44" ht="14.45" customHeight="1" x14ac:dyDescent="0.25">
      <c r="E726" s="2"/>
      <c r="F726" s="125"/>
      <c r="G726" s="2"/>
      <c r="H726" s="2" t="s">
        <v>20</v>
      </c>
      <c r="I726" s="81" t="s">
        <v>71</v>
      </c>
      <c r="J726" s="32" t="s">
        <v>70</v>
      </c>
      <c r="K726" s="2"/>
      <c r="L726" s="81" t="s">
        <v>71</v>
      </c>
      <c r="M726" s="32" t="s">
        <v>70</v>
      </c>
      <c r="N726" s="2"/>
      <c r="O726" s="3"/>
      <c r="P726" s="2" t="s">
        <v>20</v>
      </c>
      <c r="Q726" t="s">
        <v>66</v>
      </c>
      <c r="R726" s="32" t="s">
        <v>67</v>
      </c>
      <c r="S726" s="2"/>
      <c r="T726" t="s">
        <v>66</v>
      </c>
      <c r="U726" s="32" t="s">
        <v>67</v>
      </c>
      <c r="V726" s="2"/>
      <c r="W726" s="3"/>
      <c r="X726" s="2" t="s">
        <v>20</v>
      </c>
      <c r="Z726" s="32"/>
      <c r="AA726" s="2"/>
      <c r="AC726" s="32"/>
      <c r="AD726" s="2"/>
      <c r="AE726" s="3"/>
      <c r="AF726" s="2" t="s">
        <v>20</v>
      </c>
      <c r="AG726" t="s">
        <v>66</v>
      </c>
      <c r="AH726" s="32" t="s">
        <v>67</v>
      </c>
      <c r="AI726" s="2"/>
      <c r="AJ726" t="s">
        <v>66</v>
      </c>
      <c r="AK726" s="32" t="s">
        <v>67</v>
      </c>
      <c r="AL726" s="3"/>
      <c r="AM726" s="2"/>
      <c r="AN726" s="2"/>
      <c r="AO726" s="8" t="s">
        <v>80</v>
      </c>
      <c r="AP726" s="5">
        <f t="shared" si="25"/>
        <v>0</v>
      </c>
      <c r="AQ726" s="2"/>
      <c r="AR726" s="2"/>
    </row>
    <row r="727" spans="5:44" ht="14.45" customHeight="1" x14ac:dyDescent="0.25">
      <c r="E727" s="2"/>
      <c r="F727" s="125"/>
      <c r="G727" s="2"/>
      <c r="H727" s="2" t="s">
        <v>24</v>
      </c>
      <c r="I727" s="81" t="s">
        <v>71</v>
      </c>
      <c r="J727" s="32" t="s">
        <v>70</v>
      </c>
      <c r="K727" s="2"/>
      <c r="L727" s="81" t="s">
        <v>71</v>
      </c>
      <c r="M727" s="32" t="s">
        <v>70</v>
      </c>
      <c r="N727" s="2"/>
      <c r="O727" s="3"/>
      <c r="P727" s="2" t="s">
        <v>24</v>
      </c>
      <c r="Q727" t="s">
        <v>66</v>
      </c>
      <c r="R727" s="32" t="s">
        <v>67</v>
      </c>
      <c r="S727" s="2"/>
      <c r="T727" t="s">
        <v>66</v>
      </c>
      <c r="U727" s="32" t="s">
        <v>67</v>
      </c>
      <c r="V727" s="2"/>
      <c r="W727" s="3"/>
      <c r="X727" s="2" t="s">
        <v>24</v>
      </c>
      <c r="Z727" s="32"/>
      <c r="AA727" s="2"/>
      <c r="AC727" s="32"/>
      <c r="AD727" s="2"/>
      <c r="AE727" s="3"/>
      <c r="AF727" s="2" t="s">
        <v>24</v>
      </c>
      <c r="AG727" t="s">
        <v>66</v>
      </c>
      <c r="AH727" s="32" t="s">
        <v>67</v>
      </c>
      <c r="AI727" s="2"/>
      <c r="AJ727" t="s">
        <v>66</v>
      </c>
      <c r="AK727" s="32" t="s">
        <v>67</v>
      </c>
      <c r="AL727" s="3"/>
      <c r="AM727" s="2"/>
      <c r="AN727" s="2"/>
      <c r="AO727" s="18" t="s">
        <v>82</v>
      </c>
      <c r="AP727" s="5">
        <f t="shared" si="25"/>
        <v>0</v>
      </c>
      <c r="AQ727" s="2"/>
      <c r="AR727" s="2"/>
    </row>
    <row r="728" spans="5:44" ht="14.45" customHeight="1" x14ac:dyDescent="0.25">
      <c r="E728" s="2"/>
      <c r="F728" s="125"/>
      <c r="G728" s="2"/>
      <c r="H728" s="2" t="s">
        <v>28</v>
      </c>
      <c r="I728" s="81" t="s">
        <v>71</v>
      </c>
      <c r="J728" s="32" t="s">
        <v>83</v>
      </c>
      <c r="K728" s="2"/>
      <c r="L728" s="81" t="s">
        <v>71</v>
      </c>
      <c r="M728" s="32" t="s">
        <v>83</v>
      </c>
      <c r="N728" s="2"/>
      <c r="O728" s="3"/>
      <c r="P728" s="2" t="s">
        <v>28</v>
      </c>
      <c r="Q728" t="s">
        <v>66</v>
      </c>
      <c r="R728" s="32" t="s">
        <v>67</v>
      </c>
      <c r="S728" s="2"/>
      <c r="T728" t="s">
        <v>66</v>
      </c>
      <c r="U728" s="32" t="s">
        <v>67</v>
      </c>
      <c r="V728" s="2"/>
      <c r="W728" s="3"/>
      <c r="X728" s="2" t="s">
        <v>28</v>
      </c>
      <c r="Z728" s="32"/>
      <c r="AA728" s="2"/>
      <c r="AC728" s="32"/>
      <c r="AD728" s="2"/>
      <c r="AE728" s="3"/>
      <c r="AF728" s="2" t="s">
        <v>28</v>
      </c>
      <c r="AG728" t="s">
        <v>66</v>
      </c>
      <c r="AH728" s="32" t="s">
        <v>67</v>
      </c>
      <c r="AI728" s="2"/>
      <c r="AJ728" t="s">
        <v>66</v>
      </c>
      <c r="AK728" s="32" t="s">
        <v>67</v>
      </c>
      <c r="AL728" s="3"/>
      <c r="AM728" s="2"/>
      <c r="AN728" s="2"/>
      <c r="AO728" s="2"/>
      <c r="AP728" s="2"/>
      <c r="AQ728" s="2"/>
      <c r="AR728" s="2"/>
    </row>
    <row r="729" spans="5:44" ht="14.45" customHeight="1" x14ac:dyDescent="0.25">
      <c r="E729" s="2"/>
      <c r="F729" s="125"/>
      <c r="G729" s="2"/>
      <c r="H729" s="2" t="s">
        <v>32</v>
      </c>
      <c r="I729" t="s">
        <v>72</v>
      </c>
      <c r="J729" s="32" t="s">
        <v>70</v>
      </c>
      <c r="K729" s="2"/>
      <c r="L729" t="s">
        <v>72</v>
      </c>
      <c r="M729" s="32" t="s">
        <v>70</v>
      </c>
      <c r="N729" s="2"/>
      <c r="O729" s="3"/>
      <c r="P729" s="2" t="s">
        <v>32</v>
      </c>
      <c r="Q729" t="s">
        <v>66</v>
      </c>
      <c r="R729" s="32" t="s">
        <v>67</v>
      </c>
      <c r="S729" s="2"/>
      <c r="T729" t="s">
        <v>66</v>
      </c>
      <c r="U729" s="32" t="s">
        <v>67</v>
      </c>
      <c r="V729" s="2"/>
      <c r="W729" s="3"/>
      <c r="X729" s="2" t="s">
        <v>32</v>
      </c>
      <c r="Z729" s="32"/>
      <c r="AA729" s="2"/>
      <c r="AC729" s="32"/>
      <c r="AD729" s="2"/>
      <c r="AE729" s="3"/>
      <c r="AF729" s="2" t="s">
        <v>32</v>
      </c>
      <c r="AG729" t="s">
        <v>66</v>
      </c>
      <c r="AH729" s="32" t="s">
        <v>67</v>
      </c>
      <c r="AI729" s="2"/>
      <c r="AJ729" t="s">
        <v>66</v>
      </c>
      <c r="AK729" s="32" t="s">
        <v>67</v>
      </c>
      <c r="AL729" s="3"/>
      <c r="AM729" s="2"/>
      <c r="AN729" s="2"/>
      <c r="AO729" s="2"/>
      <c r="AP729" s="2"/>
      <c r="AQ729" s="2"/>
      <c r="AR729" s="2"/>
    </row>
    <row r="730" spans="5:44" ht="14.45" customHeight="1" x14ac:dyDescent="0.25">
      <c r="E730" s="2"/>
      <c r="F730" s="125"/>
      <c r="G730" s="2"/>
      <c r="H730" s="2"/>
      <c r="I730" s="2"/>
      <c r="J730" s="2"/>
      <c r="K730" s="2"/>
      <c r="L730" s="2"/>
      <c r="M730" s="2"/>
      <c r="N730" s="2"/>
      <c r="O730" s="3"/>
      <c r="P730" s="2"/>
      <c r="Q730" s="2"/>
      <c r="R730" s="2"/>
      <c r="S730" s="2"/>
      <c r="T730" s="2"/>
      <c r="U730" s="2"/>
      <c r="V730" s="2"/>
      <c r="W730" s="3"/>
      <c r="X730" s="2"/>
      <c r="Y730" s="2"/>
      <c r="Z730" s="2"/>
      <c r="AA730" s="2"/>
      <c r="AB730" s="2"/>
      <c r="AC730" s="2"/>
      <c r="AD730" s="2"/>
      <c r="AE730" s="3"/>
      <c r="AF730" s="2"/>
      <c r="AG730" s="2"/>
      <c r="AH730" s="2"/>
      <c r="AI730" s="2"/>
      <c r="AJ730" s="2"/>
      <c r="AK730" s="2"/>
      <c r="AL730" s="3"/>
      <c r="AM730" s="2"/>
      <c r="AN730" s="2"/>
      <c r="AO730" s="2"/>
      <c r="AP730" s="2"/>
      <c r="AQ730" s="2"/>
      <c r="AR730" s="2"/>
    </row>
    <row r="731" spans="5:44" ht="14.45" customHeight="1" x14ac:dyDescent="0.25">
      <c r="E731" s="2"/>
      <c r="F731" s="125"/>
      <c r="G731" s="2"/>
      <c r="H731" s="2"/>
      <c r="I731" s="36">
        <v>3707</v>
      </c>
      <c r="J731" s="36"/>
      <c r="K731" s="36"/>
      <c r="L731" s="36" t="s">
        <v>63</v>
      </c>
      <c r="M731" s="36"/>
      <c r="N731" s="2"/>
      <c r="O731" s="3"/>
      <c r="P731" s="2"/>
      <c r="Q731" s="25">
        <v>5275</v>
      </c>
      <c r="R731" s="25"/>
      <c r="S731" s="25"/>
      <c r="T731" s="25" t="s">
        <v>63</v>
      </c>
      <c r="U731" s="3"/>
      <c r="V731" s="2"/>
      <c r="W731" s="3"/>
      <c r="X731" s="2"/>
      <c r="Y731" s="2"/>
      <c r="Z731" s="2"/>
      <c r="AA731" s="2"/>
      <c r="AB731" s="2"/>
      <c r="AC731" s="2"/>
      <c r="AD731" s="2"/>
      <c r="AE731" s="3"/>
      <c r="AF731" s="2"/>
      <c r="AG731" s="36">
        <v>1848</v>
      </c>
      <c r="AH731" s="36"/>
      <c r="AI731" s="36"/>
      <c r="AJ731" s="36" t="s">
        <v>63</v>
      </c>
      <c r="AK731" s="37"/>
      <c r="AL731" s="3"/>
      <c r="AM731" s="2"/>
      <c r="AN731" s="2"/>
      <c r="AO731" s="2"/>
      <c r="AP731" s="2"/>
      <c r="AQ731" s="2"/>
      <c r="AR731" s="2"/>
    </row>
    <row r="732" spans="5:44" ht="14.45" customHeight="1" x14ac:dyDescent="0.25">
      <c r="E732" s="2"/>
      <c r="F732" s="125"/>
      <c r="G732" s="2"/>
      <c r="H732" s="2"/>
      <c r="I732" s="26" t="s">
        <v>4</v>
      </c>
      <c r="J732" s="26"/>
      <c r="K732" s="26"/>
      <c r="L732" s="26" t="s">
        <v>5</v>
      </c>
      <c r="M732" s="26"/>
      <c r="N732" s="2"/>
      <c r="O732" s="3"/>
      <c r="P732" s="2"/>
      <c r="Q732" s="26" t="s">
        <v>4</v>
      </c>
      <c r="R732" s="26"/>
      <c r="S732" s="26"/>
      <c r="T732" s="26" t="s">
        <v>5</v>
      </c>
      <c r="U732" s="26"/>
      <c r="V732" s="2"/>
      <c r="W732" s="3"/>
      <c r="X732" s="2"/>
      <c r="Y732" s="2"/>
      <c r="Z732" s="2"/>
      <c r="AA732" s="2"/>
      <c r="AB732" s="2"/>
      <c r="AC732" s="2"/>
      <c r="AD732" s="2"/>
      <c r="AE732" s="3"/>
      <c r="AF732" s="2"/>
      <c r="AG732" s="26" t="s">
        <v>4</v>
      </c>
      <c r="AH732" s="26"/>
      <c r="AI732" s="26"/>
      <c r="AJ732" s="26"/>
      <c r="AK732" s="26" t="s">
        <v>84</v>
      </c>
      <c r="AL732" s="3"/>
      <c r="AM732" s="2"/>
      <c r="AN732" s="2"/>
      <c r="AO732" s="2"/>
      <c r="AP732" s="2"/>
      <c r="AQ732" s="2"/>
      <c r="AR732" s="2"/>
    </row>
    <row r="733" spans="5:44" ht="14.45" customHeight="1" x14ac:dyDescent="0.25">
      <c r="E733" s="2"/>
      <c r="F733" s="125"/>
      <c r="G733" s="2"/>
      <c r="H733" s="2"/>
      <c r="I733" s="27">
        <v>3707</v>
      </c>
      <c r="J733" s="27" t="s">
        <v>7</v>
      </c>
      <c r="K733" s="2"/>
      <c r="L733" s="27">
        <v>3707</v>
      </c>
      <c r="M733" s="27" t="s">
        <v>7</v>
      </c>
      <c r="N733" s="2"/>
      <c r="O733" s="3"/>
      <c r="P733" s="2"/>
      <c r="Q733" s="27">
        <v>5275</v>
      </c>
      <c r="R733" s="27" t="s">
        <v>7</v>
      </c>
      <c r="S733" s="2"/>
      <c r="T733" s="27">
        <v>5275</v>
      </c>
      <c r="U733" s="27" t="s">
        <v>7</v>
      </c>
      <c r="V733" s="2"/>
      <c r="W733" s="3"/>
      <c r="X733" s="2"/>
      <c r="Y733" s="2"/>
      <c r="Z733" s="2"/>
      <c r="AA733" s="2"/>
      <c r="AB733" s="2"/>
      <c r="AC733" s="2"/>
      <c r="AD733" s="2"/>
      <c r="AE733" s="3"/>
      <c r="AF733" s="2"/>
      <c r="AG733" s="27">
        <v>1848</v>
      </c>
      <c r="AH733" s="27" t="s">
        <v>7</v>
      </c>
      <c r="AI733" s="29"/>
      <c r="AJ733" s="27">
        <v>1848</v>
      </c>
      <c r="AK733" s="27" t="s">
        <v>7</v>
      </c>
      <c r="AL733" s="3"/>
      <c r="AM733" s="2"/>
      <c r="AN733" s="2"/>
      <c r="AO733" s="2"/>
      <c r="AP733" s="2"/>
      <c r="AQ733" s="2"/>
      <c r="AR733" s="2"/>
    </row>
    <row r="734" spans="5:44" ht="14.45" customHeight="1" x14ac:dyDescent="0.25">
      <c r="E734" s="2"/>
      <c r="F734" s="125"/>
      <c r="G734" s="2"/>
      <c r="H734" s="2" t="s">
        <v>12</v>
      </c>
      <c r="I734" t="s">
        <v>66</v>
      </c>
      <c r="J734" s="32" t="s">
        <v>67</v>
      </c>
      <c r="K734" s="2"/>
      <c r="L734" t="s">
        <v>66</v>
      </c>
      <c r="M734" s="32" t="s">
        <v>67</v>
      </c>
      <c r="N734" s="2"/>
      <c r="O734" s="3"/>
      <c r="P734" s="2" t="s">
        <v>12</v>
      </c>
      <c r="Q734" t="s">
        <v>66</v>
      </c>
      <c r="R734" s="32" t="s">
        <v>67</v>
      </c>
      <c r="S734" s="2"/>
      <c r="T734" t="s">
        <v>66</v>
      </c>
      <c r="U734" s="32" t="s">
        <v>67</v>
      </c>
      <c r="V734" s="2"/>
      <c r="W734" s="3"/>
      <c r="X734" s="2"/>
      <c r="Y734" s="2"/>
      <c r="Z734" s="2"/>
      <c r="AA734" s="2"/>
      <c r="AB734" s="2"/>
      <c r="AC734" s="2"/>
      <c r="AD734" s="2"/>
      <c r="AE734" s="3"/>
      <c r="AF734" s="2" t="s">
        <v>12</v>
      </c>
      <c r="AG734" s="15" t="s">
        <v>50</v>
      </c>
      <c r="AH734" s="32" t="s">
        <v>70</v>
      </c>
      <c r="AI734" s="2"/>
      <c r="AJ734" s="15" t="s">
        <v>50</v>
      </c>
      <c r="AK734" s="32" t="s">
        <v>70</v>
      </c>
      <c r="AL734" s="3"/>
      <c r="AM734" s="2"/>
      <c r="AN734" s="2"/>
      <c r="AO734" s="2"/>
      <c r="AP734" s="2"/>
      <c r="AQ734" s="2"/>
      <c r="AR734" s="2"/>
    </row>
    <row r="735" spans="5:44" ht="14.45" customHeight="1" x14ac:dyDescent="0.25">
      <c r="E735" s="2"/>
      <c r="F735" s="125"/>
      <c r="G735" s="2"/>
      <c r="H735" s="2" t="s">
        <v>20</v>
      </c>
      <c r="I735" t="s">
        <v>66</v>
      </c>
      <c r="J735" s="32" t="s">
        <v>67</v>
      </c>
      <c r="K735" s="2"/>
      <c r="L735" t="s">
        <v>66</v>
      </c>
      <c r="M735" s="32" t="s">
        <v>67</v>
      </c>
      <c r="N735" s="2"/>
      <c r="O735" s="3"/>
      <c r="P735" s="2" t="s">
        <v>20</v>
      </c>
      <c r="Q735" t="s">
        <v>66</v>
      </c>
      <c r="R735" s="32" t="s">
        <v>67</v>
      </c>
      <c r="S735" s="2"/>
      <c r="T735" t="s">
        <v>66</v>
      </c>
      <c r="U735" s="32" t="s">
        <v>67</v>
      </c>
      <c r="V735" s="2"/>
      <c r="W735" s="3"/>
      <c r="X735" s="2"/>
      <c r="Y735" s="2"/>
      <c r="Z735" s="2"/>
      <c r="AA735" s="2"/>
      <c r="AB735" s="2"/>
      <c r="AC735" s="2"/>
      <c r="AD735" s="2"/>
      <c r="AE735" s="3"/>
      <c r="AF735" s="2" t="s">
        <v>20</v>
      </c>
      <c r="AG735" s="15" t="s">
        <v>50</v>
      </c>
      <c r="AH735" s="32" t="s">
        <v>70</v>
      </c>
      <c r="AI735" s="2"/>
      <c r="AJ735" s="15" t="s">
        <v>50</v>
      </c>
      <c r="AK735" s="32" t="s">
        <v>70</v>
      </c>
      <c r="AL735" s="3"/>
      <c r="AM735" s="2"/>
      <c r="AN735" s="2"/>
      <c r="AO735" s="2"/>
      <c r="AP735" s="2"/>
      <c r="AQ735" s="2"/>
      <c r="AR735" s="2"/>
    </row>
    <row r="736" spans="5:44" ht="14.45" customHeight="1" x14ac:dyDescent="0.25">
      <c r="E736" s="2"/>
      <c r="F736" s="125"/>
      <c r="G736" s="2"/>
      <c r="H736" s="2" t="s">
        <v>24</v>
      </c>
      <c r="I736" t="s">
        <v>66</v>
      </c>
      <c r="J736" s="32" t="s">
        <v>67</v>
      </c>
      <c r="K736" s="2"/>
      <c r="L736" t="s">
        <v>66</v>
      </c>
      <c r="M736" s="32" t="s">
        <v>67</v>
      </c>
      <c r="N736" s="2"/>
      <c r="O736" s="3"/>
      <c r="P736" s="2" t="s">
        <v>24</v>
      </c>
      <c r="Q736" t="s">
        <v>66</v>
      </c>
      <c r="R736" s="32" t="s">
        <v>67</v>
      </c>
      <c r="S736" s="2"/>
      <c r="T736" t="s">
        <v>66</v>
      </c>
      <c r="U736" s="32" t="s">
        <v>67</v>
      </c>
      <c r="V736" s="2"/>
      <c r="W736" s="3"/>
      <c r="X736" s="2"/>
      <c r="Y736" s="2"/>
      <c r="Z736" s="2"/>
      <c r="AA736" s="2"/>
      <c r="AB736" s="2"/>
      <c r="AC736" s="2"/>
      <c r="AD736" s="2"/>
      <c r="AE736" s="3"/>
      <c r="AF736" s="2" t="s">
        <v>24</v>
      </c>
      <c r="AG736" s="15" t="s">
        <v>50</v>
      </c>
      <c r="AH736" s="32" t="s">
        <v>70</v>
      </c>
      <c r="AI736" s="2"/>
      <c r="AJ736" s="15" t="s">
        <v>50</v>
      </c>
      <c r="AK736" s="32" t="s">
        <v>70</v>
      </c>
      <c r="AL736" s="3"/>
      <c r="AM736" s="2"/>
      <c r="AN736" s="2"/>
      <c r="AO736" s="2"/>
      <c r="AP736" s="2"/>
      <c r="AQ736" s="2"/>
      <c r="AR736" s="2"/>
    </row>
    <row r="737" spans="5:44" ht="14.45" customHeight="1" x14ac:dyDescent="0.25">
      <c r="E737" s="2"/>
      <c r="F737" s="125"/>
      <c r="G737" s="2"/>
      <c r="H737" s="2" t="s">
        <v>28</v>
      </c>
      <c r="I737" t="s">
        <v>66</v>
      </c>
      <c r="J737" s="32" t="s">
        <v>67</v>
      </c>
      <c r="K737" s="2"/>
      <c r="L737" t="s">
        <v>66</v>
      </c>
      <c r="M737" s="32" t="s">
        <v>67</v>
      </c>
      <c r="N737" s="2"/>
      <c r="O737" s="3"/>
      <c r="P737" s="2" t="s">
        <v>28</v>
      </c>
      <c r="Q737" t="s">
        <v>66</v>
      </c>
      <c r="R737" s="32" t="s">
        <v>67</v>
      </c>
      <c r="S737" s="2"/>
      <c r="T737" t="s">
        <v>66</v>
      </c>
      <c r="U737" s="32" t="s">
        <v>67</v>
      </c>
      <c r="V737" s="2"/>
      <c r="W737" s="3"/>
      <c r="X737" s="2"/>
      <c r="Y737" s="2"/>
      <c r="Z737" s="2"/>
      <c r="AA737" s="2"/>
      <c r="AB737" s="2"/>
      <c r="AC737" s="2"/>
      <c r="AD737" s="2"/>
      <c r="AE737" s="3"/>
      <c r="AF737" s="2" t="s">
        <v>28</v>
      </c>
      <c r="AG737" s="15" t="s">
        <v>50</v>
      </c>
      <c r="AH737" s="32" t="s">
        <v>70</v>
      </c>
      <c r="AI737" s="2"/>
      <c r="AJ737" s="15" t="s">
        <v>50</v>
      </c>
      <c r="AK737" s="32" t="s">
        <v>70</v>
      </c>
      <c r="AL737" s="3"/>
      <c r="AM737" s="2"/>
      <c r="AN737" s="2"/>
      <c r="AO737" s="2"/>
      <c r="AP737" s="2"/>
      <c r="AQ737" s="2"/>
      <c r="AR737" s="2"/>
    </row>
    <row r="738" spans="5:44" ht="14.45" customHeight="1" x14ac:dyDescent="0.25">
      <c r="E738" s="2"/>
      <c r="F738" s="125"/>
      <c r="G738" s="2"/>
      <c r="H738" s="2" t="s">
        <v>32</v>
      </c>
      <c r="I738" t="s">
        <v>66</v>
      </c>
      <c r="J738" s="32" t="s">
        <v>67</v>
      </c>
      <c r="K738" s="2"/>
      <c r="L738" t="s">
        <v>66</v>
      </c>
      <c r="M738" s="32" t="s">
        <v>67</v>
      </c>
      <c r="N738" s="2"/>
      <c r="O738" s="3"/>
      <c r="P738" s="2" t="s">
        <v>32</v>
      </c>
      <c r="Q738" t="s">
        <v>66</v>
      </c>
      <c r="R738" s="32" t="s">
        <v>67</v>
      </c>
      <c r="S738" s="2"/>
      <c r="T738" t="s">
        <v>66</v>
      </c>
      <c r="U738" s="32" t="s">
        <v>67</v>
      </c>
      <c r="V738" s="2"/>
      <c r="W738" s="3"/>
      <c r="X738" s="2"/>
      <c r="Y738" s="2"/>
      <c r="Z738" s="2"/>
      <c r="AA738" s="2"/>
      <c r="AB738" s="2"/>
      <c r="AC738" s="2"/>
      <c r="AD738" s="2"/>
      <c r="AE738" s="3"/>
      <c r="AF738" s="2" t="s">
        <v>32</v>
      </c>
      <c r="AG738" s="15" t="s">
        <v>50</v>
      </c>
      <c r="AH738" s="32" t="s">
        <v>70</v>
      </c>
      <c r="AI738" s="2"/>
      <c r="AJ738" s="15" t="s">
        <v>50</v>
      </c>
      <c r="AK738" s="32" t="s">
        <v>70</v>
      </c>
      <c r="AL738" s="3"/>
      <c r="AM738" s="2"/>
      <c r="AN738" s="2"/>
      <c r="AO738" s="2"/>
      <c r="AP738" s="2"/>
      <c r="AQ738" s="2"/>
      <c r="AR738" s="2"/>
    </row>
    <row r="739" spans="5:44" ht="14.45" customHeight="1" x14ac:dyDescent="0.25">
      <c r="E739" s="2"/>
      <c r="F739" s="125"/>
      <c r="G739" s="2"/>
      <c r="H739" s="2"/>
      <c r="I739" s="2"/>
      <c r="J739" s="2"/>
      <c r="K739" s="2"/>
      <c r="L739" s="2"/>
      <c r="M739" s="2"/>
      <c r="N739" s="2"/>
      <c r="O739" s="3"/>
      <c r="P739" s="2"/>
      <c r="Q739" s="2"/>
      <c r="R739" s="2"/>
      <c r="S739" s="2"/>
      <c r="T739" s="2"/>
      <c r="U739" s="2"/>
      <c r="V739" s="2"/>
      <c r="W739" s="3"/>
      <c r="X739" s="2"/>
      <c r="Y739" s="2"/>
      <c r="Z739" s="2"/>
      <c r="AA739" s="2"/>
      <c r="AB739" s="2"/>
      <c r="AC739" s="2"/>
      <c r="AD739" s="2"/>
      <c r="AE739" s="3"/>
      <c r="AF739" s="2"/>
      <c r="AG739" s="2"/>
      <c r="AH739" s="2"/>
      <c r="AI739" s="2"/>
      <c r="AJ739" s="2"/>
      <c r="AK739" s="2"/>
      <c r="AL739" s="3"/>
      <c r="AM739" s="2"/>
      <c r="AN739" s="2"/>
      <c r="AO739" s="2"/>
      <c r="AP739" s="2"/>
      <c r="AQ739" s="2"/>
      <c r="AR739" s="2"/>
    </row>
    <row r="740" spans="5:44" ht="14.45" customHeight="1" x14ac:dyDescent="0.25">
      <c r="E740" s="2"/>
      <c r="F740" s="125"/>
      <c r="G740" s="2"/>
      <c r="H740" s="2"/>
      <c r="I740" s="2"/>
      <c r="J740" s="2"/>
      <c r="K740" s="2"/>
      <c r="L740" s="2"/>
      <c r="M740" s="2"/>
      <c r="N740" s="2"/>
      <c r="O740" s="3"/>
      <c r="P740" s="2"/>
      <c r="Q740" s="2"/>
      <c r="R740" s="2"/>
      <c r="S740" s="2"/>
      <c r="T740" s="2"/>
      <c r="U740" s="2"/>
      <c r="V740" s="2"/>
      <c r="W740" s="3"/>
      <c r="X740" s="2"/>
      <c r="Y740" s="2"/>
      <c r="Z740" s="2"/>
      <c r="AA740" s="2"/>
      <c r="AB740" s="2"/>
      <c r="AC740" s="2"/>
      <c r="AD740" s="2"/>
      <c r="AE740" s="3"/>
      <c r="AF740" s="2"/>
      <c r="AG740" s="36" t="s">
        <v>85</v>
      </c>
      <c r="AH740" s="36"/>
      <c r="AI740" s="36"/>
      <c r="AJ740" s="36" t="s">
        <v>63</v>
      </c>
      <c r="AK740" s="37"/>
      <c r="AL740" s="3"/>
      <c r="AM740" s="2"/>
      <c r="AN740" s="2"/>
      <c r="AO740" s="2"/>
      <c r="AP740" s="2"/>
      <c r="AQ740" s="2"/>
      <c r="AR740" s="2"/>
    </row>
    <row r="741" spans="5:44" ht="14.45" customHeight="1" x14ac:dyDescent="0.25">
      <c r="E741" s="2"/>
      <c r="F741" s="125"/>
      <c r="G741" s="2"/>
      <c r="H741" s="2"/>
      <c r="I741" s="2"/>
      <c r="J741" s="2"/>
      <c r="K741" s="2"/>
      <c r="L741" s="2"/>
      <c r="M741" s="2"/>
      <c r="N741" s="2"/>
      <c r="O741" s="3"/>
      <c r="P741" s="2"/>
      <c r="Q741" s="2"/>
      <c r="R741" s="2"/>
      <c r="S741" s="2"/>
      <c r="T741" s="2"/>
      <c r="U741" s="2"/>
      <c r="V741" s="2"/>
      <c r="W741" s="3"/>
      <c r="X741" s="2"/>
      <c r="Y741" s="2"/>
      <c r="Z741" s="2"/>
      <c r="AA741" s="2"/>
      <c r="AB741" s="2"/>
      <c r="AC741" s="2"/>
      <c r="AD741" s="2"/>
      <c r="AE741" s="3"/>
      <c r="AF741" s="2"/>
      <c r="AG741" s="26" t="s">
        <v>4</v>
      </c>
      <c r="AH741" s="26"/>
      <c r="AI741" s="26"/>
      <c r="AJ741" s="26" t="s">
        <v>5</v>
      </c>
      <c r="AK741" s="26"/>
      <c r="AL741" s="3"/>
      <c r="AM741" s="2"/>
      <c r="AN741" s="2"/>
      <c r="AO741" s="2"/>
      <c r="AP741" s="2"/>
      <c r="AQ741" s="2"/>
      <c r="AR741" s="2"/>
    </row>
    <row r="742" spans="5:44" ht="14.45" customHeight="1" x14ac:dyDescent="0.25">
      <c r="E742" s="2"/>
      <c r="F742" s="125"/>
      <c r="G742" s="2"/>
      <c r="H742" s="2"/>
      <c r="I742" s="2"/>
      <c r="J742" s="2"/>
      <c r="K742" s="2"/>
      <c r="L742" s="2"/>
      <c r="M742" s="2"/>
      <c r="N742" s="2"/>
      <c r="O742" s="3"/>
      <c r="P742" s="2"/>
      <c r="Q742" s="2"/>
      <c r="R742" s="2"/>
      <c r="S742" s="2"/>
      <c r="T742" s="2"/>
      <c r="U742" s="2"/>
      <c r="V742" s="2"/>
      <c r="W742" s="3"/>
      <c r="X742" s="2"/>
      <c r="Y742" s="2"/>
      <c r="Z742" s="2"/>
      <c r="AA742" s="2"/>
      <c r="AB742" s="2"/>
      <c r="AC742" s="2"/>
      <c r="AD742" s="2"/>
      <c r="AE742" s="3"/>
      <c r="AF742" s="2"/>
      <c r="AG742" s="27" t="s">
        <v>85</v>
      </c>
      <c r="AH742" s="27" t="s">
        <v>7</v>
      </c>
      <c r="AI742" s="29"/>
      <c r="AJ742" s="27" t="s">
        <v>85</v>
      </c>
      <c r="AK742" s="27" t="s">
        <v>7</v>
      </c>
      <c r="AL742" s="3"/>
      <c r="AM742" s="2"/>
      <c r="AN742" s="2"/>
      <c r="AO742" s="2"/>
      <c r="AP742" s="2"/>
      <c r="AQ742" s="2"/>
      <c r="AR742" s="2"/>
    </row>
    <row r="743" spans="5:44" ht="14.45" customHeight="1" x14ac:dyDescent="0.25">
      <c r="E743" s="2"/>
      <c r="F743" s="125"/>
      <c r="G743" s="2"/>
      <c r="H743" s="2" t="s">
        <v>12</v>
      </c>
      <c r="I743" s="2"/>
      <c r="J743" s="2"/>
      <c r="K743" s="2"/>
      <c r="L743" s="2"/>
      <c r="M743" s="2"/>
      <c r="N743" s="2"/>
      <c r="O743" s="3"/>
      <c r="P743" s="2"/>
      <c r="Q743" s="2"/>
      <c r="R743" s="2"/>
      <c r="S743" s="2"/>
      <c r="T743" s="2"/>
      <c r="U743" s="2"/>
      <c r="V743" s="2"/>
      <c r="W743" s="3"/>
      <c r="X743" s="2"/>
      <c r="Y743" s="2"/>
      <c r="Z743" s="2"/>
      <c r="AA743" s="2"/>
      <c r="AB743" s="2"/>
      <c r="AC743" s="2"/>
      <c r="AD743" s="2"/>
      <c r="AE743" s="3"/>
      <c r="AF743" s="2" t="s">
        <v>12</v>
      </c>
      <c r="AG743" t="s">
        <v>66</v>
      </c>
      <c r="AH743" s="32" t="s">
        <v>79</v>
      </c>
      <c r="AI743" s="2"/>
      <c r="AJ743" t="s">
        <v>66</v>
      </c>
      <c r="AK743" s="32" t="s">
        <v>79</v>
      </c>
      <c r="AL743" s="3"/>
      <c r="AM743" s="2"/>
      <c r="AN743" s="2"/>
      <c r="AO743" s="2"/>
      <c r="AP743" s="2"/>
      <c r="AQ743" s="2"/>
      <c r="AR743" s="2"/>
    </row>
    <row r="744" spans="5:44" ht="14.45" customHeight="1" x14ac:dyDescent="0.25">
      <c r="E744" s="2"/>
      <c r="F744" s="125"/>
      <c r="G744" s="2"/>
      <c r="H744" s="2" t="s">
        <v>20</v>
      </c>
      <c r="I744" s="2"/>
      <c r="J744" s="2"/>
      <c r="K744" s="2"/>
      <c r="L744" s="2"/>
      <c r="M744" s="2"/>
      <c r="N744" s="2"/>
      <c r="O744" s="3"/>
      <c r="P744" s="2"/>
      <c r="Q744" s="2"/>
      <c r="R744" s="2"/>
      <c r="S744" s="2"/>
      <c r="T744" s="2"/>
      <c r="U744" s="2"/>
      <c r="V744" s="2"/>
      <c r="W744" s="3"/>
      <c r="X744" s="2"/>
      <c r="Y744" s="2"/>
      <c r="Z744" s="2"/>
      <c r="AA744" s="2"/>
      <c r="AB744" s="2"/>
      <c r="AC744" s="2"/>
      <c r="AD744" s="2"/>
      <c r="AE744" s="3"/>
      <c r="AF744" s="2" t="s">
        <v>20</v>
      </c>
      <c r="AG744" s="2" t="s">
        <v>59</v>
      </c>
      <c r="AH744" s="32" t="s">
        <v>70</v>
      </c>
      <c r="AI744" s="2"/>
      <c r="AJ744" s="2" t="s">
        <v>59</v>
      </c>
      <c r="AK744" s="32" t="s">
        <v>70</v>
      </c>
      <c r="AL744" s="3"/>
      <c r="AM744" s="2"/>
      <c r="AN744" s="2"/>
      <c r="AO744" s="2"/>
      <c r="AP744" s="2"/>
      <c r="AQ744" s="2"/>
      <c r="AR744" s="2"/>
    </row>
    <row r="745" spans="5:44" ht="14.45" customHeight="1" x14ac:dyDescent="0.25">
      <c r="E745" s="2"/>
      <c r="F745" s="125"/>
      <c r="G745" s="2"/>
      <c r="H745" s="2" t="s">
        <v>24</v>
      </c>
      <c r="I745" s="2"/>
      <c r="J745" s="2"/>
      <c r="K745" s="2"/>
      <c r="L745" s="2"/>
      <c r="M745" s="2"/>
      <c r="N745" s="2"/>
      <c r="O745" s="3"/>
      <c r="P745" s="2"/>
      <c r="Q745" s="2"/>
      <c r="R745" s="2"/>
      <c r="S745" s="2"/>
      <c r="T745" s="2"/>
      <c r="U745" s="2"/>
      <c r="V745" s="2"/>
      <c r="W745" s="3"/>
      <c r="X745" s="2"/>
      <c r="Y745" s="2"/>
      <c r="Z745" s="2"/>
      <c r="AA745" s="2"/>
      <c r="AB745" s="2"/>
      <c r="AC745" s="2"/>
      <c r="AD745" s="2"/>
      <c r="AE745" s="3"/>
      <c r="AF745" s="2" t="s">
        <v>24</v>
      </c>
      <c r="AG745" s="2" t="s">
        <v>61</v>
      </c>
      <c r="AH745" s="32" t="s">
        <v>70</v>
      </c>
      <c r="AI745" s="2"/>
      <c r="AJ745" s="2" t="s">
        <v>61</v>
      </c>
      <c r="AK745" s="32" t="s">
        <v>70</v>
      </c>
      <c r="AL745" s="3"/>
      <c r="AM745" s="2"/>
      <c r="AN745" s="2"/>
      <c r="AO745" s="2"/>
      <c r="AP745" s="2"/>
      <c r="AQ745" s="2"/>
      <c r="AR745" s="2"/>
    </row>
    <row r="746" spans="5:44" ht="14.45" customHeight="1" x14ac:dyDescent="0.25">
      <c r="E746" s="2"/>
      <c r="F746" s="125"/>
      <c r="G746" s="2"/>
      <c r="H746" s="2" t="s">
        <v>28</v>
      </c>
      <c r="I746" s="2"/>
      <c r="J746" s="2"/>
      <c r="K746" s="2"/>
      <c r="L746" s="2"/>
      <c r="M746" s="2"/>
      <c r="N746" s="2"/>
      <c r="O746" s="3"/>
      <c r="P746" s="2"/>
      <c r="Q746" s="2"/>
      <c r="R746" s="2"/>
      <c r="S746" s="2"/>
      <c r="T746" s="2"/>
      <c r="U746" s="2"/>
      <c r="V746" s="2"/>
      <c r="W746" s="3"/>
      <c r="X746" s="2"/>
      <c r="Y746" s="2"/>
      <c r="Z746" s="2"/>
      <c r="AA746" s="2"/>
      <c r="AB746" s="2"/>
      <c r="AC746" s="2"/>
      <c r="AD746" s="2"/>
      <c r="AE746" s="3"/>
      <c r="AF746" s="2" t="s">
        <v>28</v>
      </c>
      <c r="AG746" s="2" t="s">
        <v>61</v>
      </c>
      <c r="AH746" s="32" t="s">
        <v>70</v>
      </c>
      <c r="AI746" s="2"/>
      <c r="AJ746" s="2" t="s">
        <v>61</v>
      </c>
      <c r="AK746" s="32" t="s">
        <v>70</v>
      </c>
      <c r="AL746" s="3"/>
      <c r="AM746" s="2"/>
      <c r="AN746" s="2"/>
      <c r="AO746" s="2"/>
      <c r="AP746" s="2"/>
      <c r="AQ746" s="2"/>
      <c r="AR746" s="2"/>
    </row>
    <row r="747" spans="5:44" ht="14.45" customHeight="1" x14ac:dyDescent="0.25">
      <c r="E747" s="2"/>
      <c r="F747" s="125"/>
      <c r="G747" s="2"/>
      <c r="H747" s="2" t="s">
        <v>32</v>
      </c>
      <c r="I747" s="2"/>
      <c r="J747" s="2"/>
      <c r="K747" s="2"/>
      <c r="L747" s="2"/>
      <c r="M747" s="2"/>
      <c r="N747" s="2"/>
      <c r="O747" s="3"/>
      <c r="P747" s="2"/>
      <c r="Q747" s="2"/>
      <c r="R747" s="2"/>
      <c r="S747" s="2"/>
      <c r="T747" s="2"/>
      <c r="U747" s="2"/>
      <c r="V747" s="2"/>
      <c r="W747" s="3"/>
      <c r="X747" s="2"/>
      <c r="Y747" s="2"/>
      <c r="Z747" s="2"/>
      <c r="AA747" s="2"/>
      <c r="AB747" s="2"/>
      <c r="AC747" s="2"/>
      <c r="AD747" s="2"/>
      <c r="AE747" s="3"/>
      <c r="AF747" s="2" t="s">
        <v>32</v>
      </c>
      <c r="AG747" s="2" t="s">
        <v>61</v>
      </c>
      <c r="AH747" s="32" t="s">
        <v>70</v>
      </c>
      <c r="AI747" s="2"/>
      <c r="AJ747" s="2" t="s">
        <v>61</v>
      </c>
      <c r="AK747" s="32" t="s">
        <v>70</v>
      </c>
      <c r="AL747" s="3"/>
      <c r="AM747" s="2"/>
      <c r="AN747" s="2"/>
      <c r="AO747" s="2"/>
      <c r="AP747" s="2"/>
      <c r="AQ747" s="2"/>
      <c r="AR747" s="2"/>
    </row>
    <row r="748" spans="5:44" ht="14.45" customHeight="1" x14ac:dyDescent="0.25">
      <c r="E748" s="2"/>
      <c r="F748" s="125"/>
      <c r="G748" s="2"/>
      <c r="H748" s="2"/>
      <c r="I748" s="2"/>
      <c r="J748" s="2"/>
      <c r="K748" s="2"/>
      <c r="L748" s="2"/>
      <c r="M748" s="2"/>
      <c r="N748" s="2"/>
      <c r="O748" s="3"/>
      <c r="P748" s="2"/>
      <c r="Q748" s="2"/>
      <c r="R748" s="2"/>
      <c r="S748" s="2"/>
      <c r="T748" s="2"/>
      <c r="U748" s="2"/>
      <c r="V748" s="2"/>
      <c r="W748" s="3"/>
      <c r="X748" s="2"/>
      <c r="Y748" s="2"/>
      <c r="Z748" s="2"/>
      <c r="AA748" s="2"/>
      <c r="AB748" s="2"/>
      <c r="AC748" s="2"/>
      <c r="AD748" s="2"/>
      <c r="AE748" s="3"/>
      <c r="AF748" s="2"/>
      <c r="AG748" s="2"/>
      <c r="AH748" s="2"/>
      <c r="AI748" s="2"/>
      <c r="AJ748" s="2"/>
      <c r="AK748" s="2"/>
      <c r="AL748" s="3"/>
      <c r="AM748" s="2"/>
      <c r="AN748" s="2"/>
      <c r="AO748" s="2"/>
      <c r="AP748" s="2"/>
      <c r="AQ748" s="2"/>
      <c r="AR748" s="2"/>
    </row>
    <row r="749" spans="5:44" ht="14.45" customHeight="1" x14ac:dyDescent="0.25">
      <c r="E749" s="2"/>
      <c r="F749" s="125"/>
      <c r="G749" s="2"/>
      <c r="H749" s="2"/>
      <c r="I749" s="2"/>
      <c r="J749" s="2"/>
      <c r="K749" s="2"/>
      <c r="L749" s="2"/>
      <c r="M749" s="2"/>
      <c r="N749" s="2"/>
      <c r="O749" s="3"/>
      <c r="P749" s="2"/>
      <c r="Q749" s="2"/>
      <c r="R749" s="2"/>
      <c r="S749" s="2"/>
      <c r="T749" s="2"/>
      <c r="U749" s="2"/>
      <c r="V749" s="2"/>
      <c r="W749" s="3"/>
      <c r="X749" s="2"/>
      <c r="Y749" s="25">
        <v>1823</v>
      </c>
      <c r="Z749" s="25"/>
      <c r="AA749" s="25"/>
      <c r="AB749" s="25">
        <v>1823</v>
      </c>
      <c r="AC749" s="3"/>
      <c r="AD749" s="2"/>
      <c r="AE749" s="3"/>
      <c r="AF749" s="2"/>
      <c r="AG749" s="36">
        <v>1878</v>
      </c>
      <c r="AH749" s="36"/>
      <c r="AI749" s="36"/>
      <c r="AJ749" s="36" t="s">
        <v>63</v>
      </c>
      <c r="AK749" s="37"/>
      <c r="AL749" s="3"/>
      <c r="AM749" s="2"/>
      <c r="AN749" s="2"/>
      <c r="AO749" s="2"/>
      <c r="AP749" s="2"/>
      <c r="AQ749" s="2"/>
      <c r="AR749" s="2"/>
    </row>
    <row r="750" spans="5:44" ht="14.45" customHeight="1" x14ac:dyDescent="0.25">
      <c r="E750" s="2"/>
      <c r="F750" s="125"/>
      <c r="G750" s="2"/>
      <c r="H750" s="2"/>
      <c r="I750" s="2"/>
      <c r="J750" s="2"/>
      <c r="K750" s="2"/>
      <c r="L750" s="2"/>
      <c r="M750" s="2"/>
      <c r="N750" s="2"/>
      <c r="O750" s="3"/>
      <c r="P750" s="2"/>
      <c r="Q750" s="2"/>
      <c r="R750" s="2"/>
      <c r="S750" s="2"/>
      <c r="T750" s="2"/>
      <c r="U750" s="2"/>
      <c r="V750" s="2"/>
      <c r="W750" s="3"/>
      <c r="X750" s="2"/>
      <c r="Y750" s="26" t="s">
        <v>4</v>
      </c>
      <c r="Z750" s="26"/>
      <c r="AA750" s="26"/>
      <c r="AB750" s="26" t="s">
        <v>5</v>
      </c>
      <c r="AC750" s="26"/>
      <c r="AD750" s="26"/>
      <c r="AE750" s="3"/>
      <c r="AF750" s="2"/>
      <c r="AG750" s="26" t="s">
        <v>4</v>
      </c>
      <c r="AH750" s="26"/>
      <c r="AI750" s="26"/>
      <c r="AJ750" s="26" t="s">
        <v>5</v>
      </c>
      <c r="AK750" s="26"/>
      <c r="AL750" s="3"/>
      <c r="AM750" s="2"/>
      <c r="AN750" s="2"/>
      <c r="AO750" s="2"/>
      <c r="AP750" s="2"/>
      <c r="AQ750" s="2"/>
      <c r="AR750" s="2"/>
    </row>
    <row r="751" spans="5:44" ht="14.45" customHeight="1" x14ac:dyDescent="0.25">
      <c r="E751" s="2"/>
      <c r="F751" s="125"/>
      <c r="G751" s="2"/>
      <c r="H751" s="2"/>
      <c r="I751" s="2"/>
      <c r="J751" s="2"/>
      <c r="K751" s="2"/>
      <c r="L751" s="2"/>
      <c r="M751" s="2"/>
      <c r="N751" s="2"/>
      <c r="O751" s="3"/>
      <c r="P751" s="2"/>
      <c r="Q751" s="2"/>
      <c r="R751" s="2"/>
      <c r="S751" s="2"/>
      <c r="T751" s="2"/>
      <c r="U751" s="2"/>
      <c r="V751" s="2"/>
      <c r="W751" s="3"/>
      <c r="X751" s="2"/>
      <c r="Y751" s="27">
        <v>1823</v>
      </c>
      <c r="Z751" s="27" t="s">
        <v>7</v>
      </c>
      <c r="AA751" s="29"/>
      <c r="AB751" s="27">
        <v>1823</v>
      </c>
      <c r="AC751" s="27" t="s">
        <v>7</v>
      </c>
      <c r="AD751" s="28"/>
      <c r="AE751" s="3"/>
      <c r="AF751" s="2"/>
      <c r="AG751" s="27">
        <v>1878</v>
      </c>
      <c r="AH751" s="27" t="s">
        <v>7</v>
      </c>
      <c r="AI751" s="29"/>
      <c r="AJ751" s="27">
        <v>1878</v>
      </c>
      <c r="AK751" s="27" t="s">
        <v>7</v>
      </c>
      <c r="AL751" s="3"/>
      <c r="AM751" s="2"/>
      <c r="AN751" s="2"/>
      <c r="AO751" s="2"/>
      <c r="AP751" s="2"/>
      <c r="AQ751" s="2"/>
      <c r="AR751" s="2"/>
    </row>
    <row r="752" spans="5:44" ht="14.45" customHeight="1" x14ac:dyDescent="0.25">
      <c r="E752" s="2"/>
      <c r="F752" s="125"/>
      <c r="G752" s="2"/>
      <c r="H752" s="2" t="s">
        <v>12</v>
      </c>
      <c r="I752" s="2"/>
      <c r="J752" s="2"/>
      <c r="K752" s="2"/>
      <c r="L752" s="2"/>
      <c r="M752" s="2"/>
      <c r="N752" s="2"/>
      <c r="O752" s="3"/>
      <c r="P752" s="2"/>
      <c r="Q752" s="2"/>
      <c r="R752" s="2"/>
      <c r="S752" s="2"/>
      <c r="T752" s="2"/>
      <c r="U752" s="2"/>
      <c r="V752" s="2"/>
      <c r="W752" s="3"/>
      <c r="X752" s="2" t="s">
        <v>12</v>
      </c>
      <c r="Y752" s="34" t="s">
        <v>86</v>
      </c>
      <c r="Z752" s="32" t="s">
        <v>70</v>
      </c>
      <c r="AA752" s="2"/>
      <c r="AB752" s="34" t="s">
        <v>86</v>
      </c>
      <c r="AC752" s="32" t="s">
        <v>70</v>
      </c>
      <c r="AD752" s="2"/>
      <c r="AE752" s="3"/>
      <c r="AF752" s="2" t="s">
        <v>12</v>
      </c>
      <c r="AG752" t="s">
        <v>50</v>
      </c>
      <c r="AH752" s="32" t="s">
        <v>70</v>
      </c>
      <c r="AI752" s="2"/>
      <c r="AJ752" t="s">
        <v>50</v>
      </c>
      <c r="AK752" s="32" t="s">
        <v>70</v>
      </c>
      <c r="AL752" s="3"/>
      <c r="AM752" s="2"/>
      <c r="AN752" s="2"/>
      <c r="AO752" s="2"/>
      <c r="AP752" s="2"/>
      <c r="AQ752" s="2"/>
      <c r="AR752" s="2"/>
    </row>
    <row r="753" spans="5:44" ht="14.45" customHeight="1" x14ac:dyDescent="0.25">
      <c r="E753" s="2"/>
      <c r="F753" s="125"/>
      <c r="G753" s="2"/>
      <c r="H753" s="2" t="s">
        <v>20</v>
      </c>
      <c r="I753" s="2"/>
      <c r="J753" s="2"/>
      <c r="K753" s="2"/>
      <c r="L753" s="2"/>
      <c r="M753" s="2"/>
      <c r="N753" s="2"/>
      <c r="O753" s="3"/>
      <c r="P753" s="2"/>
      <c r="Q753" s="2"/>
      <c r="R753" s="2"/>
      <c r="S753" s="2"/>
      <c r="T753" s="2"/>
      <c r="U753" s="2"/>
      <c r="V753" s="2"/>
      <c r="W753" s="3"/>
      <c r="X753" s="2" t="s">
        <v>20</v>
      </c>
      <c r="Y753" s="34" t="s">
        <v>86</v>
      </c>
      <c r="Z753" s="32" t="s">
        <v>70</v>
      </c>
      <c r="AA753" s="2"/>
      <c r="AB753" s="34" t="s">
        <v>86</v>
      </c>
      <c r="AC753" s="32" t="s">
        <v>70</v>
      </c>
      <c r="AD753" s="2"/>
      <c r="AE753" s="3"/>
      <c r="AF753" s="2" t="s">
        <v>20</v>
      </c>
      <c r="AG753" t="s">
        <v>50</v>
      </c>
      <c r="AH753" s="32" t="s">
        <v>70</v>
      </c>
      <c r="AI753" s="2"/>
      <c r="AJ753" t="s">
        <v>50</v>
      </c>
      <c r="AK753" s="32" t="s">
        <v>70</v>
      </c>
      <c r="AL753" s="3"/>
      <c r="AM753" s="2"/>
      <c r="AN753" s="2"/>
      <c r="AO753" s="2"/>
      <c r="AP753" s="2"/>
      <c r="AQ753" s="2"/>
      <c r="AR753" s="2"/>
    </row>
    <row r="754" spans="5:44" ht="14.45" customHeight="1" x14ac:dyDescent="0.25">
      <c r="E754" s="2"/>
      <c r="F754" s="125"/>
      <c r="G754" s="2"/>
      <c r="H754" s="2" t="s">
        <v>24</v>
      </c>
      <c r="I754" s="2"/>
      <c r="J754" s="2"/>
      <c r="K754" s="2"/>
      <c r="L754" s="2"/>
      <c r="M754" s="2"/>
      <c r="N754" s="2"/>
      <c r="O754" s="3"/>
      <c r="P754" s="2"/>
      <c r="Q754" s="2"/>
      <c r="R754" s="2"/>
      <c r="S754" s="2"/>
      <c r="T754" s="2"/>
      <c r="U754" s="2"/>
      <c r="V754" s="2"/>
      <c r="W754" s="3"/>
      <c r="X754" s="2" t="s">
        <v>24</v>
      </c>
      <c r="Y754" s="34" t="s">
        <v>87</v>
      </c>
      <c r="Z754" s="32" t="s">
        <v>70</v>
      </c>
      <c r="AA754" s="2"/>
      <c r="AB754" s="34" t="s">
        <v>87</v>
      </c>
      <c r="AC754" s="32" t="s">
        <v>70</v>
      </c>
      <c r="AD754" s="2"/>
      <c r="AE754" s="3"/>
      <c r="AF754" s="2" t="s">
        <v>24</v>
      </c>
      <c r="AG754" t="s">
        <v>50</v>
      </c>
      <c r="AH754" s="32" t="s">
        <v>70</v>
      </c>
      <c r="AI754" s="2"/>
      <c r="AJ754" t="s">
        <v>50</v>
      </c>
      <c r="AK754" s="32" t="s">
        <v>70</v>
      </c>
      <c r="AL754" s="3"/>
      <c r="AM754" s="2"/>
      <c r="AN754" s="2"/>
      <c r="AO754" s="2"/>
      <c r="AP754" s="2"/>
      <c r="AQ754" s="2"/>
      <c r="AR754" s="2"/>
    </row>
    <row r="755" spans="5:44" ht="14.45" customHeight="1" x14ac:dyDescent="0.25">
      <c r="E755" s="2"/>
      <c r="F755" s="125"/>
      <c r="G755" s="2"/>
      <c r="H755" s="2" t="s">
        <v>28</v>
      </c>
      <c r="I755" s="2"/>
      <c r="J755" s="2"/>
      <c r="K755" s="2"/>
      <c r="L755" s="2"/>
      <c r="M755" s="2"/>
      <c r="N755" s="2"/>
      <c r="O755" s="3"/>
      <c r="P755" s="2"/>
      <c r="Q755" s="2"/>
      <c r="R755" s="2"/>
      <c r="S755" s="2"/>
      <c r="T755" s="2"/>
      <c r="U755" s="2"/>
      <c r="V755" s="2"/>
      <c r="W755" s="3"/>
      <c r="X755" s="2" t="s">
        <v>28</v>
      </c>
      <c r="Y755" s="34" t="s">
        <v>87</v>
      </c>
      <c r="Z755" s="32" t="s">
        <v>70</v>
      </c>
      <c r="AA755" s="2"/>
      <c r="AB755" s="34" t="s">
        <v>87</v>
      </c>
      <c r="AC755" s="32" t="s">
        <v>70</v>
      </c>
      <c r="AD755" s="2"/>
      <c r="AE755" s="3"/>
      <c r="AF755" s="2" t="s">
        <v>28</v>
      </c>
      <c r="AG755" t="s">
        <v>50</v>
      </c>
      <c r="AH755" s="32" t="s">
        <v>70</v>
      </c>
      <c r="AI755" s="2"/>
      <c r="AJ755" t="s">
        <v>50</v>
      </c>
      <c r="AK755" s="32" t="s">
        <v>70</v>
      </c>
      <c r="AL755" s="3"/>
      <c r="AM755" s="2"/>
      <c r="AN755" s="2"/>
      <c r="AO755" s="2"/>
      <c r="AP755" s="2"/>
      <c r="AQ755" s="2"/>
      <c r="AR755" s="2"/>
    </row>
    <row r="756" spans="5:44" ht="14.45" customHeight="1" x14ac:dyDescent="0.25">
      <c r="E756" s="2"/>
      <c r="F756" s="125"/>
      <c r="G756" s="2"/>
      <c r="H756" s="2" t="s">
        <v>32</v>
      </c>
      <c r="I756" s="2"/>
      <c r="J756" s="2"/>
      <c r="K756" s="2"/>
      <c r="L756" s="2"/>
      <c r="M756" s="2"/>
      <c r="N756" s="2"/>
      <c r="O756" s="3"/>
      <c r="P756" s="2"/>
      <c r="Q756" s="2"/>
      <c r="R756" s="2"/>
      <c r="S756" s="2"/>
      <c r="T756" s="2"/>
      <c r="U756" s="2"/>
      <c r="V756" s="2"/>
      <c r="W756" s="3"/>
      <c r="X756" s="2" t="s">
        <v>32</v>
      </c>
      <c r="Y756" s="34" t="s">
        <v>87</v>
      </c>
      <c r="Z756" s="32" t="s">
        <v>70</v>
      </c>
      <c r="AA756" s="2"/>
      <c r="AB756" s="34" t="s">
        <v>87</v>
      </c>
      <c r="AC756" s="32" t="s">
        <v>70</v>
      </c>
      <c r="AD756" s="2"/>
      <c r="AE756" s="3"/>
      <c r="AF756" s="2" t="s">
        <v>32</v>
      </c>
      <c r="AG756" t="s">
        <v>50</v>
      </c>
      <c r="AH756" s="32" t="s">
        <v>70</v>
      </c>
      <c r="AI756" s="2"/>
      <c r="AJ756" t="s">
        <v>50</v>
      </c>
      <c r="AK756" s="32" t="s">
        <v>70</v>
      </c>
      <c r="AL756" s="3"/>
      <c r="AM756" s="2"/>
      <c r="AN756" s="2"/>
      <c r="AO756" s="2"/>
      <c r="AP756" s="2"/>
      <c r="AQ756" s="2"/>
      <c r="AR756" s="2"/>
    </row>
    <row r="757" spans="5:44" ht="14.45" customHeight="1" x14ac:dyDescent="0.25">
      <c r="E757" s="2"/>
      <c r="F757" s="125"/>
      <c r="G757" s="2"/>
      <c r="H757" s="2"/>
      <c r="I757" s="2"/>
      <c r="J757" s="2"/>
      <c r="K757" s="2"/>
      <c r="L757" s="2"/>
      <c r="M757" s="2"/>
      <c r="N757" s="2"/>
      <c r="O757" s="3"/>
      <c r="P757" s="2"/>
      <c r="Q757" s="2"/>
      <c r="R757" s="2"/>
      <c r="S757" s="2"/>
      <c r="T757" s="2"/>
      <c r="U757" s="2"/>
      <c r="V757" s="2"/>
      <c r="W757" s="3"/>
      <c r="X757" s="2"/>
      <c r="Y757" s="2"/>
      <c r="Z757" s="2"/>
      <c r="AA757" s="2"/>
      <c r="AB757" s="2"/>
      <c r="AC757" s="2"/>
      <c r="AD757" s="2"/>
      <c r="AE757" s="3"/>
      <c r="AF757" s="2"/>
      <c r="AG757" s="2"/>
      <c r="AH757" s="2"/>
      <c r="AI757" s="2"/>
      <c r="AJ757" s="2"/>
      <c r="AK757" s="2"/>
      <c r="AL757" s="3"/>
      <c r="AM757" s="2"/>
      <c r="AN757" s="2"/>
      <c r="AO757" s="2"/>
      <c r="AP757" s="2"/>
      <c r="AQ757" s="2"/>
      <c r="AR757" s="2"/>
    </row>
    <row r="758" spans="5:44" ht="14.45" customHeight="1" x14ac:dyDescent="0.25">
      <c r="E758" s="2"/>
      <c r="F758" s="125"/>
      <c r="G758" s="2"/>
      <c r="H758" s="2"/>
      <c r="I758" s="2"/>
      <c r="J758" s="2"/>
      <c r="K758" s="2"/>
      <c r="L758" s="2"/>
      <c r="M758" s="2"/>
      <c r="N758" s="2"/>
      <c r="O758" s="3"/>
      <c r="P758" s="2"/>
      <c r="Q758" s="2"/>
      <c r="R758" s="2"/>
      <c r="S758" s="2"/>
      <c r="T758" s="2"/>
      <c r="U758" s="2"/>
      <c r="V758" s="2"/>
      <c r="W758" s="3"/>
      <c r="X758" s="2"/>
      <c r="Y758" s="25" t="s">
        <v>88</v>
      </c>
      <c r="Z758" s="25"/>
      <c r="AA758" s="25"/>
      <c r="AB758" s="25" t="s">
        <v>89</v>
      </c>
      <c r="AC758" s="3"/>
      <c r="AD758" s="2"/>
      <c r="AE758" s="3"/>
      <c r="AF758" s="2"/>
      <c r="AG758" s="2"/>
      <c r="AH758" s="2"/>
      <c r="AI758" s="2"/>
      <c r="AJ758" s="2"/>
      <c r="AK758" s="2"/>
      <c r="AL758" s="3"/>
      <c r="AM758" s="2"/>
      <c r="AN758" s="2"/>
      <c r="AO758" s="2"/>
      <c r="AP758" s="2"/>
      <c r="AQ758" s="2"/>
      <c r="AR758" s="2"/>
    </row>
    <row r="759" spans="5:44" ht="14.45" customHeight="1" x14ac:dyDescent="0.25">
      <c r="E759" s="2"/>
      <c r="F759" s="125"/>
      <c r="G759" s="2"/>
      <c r="H759" s="2"/>
      <c r="I759" s="2"/>
      <c r="J759" s="2"/>
      <c r="K759" s="2"/>
      <c r="L759" s="2"/>
      <c r="M759" s="2"/>
      <c r="N759" s="2"/>
      <c r="O759" s="3"/>
      <c r="P759" s="2"/>
      <c r="Q759" s="2"/>
      <c r="R759" s="2"/>
      <c r="S759" s="2"/>
      <c r="T759" s="2"/>
      <c r="U759" s="2"/>
      <c r="V759" s="2"/>
      <c r="W759" s="3"/>
      <c r="X759" s="2"/>
      <c r="Y759" s="26" t="s">
        <v>4</v>
      </c>
      <c r="Z759" s="26"/>
      <c r="AA759" s="26"/>
      <c r="AB759" s="26" t="s">
        <v>5</v>
      </c>
      <c r="AC759" s="26"/>
      <c r="AD759" s="2"/>
      <c r="AE759" s="3"/>
      <c r="AF759" s="2"/>
      <c r="AG759" s="2"/>
      <c r="AH759" s="2"/>
      <c r="AI759" s="2"/>
      <c r="AJ759" s="2"/>
      <c r="AK759" s="2"/>
      <c r="AL759" s="3"/>
      <c r="AM759" s="2"/>
      <c r="AN759" s="2"/>
      <c r="AO759" s="2"/>
      <c r="AP759" s="2"/>
      <c r="AQ759" s="2"/>
      <c r="AR759" s="2"/>
    </row>
    <row r="760" spans="5:44" ht="14.45" customHeight="1" x14ac:dyDescent="0.25">
      <c r="E760" s="2"/>
      <c r="F760" s="125"/>
      <c r="G760" s="2"/>
      <c r="H760" s="2"/>
      <c r="I760" s="2"/>
      <c r="J760" s="2"/>
      <c r="K760" s="2"/>
      <c r="L760" s="2"/>
      <c r="M760" s="2"/>
      <c r="N760" s="2"/>
      <c r="O760" s="3"/>
      <c r="P760" s="2"/>
      <c r="Q760" s="2"/>
      <c r="R760" s="2"/>
      <c r="S760" s="2"/>
      <c r="T760" s="2"/>
      <c r="U760" s="2"/>
      <c r="V760" s="2"/>
      <c r="W760" s="3"/>
      <c r="X760" s="2"/>
      <c r="Y760" s="27" t="s">
        <v>90</v>
      </c>
      <c r="Z760" s="27" t="s">
        <v>7</v>
      </c>
      <c r="AA760" s="29"/>
      <c r="AB760" s="27" t="s">
        <v>90</v>
      </c>
      <c r="AC760" s="27" t="s">
        <v>7</v>
      </c>
      <c r="AD760" s="2"/>
      <c r="AE760" s="3"/>
      <c r="AF760" s="2"/>
      <c r="AG760" s="2"/>
      <c r="AH760" s="2"/>
      <c r="AI760" s="2"/>
      <c r="AJ760" s="2"/>
      <c r="AK760" s="2"/>
      <c r="AL760" s="3"/>
      <c r="AM760" s="2"/>
      <c r="AN760" s="2"/>
      <c r="AO760" s="2"/>
      <c r="AP760" s="2"/>
      <c r="AQ760" s="2"/>
      <c r="AR760" s="2"/>
    </row>
    <row r="761" spans="5:44" ht="14.45" customHeight="1" x14ac:dyDescent="0.25">
      <c r="E761" s="2"/>
      <c r="F761" s="125"/>
      <c r="G761" s="2"/>
      <c r="H761" s="2" t="s">
        <v>12</v>
      </c>
      <c r="I761" s="2"/>
      <c r="J761" s="2"/>
      <c r="K761" s="2"/>
      <c r="L761" s="2"/>
      <c r="M761" s="2"/>
      <c r="N761" s="2"/>
      <c r="O761" s="3"/>
      <c r="P761" s="2"/>
      <c r="Q761" s="2"/>
      <c r="R761" s="2"/>
      <c r="S761" s="2"/>
      <c r="T761" s="2"/>
      <c r="U761" s="2"/>
      <c r="V761" s="2"/>
      <c r="W761" s="3"/>
      <c r="X761" s="2" t="s">
        <v>12</v>
      </c>
      <c r="Y761" t="s">
        <v>19</v>
      </c>
      <c r="Z761" s="32" t="s">
        <v>79</v>
      </c>
      <c r="AA761" s="2"/>
      <c r="AB761" t="s">
        <v>19</v>
      </c>
      <c r="AC761" s="32" t="s">
        <v>79</v>
      </c>
      <c r="AD761" s="2"/>
      <c r="AE761" s="3"/>
      <c r="AF761" s="2"/>
      <c r="AG761" s="2"/>
      <c r="AH761" s="2"/>
      <c r="AI761" s="2"/>
      <c r="AJ761" s="2"/>
      <c r="AK761" s="2"/>
      <c r="AL761" s="3"/>
      <c r="AM761" s="2"/>
      <c r="AN761" s="2"/>
      <c r="AO761" s="2"/>
      <c r="AP761" s="2"/>
      <c r="AQ761" s="2"/>
      <c r="AR761" s="2"/>
    </row>
    <row r="762" spans="5:44" ht="14.45" customHeight="1" x14ac:dyDescent="0.25">
      <c r="E762" s="2"/>
      <c r="F762" s="125"/>
      <c r="G762" s="2"/>
      <c r="H762" s="2" t="s">
        <v>20</v>
      </c>
      <c r="I762" s="2"/>
      <c r="J762" s="2"/>
      <c r="K762" s="2"/>
      <c r="L762" s="2"/>
      <c r="M762" s="2"/>
      <c r="N762" s="2"/>
      <c r="O762" s="3"/>
      <c r="P762" s="2"/>
      <c r="Q762" s="2"/>
      <c r="R762" s="2"/>
      <c r="S762" s="2"/>
      <c r="T762" s="2"/>
      <c r="U762" s="2"/>
      <c r="V762" s="2"/>
      <c r="W762" s="3"/>
      <c r="X762" s="2" t="s">
        <v>20</v>
      </c>
      <c r="Y762" t="s">
        <v>66</v>
      </c>
      <c r="Z762" s="32" t="s">
        <v>79</v>
      </c>
      <c r="AA762" s="2"/>
      <c r="AB762" t="s">
        <v>66</v>
      </c>
      <c r="AC762" s="32" t="s">
        <v>79</v>
      </c>
      <c r="AD762" s="2"/>
      <c r="AE762" s="3"/>
      <c r="AF762" s="2"/>
      <c r="AG762" s="2"/>
      <c r="AH762" s="2"/>
      <c r="AI762" s="2"/>
      <c r="AJ762" s="2"/>
      <c r="AK762" s="2"/>
      <c r="AL762" s="3"/>
      <c r="AM762" s="2"/>
      <c r="AN762" s="2"/>
      <c r="AO762" s="2"/>
      <c r="AP762" s="2"/>
      <c r="AQ762" s="2"/>
      <c r="AR762" s="2"/>
    </row>
    <row r="763" spans="5:44" ht="14.45" customHeight="1" x14ac:dyDescent="0.25">
      <c r="E763" s="2"/>
      <c r="F763" s="125"/>
      <c r="G763" s="2"/>
      <c r="H763" s="2" t="s">
        <v>24</v>
      </c>
      <c r="I763" s="2"/>
      <c r="J763" s="2"/>
      <c r="K763" s="2"/>
      <c r="L763" s="2"/>
      <c r="M763" s="2"/>
      <c r="N763" s="2"/>
      <c r="O763" s="3"/>
      <c r="P763" s="2"/>
      <c r="Q763" s="2"/>
      <c r="R763" s="2"/>
      <c r="S763" s="2"/>
      <c r="T763" s="2"/>
      <c r="U763" s="2"/>
      <c r="V763" s="2"/>
      <c r="W763" s="3"/>
      <c r="X763" s="2" t="s">
        <v>24</v>
      </c>
      <c r="Y763" s="19" t="s">
        <v>44</v>
      </c>
      <c r="Z763" s="32" t="s">
        <v>70</v>
      </c>
      <c r="AA763" s="2"/>
      <c r="AB763" s="19" t="s">
        <v>44</v>
      </c>
      <c r="AC763" s="32" t="s">
        <v>70</v>
      </c>
      <c r="AD763" s="2"/>
      <c r="AE763" s="3"/>
      <c r="AF763" s="2"/>
      <c r="AG763" s="2"/>
      <c r="AH763" s="2"/>
      <c r="AI763" s="2"/>
      <c r="AJ763" s="2"/>
      <c r="AK763" s="2"/>
      <c r="AL763" s="3"/>
      <c r="AM763" s="2"/>
      <c r="AN763" s="2"/>
      <c r="AO763" s="2"/>
      <c r="AP763" s="2"/>
      <c r="AQ763" s="2"/>
      <c r="AR763" s="2"/>
    </row>
    <row r="764" spans="5:44" ht="14.45" customHeight="1" x14ac:dyDescent="0.25">
      <c r="E764" s="2"/>
      <c r="F764" s="125"/>
      <c r="G764" s="2"/>
      <c r="H764" s="2" t="s">
        <v>28</v>
      </c>
      <c r="I764" s="2"/>
      <c r="J764" s="2"/>
      <c r="K764" s="2"/>
      <c r="L764" s="2"/>
      <c r="M764" s="2"/>
      <c r="N764" s="2"/>
      <c r="O764" s="3"/>
      <c r="P764" s="2"/>
      <c r="Q764" s="2"/>
      <c r="R764" s="2"/>
      <c r="S764" s="2"/>
      <c r="T764" s="2"/>
      <c r="U764" s="2"/>
      <c r="V764" s="2"/>
      <c r="W764" s="3"/>
      <c r="X764" s="2" t="s">
        <v>28</v>
      </c>
      <c r="Y764" s="14" t="s">
        <v>34</v>
      </c>
      <c r="Z764" s="32" t="s">
        <v>70</v>
      </c>
      <c r="AA764" s="2"/>
      <c r="AB764" s="14" t="s">
        <v>34</v>
      </c>
      <c r="AC764" s="32" t="s">
        <v>70</v>
      </c>
      <c r="AD764" s="2"/>
      <c r="AE764" s="3"/>
      <c r="AF764" s="2"/>
      <c r="AG764" s="2"/>
      <c r="AH764" s="2"/>
      <c r="AI764" s="2"/>
      <c r="AJ764" s="2"/>
      <c r="AK764" s="2"/>
      <c r="AL764" s="3"/>
      <c r="AM764" s="2"/>
      <c r="AN764" s="2"/>
      <c r="AO764" s="2"/>
      <c r="AP764" s="2"/>
      <c r="AQ764" s="2"/>
      <c r="AR764" s="2"/>
    </row>
    <row r="765" spans="5:44" ht="14.45" customHeight="1" x14ac:dyDescent="0.25">
      <c r="E765" s="2"/>
      <c r="F765" s="125"/>
      <c r="G765" s="2"/>
      <c r="H765" s="2" t="s">
        <v>32</v>
      </c>
      <c r="I765" s="2"/>
      <c r="J765" s="2"/>
      <c r="K765" s="2"/>
      <c r="L765" s="2"/>
      <c r="M765" s="2"/>
      <c r="N765" s="2"/>
      <c r="O765" s="3"/>
      <c r="P765" s="2"/>
      <c r="Q765" s="2"/>
      <c r="R765" s="2"/>
      <c r="S765" s="2"/>
      <c r="T765" s="2"/>
      <c r="U765" s="2"/>
      <c r="V765" s="2"/>
      <c r="W765" s="3"/>
      <c r="X765" s="2" t="s">
        <v>32</v>
      </c>
      <c r="Y765" s="8" t="s">
        <v>36</v>
      </c>
      <c r="Z765" s="32" t="s">
        <v>91</v>
      </c>
      <c r="AA765" s="2"/>
      <c r="AB765" s="8" t="s">
        <v>36</v>
      </c>
      <c r="AC765" s="32" t="s">
        <v>91</v>
      </c>
      <c r="AD765" s="2"/>
      <c r="AE765" s="3"/>
      <c r="AF765" s="2"/>
      <c r="AG765" s="2"/>
      <c r="AH765" s="2"/>
      <c r="AI765" s="2"/>
      <c r="AJ765" s="2"/>
      <c r="AK765" s="2"/>
      <c r="AL765" s="3"/>
      <c r="AM765" s="2"/>
      <c r="AN765" s="2"/>
      <c r="AO765" s="2"/>
      <c r="AP765" s="2"/>
      <c r="AQ765" s="2"/>
      <c r="AR765" s="2"/>
    </row>
    <row r="766" spans="5:44" ht="14.45" customHeight="1" x14ac:dyDescent="0.25">
      <c r="E766" s="2"/>
      <c r="F766" s="125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</row>
    <row r="767" spans="5:44" ht="14.45" customHeight="1" x14ac:dyDescent="0.25">
      <c r="E767" s="2"/>
      <c r="F767" s="125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</row>
    <row r="768" spans="5:44" ht="14.45" customHeight="1" x14ac:dyDescent="0.25">
      <c r="E768" s="2"/>
      <c r="F768" s="125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</row>
    <row r="769" spans="5:44" x14ac:dyDescent="0.25"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</row>
  </sheetData>
  <mergeCells count="16">
    <mergeCell ref="U675:AC675"/>
    <mergeCell ref="F580:F672"/>
    <mergeCell ref="F676:F768"/>
    <mergeCell ref="U3:AC3"/>
    <mergeCell ref="U99:AC99"/>
    <mergeCell ref="U195:AC195"/>
    <mergeCell ref="U291:AC291"/>
    <mergeCell ref="U387:AC387"/>
    <mergeCell ref="U483:AC483"/>
    <mergeCell ref="U579:AC579"/>
    <mergeCell ref="F4:F96"/>
    <mergeCell ref="F100:F192"/>
    <mergeCell ref="F196:F288"/>
    <mergeCell ref="F292:F384"/>
    <mergeCell ref="F388:F480"/>
    <mergeCell ref="F484:F576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371" operator="containsText" id="{FC0FDBC5-3231-4BEC-9873-6528F617DD4F}">
            <xm:f>NOT(ISERROR(SEARCH($AN$687,H56)))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372" operator="containsText" id="{8D8875A3-8078-4335-9EC4-4B8398B2964B}">
            <xm:f>NOT(ISERROR(SEARCH($AN$688,H56)))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373" operator="containsText" id="{6077CAFF-FC08-4AF7-A2BE-DFA9874EBB2F}">
            <xm:f>NOT(ISERROR(SEARCH($AN$686,H56)))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374" operator="containsText" id="{AB523DA5-0C32-4181-B83E-70085CF604F0}">
            <xm:f>NOT(ISERROR(SEARCH($AN$685,H56)))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375" operator="containsText" id="{7F711AD2-B541-49F8-B1E7-73DF04032F1C}">
            <xm:f>NOT(ISERROR(SEARCH($AN$684,H56)))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376" operator="containsText" id="{624B1EB6-E638-4E9A-9F78-760F95021EAB}">
            <xm:f>NOT(ISERROR(SEARCH($AN$683,H56)))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377" operator="containsText" id="{F879214F-78FF-47D9-8584-B932AC222DA5}">
            <xm:f>NOT(ISERROR(SEARCH($AN$682,H56)))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378" operator="containsText" id="{E99EC252-1644-41FF-9254-07DF34E9FD39}">
            <xm:f>NOT(ISERROR(SEARCH($AN$681,H56)))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379" operator="containsText" id="{0451D651-4856-4711-856D-17A5EFC12FC8}">
            <xm:f>NOT(ISERROR(SEARCH($AN$680,H56)))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380" operator="containsText" id="{6B46E714-CB13-439B-B917-08D0D7BAA3BE}">
            <xm:f>NOT(ISERROR(SEARCH($AN$678,H56)))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381" operator="containsText" id="{2C5CFD11-D875-49ED-A500-7AC87B1447C9}">
            <xm:f>NOT(ISERROR(SEARCH($AN$679,H56)))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H56:H57</xm:sqref>
        </x14:conditionalFormatting>
        <x14:conditionalFormatting xmlns:xm="http://schemas.microsoft.com/office/excel/2006/main">
          <x14:cfRule type="containsText" priority="5460" operator="containsText" id="{061A224B-7EF3-4795-815F-FCD268A25340}">
            <xm:f>NOT(ISERROR(SEARCH($AN$687,H152)))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461" operator="containsText" id="{AB87EF4A-720E-416E-A9C6-C84AE3F7EABB}">
            <xm:f>NOT(ISERROR(SEARCH($AN$688,H152)))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462" operator="containsText" id="{B275EC0A-3310-49A3-A135-71D6486F66D0}">
            <xm:f>NOT(ISERROR(SEARCH($AN$686,H152)))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463" operator="containsText" id="{AD6DD6B3-6DCE-421E-B444-C495DD164211}">
            <xm:f>NOT(ISERROR(SEARCH($AN$685,H152)))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464" operator="containsText" id="{E83684AB-EB42-4622-B457-25A3397B1809}">
            <xm:f>NOT(ISERROR(SEARCH($AN$684,H152)))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465" operator="containsText" id="{AFD3B7F7-BBDA-4DA0-97D9-7E27C89CFADF}">
            <xm:f>NOT(ISERROR(SEARCH($AN$683,H152)))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466" operator="containsText" id="{91B41B73-B823-4D31-8ACC-91D4037FE70E}">
            <xm:f>NOT(ISERROR(SEARCH($AN$682,H152)))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467" operator="containsText" id="{4AAC52E1-0DD7-4B3C-990D-87FA17618919}">
            <xm:f>NOT(ISERROR(SEARCH($AN$681,H152)))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468" operator="containsText" id="{010F4124-7463-4536-986D-0C6B2B8A508B}">
            <xm:f>NOT(ISERROR(SEARCH($AN$680,H152)))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469" operator="containsText" id="{49FF0261-4F1C-4F93-9DC6-4AFFD0118CF9}">
            <xm:f>NOT(ISERROR(SEARCH($AN$678,H152)))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470" operator="containsText" id="{E811E7D8-8D6C-4931-9B4D-C64961A36802}">
            <xm:f>NOT(ISERROR(SEARCH($AN$679,H152)))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H152:H153</xm:sqref>
        </x14:conditionalFormatting>
        <x14:conditionalFormatting xmlns:xm="http://schemas.microsoft.com/office/excel/2006/main">
          <x14:cfRule type="containsText" priority="5549" operator="containsText" id="{73302DCC-BAFA-49E2-A38B-D0F20564E03F}">
            <xm:f>NOT(ISERROR(SEARCH($AN$687,H248)))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550" operator="containsText" id="{D69C9769-C2D3-4959-9309-98172F33624C}">
            <xm:f>NOT(ISERROR(SEARCH($AN$688,H248)))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551" operator="containsText" id="{B9E0ADE4-5995-4CA0-BC63-67B5A744033F}">
            <xm:f>NOT(ISERROR(SEARCH($AN$686,H248)))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52" operator="containsText" id="{D83C04A7-C695-4FC1-AC5F-597927541A5E}">
            <xm:f>NOT(ISERROR(SEARCH($AN$685,H248)))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553" operator="containsText" id="{1A544FEE-31E0-4D43-A7B3-38A916B63DCB}">
            <xm:f>NOT(ISERROR(SEARCH($AN$684,H248)))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54" operator="containsText" id="{B6EDD38B-B433-4F1B-902F-7090C9F0F6CC}">
            <xm:f>NOT(ISERROR(SEARCH($AN$683,H248)))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555" operator="containsText" id="{B26B8BC0-F4EF-44B5-8478-260C4076B188}">
            <xm:f>NOT(ISERROR(SEARCH($AN$682,H248)))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556" operator="containsText" id="{7B54F839-B068-4C1C-AE53-A24425723815}">
            <xm:f>NOT(ISERROR(SEARCH($AN$681,H248)))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557" operator="containsText" id="{A9F30A9C-3723-4968-A293-D70BA8EADFB8}">
            <xm:f>NOT(ISERROR(SEARCH($AN$680,H248)))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558" operator="containsText" id="{D4CC00CA-72A6-4BCF-9CCD-3EBD04F5DFFF}">
            <xm:f>NOT(ISERROR(SEARCH($AN$678,H248)))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559" operator="containsText" id="{9E7E1683-F3EF-4C9D-B3EC-5C44AB789B64}">
            <xm:f>NOT(ISERROR(SEARCH($AN$679,H248)))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H248:H249</xm:sqref>
        </x14:conditionalFormatting>
        <x14:conditionalFormatting xmlns:xm="http://schemas.microsoft.com/office/excel/2006/main">
          <x14:cfRule type="containsText" priority="26092" operator="containsText" id="{0564F51E-A53D-4EC9-A3DF-9B202DEAA894}">
            <xm:f>NOT(ISERROR(SEARCH($AN$689,H341)))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H341:H345 N344:U345</xm:sqref>
        </x14:conditionalFormatting>
        <x14:conditionalFormatting xmlns:xm="http://schemas.microsoft.com/office/excel/2006/main">
          <x14:cfRule type="containsText" priority="9470" operator="containsText" id="{009D8BD5-C13A-4B25-8090-864368BB717C}">
            <xm:f>NOT(ISERROR(SEARCH($AN$704,H341)))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471" operator="containsText" id="{F2559E01-9566-4659-B60F-41B81B4F963E}">
            <xm:f>NOT(ISERROR(SEARCH($AN$693,H341)))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9472" operator="containsText" id="{EF172A0D-C63B-4CD7-84FF-F0E71DC1C078}">
            <xm:f>NOT(ISERROR(SEARCH($AN$692,H341)))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6091" operator="containsText" id="{101026F1-6D29-4278-9B60-8F8D85503E94}">
            <xm:f>NOT(ISERROR(SEARCH($AN$691,H341)))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m:sqref>H341:H345</xm:sqref>
        </x14:conditionalFormatting>
        <x14:conditionalFormatting xmlns:xm="http://schemas.microsoft.com/office/excel/2006/main">
          <x14:cfRule type="containsText" priority="26093" operator="containsText" id="{45CAF996-99B2-46C1-B64C-11BAC8229B18}">
            <xm:f>NOT(ISERROR(SEARCH($AN$687,H344)))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6094" operator="containsText" id="{2C8672BE-347D-41EF-A62D-CF952A4D8454}">
            <xm:f>NOT(ISERROR(SEARCH($AN$688,H344)))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6095" operator="containsText" id="{B683121D-B860-49CA-9916-FA9BF8AA88A6}">
            <xm:f>NOT(ISERROR(SEARCH($AN$686,H344)))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096" operator="containsText" id="{D87A4EF7-3B4A-424C-A0F0-9886ED3ACAC9}">
            <xm:f>NOT(ISERROR(SEARCH($AN$685,H344)))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6097" operator="containsText" id="{554991C3-0E78-427C-AE05-2C8F5F907637}">
            <xm:f>NOT(ISERROR(SEARCH($AN$684,H344)))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098" operator="containsText" id="{7248331A-4AC4-4B76-BF65-DFE0D43790CE}">
            <xm:f>NOT(ISERROR(SEARCH($AN$683,H344)))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6099" operator="containsText" id="{1589CBC8-C320-4AD4-8C89-6795C47683A2}">
            <xm:f>NOT(ISERROR(SEARCH($AN$682,H344)))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6100" operator="containsText" id="{109B67D2-30A0-4755-AA1E-FD14E972AC8A}">
            <xm:f>NOT(ISERROR(SEARCH($AN$681,H344)))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101" operator="containsText" id="{F4E79A6D-4398-4685-A049-5B7698D81F8E}">
            <xm:f>NOT(ISERROR(SEARCH($AN$680,H344)))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6102" operator="containsText" id="{26782EA2-724D-475D-8D57-23643141D8B6}">
            <xm:f>NOT(ISERROR(SEARCH($AN$678,H344)))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6103" operator="containsText" id="{4597BEB2-E2EA-47F8-8217-0FDF23B15892}">
            <xm:f>NOT(ISERROR(SEARCH($AN$679,H344)))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H344:H345 N344:U345</xm:sqref>
        </x14:conditionalFormatting>
        <x14:conditionalFormatting xmlns:xm="http://schemas.microsoft.com/office/excel/2006/main">
          <x14:cfRule type="containsText" priority="9424" operator="containsText" id="{DDBD48DF-FBF6-4BAF-A394-4A0A83D7E19C}">
            <xm:f>NOT(ISERROR(SEARCH($AN$687,H437)))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H437:H441</xm:sqref>
        </x14:conditionalFormatting>
        <x14:conditionalFormatting xmlns:xm="http://schemas.microsoft.com/office/excel/2006/main">
          <x14:cfRule type="containsText" priority="9425" operator="containsText" id="{BF6D90B5-C138-4BB9-BAE7-313396744F8C}">
            <xm:f>NOT(ISERROR(SEARCH($AN$688,H440)))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426" operator="containsText" id="{3C443BA1-60F7-4EC3-A4A6-9A44162BE978}">
            <xm:f>NOT(ISERROR(SEARCH($AN$686,H440)))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427" operator="containsText" id="{7F24890C-31B8-463B-B9E5-7F2C2B1C9269}">
            <xm:f>NOT(ISERROR(SEARCH($AN$685,H440)))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428" operator="containsText" id="{1A778354-A8F5-4B23-8DFF-49860403F773}">
            <xm:f>NOT(ISERROR(SEARCH($AN$684,H440)))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429" operator="containsText" id="{14323BEF-D15A-430C-BE4E-DE460E61668C}">
            <xm:f>NOT(ISERROR(SEARCH($AN$683,H440)))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430" operator="containsText" id="{CF892C3B-E5FF-4FEE-B5BF-AF04682D4902}">
            <xm:f>NOT(ISERROR(SEARCH($AN$682,H440)))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431" operator="containsText" id="{F583E9AE-6918-4103-8DBC-089145EFE1B2}">
            <xm:f>NOT(ISERROR(SEARCH($AN$681,H440)))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432" operator="containsText" id="{8196D82C-E308-4420-82D6-EDAC0928FAE8}">
            <xm:f>NOT(ISERROR(SEARCH($AN$680,H440)))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433" operator="containsText" id="{AEF0573D-AEDB-4FDB-8625-7967867563BA}">
            <xm:f>NOT(ISERROR(SEARCH($AN$678,H440)))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434" operator="containsText" id="{BAF8C674-6005-4AA7-88A6-884AA35A7E1F}">
            <xm:f>NOT(ISERROR(SEARCH($AN$679,H440)))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H440:H441</xm:sqref>
        </x14:conditionalFormatting>
        <x14:conditionalFormatting xmlns:xm="http://schemas.microsoft.com/office/excel/2006/main">
          <x14:cfRule type="containsText" priority="9271" operator="containsText" id="{F0717066-2632-4CCE-932E-6BE1ADE9FDB5}">
            <xm:f>NOT(ISERROR(SEARCH($AN$687,H533)))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H533:H537</xm:sqref>
        </x14:conditionalFormatting>
        <x14:conditionalFormatting xmlns:xm="http://schemas.microsoft.com/office/excel/2006/main">
          <x14:cfRule type="containsText" priority="9272" operator="containsText" id="{9854A7DE-2FC7-464A-A34C-798188D69882}">
            <xm:f>NOT(ISERROR(SEARCH($AN$688,H536)))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273" operator="containsText" id="{65AA9CFD-F0F7-4A5C-9C9D-5C2CB83FAC96}">
            <xm:f>NOT(ISERROR(SEARCH($AN$686,H536)))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274" operator="containsText" id="{678A9446-C598-4F60-B81A-C5587B2D678E}">
            <xm:f>NOT(ISERROR(SEARCH($AN$685,H536)))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275" operator="containsText" id="{482A9216-2401-42DA-929D-E42D7D892C49}">
            <xm:f>NOT(ISERROR(SEARCH($AN$684,H536)))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276" operator="containsText" id="{82694234-B747-49FD-B759-7831D31319DC}">
            <xm:f>NOT(ISERROR(SEARCH($AN$683,H536)))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277" operator="containsText" id="{F9E9DA7F-0F63-486D-8754-56526A5D22EC}">
            <xm:f>NOT(ISERROR(SEARCH($AN$682,H536)))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278" operator="containsText" id="{03EDC40D-F6E4-471E-8979-4EE74E32D6BC}">
            <xm:f>NOT(ISERROR(SEARCH($AN$681,H536)))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279" operator="containsText" id="{748074C7-9DD7-45A4-A7B9-059424CD0337}">
            <xm:f>NOT(ISERROR(SEARCH($AN$680,H536)))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280" operator="containsText" id="{57F2FEF7-BA24-4D46-94ED-AA87A25F9A18}">
            <xm:f>NOT(ISERROR(SEARCH($AN$678,H536)))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281" operator="containsText" id="{3FE11B1B-7DA1-43B3-9F7F-BEA108320106}">
            <xm:f>NOT(ISERROR(SEARCH($AN$679,H536)))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H536:H537</xm:sqref>
        </x14:conditionalFormatting>
        <x14:conditionalFormatting xmlns:xm="http://schemas.microsoft.com/office/excel/2006/main">
          <x14:cfRule type="containsText" priority="9118" operator="containsText" id="{3DCCFC77-CAC5-4E5D-8D32-BC458860F3F9}">
            <xm:f>NOT(ISERROR(SEARCH($AN$687,H629)))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H629:H633</xm:sqref>
        </x14:conditionalFormatting>
        <x14:conditionalFormatting xmlns:xm="http://schemas.microsoft.com/office/excel/2006/main">
          <x14:cfRule type="containsText" priority="9119" operator="containsText" id="{DFE39BEC-D55F-446B-BCBE-2020079D0679}">
            <xm:f>NOT(ISERROR(SEARCH($AN$688,H632)))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120" operator="containsText" id="{FA3AE122-F648-4C83-A080-E2E69714DAF4}">
            <xm:f>NOT(ISERROR(SEARCH($AN$686,H632)))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121" operator="containsText" id="{3CC75086-1156-4838-BD45-06841B2A1391}">
            <xm:f>NOT(ISERROR(SEARCH($AN$685,H632)))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122" operator="containsText" id="{39F6738F-23E1-415C-933C-5341AACEEAA7}">
            <xm:f>NOT(ISERROR(SEARCH($AN$684,H632)))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123" operator="containsText" id="{C147BED4-39E2-4F5A-830C-8CE52486EBF1}">
            <xm:f>NOT(ISERROR(SEARCH($AN$683,H632)))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124" operator="containsText" id="{CC47F935-421E-4245-A1CB-B80C33A547A3}">
            <xm:f>NOT(ISERROR(SEARCH($AN$682,H632)))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125" operator="containsText" id="{7E567E0C-8101-4994-8865-946C23BCC2B2}">
            <xm:f>NOT(ISERROR(SEARCH($AN$681,H632)))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126" operator="containsText" id="{8D1DE89C-ADDE-4372-90F0-3334DEC1C8E8}">
            <xm:f>NOT(ISERROR(SEARCH($AN$680,H632)))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127" operator="containsText" id="{916D98D9-7B9A-465C-B2CA-B05D9CFCDECA}">
            <xm:f>NOT(ISERROR(SEARCH($AN$678,H632)))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128" operator="containsText" id="{85A1AFAF-9FBB-45D9-A570-A37965039870}">
            <xm:f>NOT(ISERROR(SEARCH($AN$679,H632)))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H632:H633</xm:sqref>
        </x14:conditionalFormatting>
        <x14:conditionalFormatting xmlns:xm="http://schemas.microsoft.com/office/excel/2006/main">
          <x14:cfRule type="containsText" priority="8965" operator="containsText" id="{70142A6F-43E4-47B8-AB65-49B4AE2ADF02}">
            <xm:f>NOT(ISERROR(SEARCH($AN$687,H725)))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H725:H729</xm:sqref>
        </x14:conditionalFormatting>
        <x14:conditionalFormatting xmlns:xm="http://schemas.microsoft.com/office/excel/2006/main">
          <x14:cfRule type="containsText" priority="8966" operator="containsText" id="{4F26CF40-A37D-48EF-8E5E-081CEA7B6523}">
            <xm:f>NOT(ISERROR(SEARCH($AN$688,H728)))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8967" operator="containsText" id="{3EC31123-9220-497D-9BC5-B903FD041EDD}">
            <xm:f>NOT(ISERROR(SEARCH($AN$686,H728)))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968" operator="containsText" id="{71F099CC-70AC-46F4-8C02-28613A9A6B9E}">
            <xm:f>NOT(ISERROR(SEARCH($AN$685,H728)))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8969" operator="containsText" id="{F8945FAB-9EF3-4716-B102-9C4442EF14CF}">
            <xm:f>NOT(ISERROR(SEARCH($AN$684,H728)))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970" operator="containsText" id="{B73EE486-BED1-4D1F-B770-EE3F34DE5D70}">
            <xm:f>NOT(ISERROR(SEARCH($AN$683,H728)))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8971" operator="containsText" id="{D09FE025-3993-4E19-AA44-C0A54C1F6624}">
            <xm:f>NOT(ISERROR(SEARCH($AN$682,H728)))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8972" operator="containsText" id="{75B811CE-937B-43F4-896D-16276C4DE861}">
            <xm:f>NOT(ISERROR(SEARCH($AN$681,H728)))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8973" operator="containsText" id="{498168C4-B9C6-44E0-8ADE-FF5A36506B33}">
            <xm:f>NOT(ISERROR(SEARCH($AN$680,H728)))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8974" operator="containsText" id="{36D42894-4B05-491F-9B0D-DEC79BA35B13}">
            <xm:f>NOT(ISERROR(SEARCH($AN$678,H728)))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8975" operator="containsText" id="{A4270E30-55C2-4852-BDAB-02B361CAAA5B}">
            <xm:f>NOT(ISERROR(SEARCH($AN$679,H728)))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H728:H729</xm:sqref>
        </x14:conditionalFormatting>
        <x14:conditionalFormatting xmlns:xm="http://schemas.microsoft.com/office/excel/2006/main">
          <x14:cfRule type="containsText" priority="5367" operator="containsText" id="{2D1889E2-C6FC-4737-AA24-1DF43628E39F}">
            <xm:f>NOT(ISERROR(SEARCH($AN$681,H41)))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H41:M43 H44:H48 H49:M51</xm:sqref>
        </x14:conditionalFormatting>
        <x14:conditionalFormatting xmlns:xm="http://schemas.microsoft.com/office/excel/2006/main">
          <x14:cfRule type="containsText" priority="5360" operator="containsText" id="{CE99A794-5E73-448F-AD96-7714D2E9A9C7}">
            <xm:f>NOT(ISERROR(SEARCH($AN$687,H41)))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361" operator="containsText" id="{8B10C6B1-3E46-45DD-8D63-7E17FB533841}">
            <xm:f>NOT(ISERROR(SEARCH($AN$688,H41)))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362" operator="containsText" id="{B7A48A43-8628-457A-AAF8-E5C64817CE21}">
            <xm:f>NOT(ISERROR(SEARCH($AN$686,H41)))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363" operator="containsText" id="{16BBC381-DCD0-49F4-B3BA-E8E3ACF6B8C5}">
            <xm:f>NOT(ISERROR(SEARCH($AN$685,H41)))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364" operator="containsText" id="{B6309CDE-8799-4792-9D74-82555D6682E2}">
            <xm:f>NOT(ISERROR(SEARCH($AN$684,H41)))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365" operator="containsText" id="{CE01D9C2-E61A-4EB0-8DDE-4A79B737E5E0}">
            <xm:f>NOT(ISERROR(SEARCH($AN$683,H41)))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366" operator="containsText" id="{929F5509-1190-41F7-808C-866CBA77D2E2}">
            <xm:f>NOT(ISERROR(SEARCH($AN$682,H41)))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368" operator="containsText" id="{93F12F99-9AB2-4E48-BC51-4B19EFA2BFAB}">
            <xm:f>NOT(ISERROR(SEARCH($AN$680,H41)))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369" operator="containsText" id="{0AB400F6-4D40-4FEC-820C-F3BC8086600D}">
            <xm:f>NOT(ISERROR(SEARCH($AN$678,H41)))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370" operator="containsText" id="{00795660-4AB6-4990-BBFE-B3B97D1C72E4}">
            <xm:f>NOT(ISERROR(SEARCH($AN$679,H41)))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H41:M43 H49:M51 H44:H48</xm:sqref>
        </x14:conditionalFormatting>
        <x14:conditionalFormatting xmlns:xm="http://schemas.microsoft.com/office/excel/2006/main">
          <x14:cfRule type="containsText" priority="5322" operator="containsText" id="{98231339-DC2D-439C-8F1F-A8E4390963F1}">
            <xm:f>NOT(ISERROR(SEARCH($AN$704,H41)))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323" operator="containsText" id="{3AB65175-68E3-41D2-A12D-F93BFA31B26C}">
            <xm:f>NOT(ISERROR(SEARCH($AN$693,H41)))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324" operator="containsText" id="{3ADF47F9-189E-4758-9C0A-FD36D4784697}">
            <xm:f>NOT(ISERROR(SEARCH($AN$692,H41)))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325" operator="containsText" id="{4E060FF8-47CB-4D2B-A9E5-A849B039F9F9}">
            <xm:f>NOT(ISERROR(SEARCH($AN$691,H41)))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326" operator="containsText" id="{961AB8ED-501A-400B-B736-17DA8699D339}">
            <xm:f>NOT(ISERROR(SEARCH($AN$689,H41)))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H41:M52 H53:H57</xm:sqref>
        </x14:conditionalFormatting>
        <x14:conditionalFormatting xmlns:xm="http://schemas.microsoft.com/office/excel/2006/main">
          <x14:cfRule type="containsText" priority="2605" operator="containsText" id="{BC5904C6-1BAF-4E16-A0C6-171F10CE9007}">
            <xm:f>NOT(ISERROR(SEARCH($AN$690,H41)))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H41:M57</xm:sqref>
        </x14:conditionalFormatting>
        <x14:conditionalFormatting xmlns:xm="http://schemas.microsoft.com/office/excel/2006/main">
          <x14:cfRule type="containsText" priority="5382" operator="containsText" id="{0B444AB6-D8C2-4F2A-9586-D0A8BB08E30F}">
            <xm:f>NOT(ISERROR(SEARCH($AN$687,H52)))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383" operator="containsText" id="{250E7955-5310-4F98-8D66-E3A390FDEFD5}">
            <xm:f>NOT(ISERROR(SEARCH($AN$688,H52)))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384" operator="containsText" id="{D050719A-35EE-47DB-A1D8-CFB5F336F90E}">
            <xm:f>NOT(ISERROR(SEARCH($AN$686,H52)))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385" operator="containsText" id="{916C946B-E747-4D45-9CF3-8C36BD55F43A}">
            <xm:f>NOT(ISERROR(SEARCH($AN$685,H52)))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386" operator="containsText" id="{2623B454-9A6E-453F-92D8-D23FE0FC1FEB}">
            <xm:f>NOT(ISERROR(SEARCH($AN$684,H52)))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387" operator="containsText" id="{1E24B441-4579-4C76-ABCD-01605C9BA09E}">
            <xm:f>NOT(ISERROR(SEARCH($AN$683,H52)))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388" operator="containsText" id="{D914B95F-3B11-43AE-8472-98A5D910307C}">
            <xm:f>NOT(ISERROR(SEARCH($AN$682,H52)))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389" operator="containsText" id="{9A3A2D4A-7DD8-4CA2-976B-67DAF8678CA2}">
            <xm:f>NOT(ISERROR(SEARCH($AN$681,H52)))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390" operator="containsText" id="{4E0BC8D0-BAEF-4D8E-822F-EB5E12368376}">
            <xm:f>NOT(ISERROR(SEARCH($AN$680,H52)))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391" operator="containsText" id="{086A848E-D095-4EDA-ABEC-36EFA79A3190}">
            <xm:f>NOT(ISERROR(SEARCH($AN$678,H52)))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392" operator="containsText" id="{BD0A5A6F-B3D2-4601-BD96-E5759E02EA67}">
            <xm:f>NOT(ISERROR(SEARCH($AN$679,H52)))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H52:M52 H53:H55</xm:sqref>
        </x14:conditionalFormatting>
        <x14:conditionalFormatting xmlns:xm="http://schemas.microsoft.com/office/excel/2006/main">
          <x14:cfRule type="containsText" priority="5456" operator="containsText" id="{DA7D73E3-18B6-466A-8F8B-3FF15ABF2E4D}">
            <xm:f>NOT(ISERROR(SEARCH($AN$681,H137)))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H137:M139 H140:H144 H145:M147</xm:sqref>
        </x14:conditionalFormatting>
        <x14:conditionalFormatting xmlns:xm="http://schemas.microsoft.com/office/excel/2006/main">
          <x14:cfRule type="containsText" priority="5449" operator="containsText" id="{7611A5A6-4CCB-45F0-98DD-C153B7D8247E}">
            <xm:f>NOT(ISERROR(SEARCH($AN$687,H137)))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450" operator="containsText" id="{F7BD9980-098A-4741-8E2B-572B4DEA4015}">
            <xm:f>NOT(ISERROR(SEARCH($AN$688,H137)))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451" operator="containsText" id="{F450C8DB-83BC-4180-94F5-6B40565C2E9B}">
            <xm:f>NOT(ISERROR(SEARCH($AN$686,H137)))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452" operator="containsText" id="{2B0B2868-8EE8-4ED4-A487-8F2EADEDE65E}">
            <xm:f>NOT(ISERROR(SEARCH($AN$685,H137)))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453" operator="containsText" id="{6BAE77D2-7F2A-41B6-A305-DC19A0C8AB4E}">
            <xm:f>NOT(ISERROR(SEARCH($AN$684,H137)))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454" operator="containsText" id="{A8DD987C-8237-4309-BEF1-9E0AB3190555}">
            <xm:f>NOT(ISERROR(SEARCH($AN$683,H137)))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455" operator="containsText" id="{BFB49E81-9F44-4A8F-A224-C43FE83F1A45}">
            <xm:f>NOT(ISERROR(SEARCH($AN$682,H137)))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457" operator="containsText" id="{E8FB8E8E-0C3A-4EE8-83DE-78589D473744}">
            <xm:f>NOT(ISERROR(SEARCH($AN$680,H137)))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458" operator="containsText" id="{2DFA80E5-2715-47F3-9EA4-BD074E56E75A}">
            <xm:f>NOT(ISERROR(SEARCH($AN$678,H137)))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459" operator="containsText" id="{A61F762D-EF70-43CE-854A-1D29F49DE7FA}">
            <xm:f>NOT(ISERROR(SEARCH($AN$679,H137)))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H137:M139 H145:M147 H140:H144</xm:sqref>
        </x14:conditionalFormatting>
        <x14:conditionalFormatting xmlns:xm="http://schemas.microsoft.com/office/excel/2006/main">
          <x14:cfRule type="containsText" priority="5411" operator="containsText" id="{7B391147-9EB4-4BE4-93FA-A2B0174DF551}">
            <xm:f>NOT(ISERROR(SEARCH($AN$704,H137)))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412" operator="containsText" id="{74A1DF8D-BF1D-4A97-8D77-8B942243ACCB}">
            <xm:f>NOT(ISERROR(SEARCH($AN$693,H137)))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413" operator="containsText" id="{21D55542-B8CA-490E-94C9-79AB233F2370}">
            <xm:f>NOT(ISERROR(SEARCH($AN$692,H137)))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414" operator="containsText" id="{9427B733-1EE0-47CA-BC63-6CDFEA34A382}">
            <xm:f>NOT(ISERROR(SEARCH($AN$691,H137)))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415" operator="containsText" id="{E7717550-2097-423D-BCBF-92931A5DD6BF}">
            <xm:f>NOT(ISERROR(SEARCH($AN$689,H137)))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H137:M148 H149:H153</xm:sqref>
        </x14:conditionalFormatting>
        <x14:conditionalFormatting xmlns:xm="http://schemas.microsoft.com/office/excel/2006/main">
          <x14:cfRule type="containsText" priority="2545" operator="containsText" id="{56FB0A09-1DCB-42F8-9256-1C72231D9280}">
            <xm:f>NOT(ISERROR(SEARCH($AN$690,H137)))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H137:M153</xm:sqref>
        </x14:conditionalFormatting>
        <x14:conditionalFormatting xmlns:xm="http://schemas.microsoft.com/office/excel/2006/main">
          <x14:cfRule type="containsText" priority="5471" operator="containsText" id="{02547830-41C6-4026-9222-AA06B9BDCB96}">
            <xm:f>NOT(ISERROR(SEARCH($AN$687,H148)))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472" operator="containsText" id="{AEDBA412-775E-4A22-997E-6C5C8F8E795C}">
            <xm:f>NOT(ISERROR(SEARCH($AN$688,H148)))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473" operator="containsText" id="{9727FDF9-D8D5-49CC-8982-353C9B589EDF}">
            <xm:f>NOT(ISERROR(SEARCH($AN$686,H148)))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474" operator="containsText" id="{30525B91-BCF7-4E71-9BB4-33E91450382B}">
            <xm:f>NOT(ISERROR(SEARCH($AN$685,H148)))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475" operator="containsText" id="{B86754C6-917F-42C4-BE69-E20969DC1DA0}">
            <xm:f>NOT(ISERROR(SEARCH($AN$684,H148)))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476" operator="containsText" id="{3A64F1CD-E34E-48C2-B549-59A62C29696A}">
            <xm:f>NOT(ISERROR(SEARCH($AN$683,H148)))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477" operator="containsText" id="{C211B60D-13FD-4591-BA2D-020AA779E0EA}">
            <xm:f>NOT(ISERROR(SEARCH($AN$682,H148)))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478" operator="containsText" id="{CA1F66F2-4942-4D1B-8D7A-CFB9EBACED83}">
            <xm:f>NOT(ISERROR(SEARCH($AN$681,H148)))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479" operator="containsText" id="{C1D37675-9BB8-4917-8DDB-29F6006287E6}">
            <xm:f>NOT(ISERROR(SEARCH($AN$680,H148)))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480" operator="containsText" id="{144FD813-22A4-4AA2-A40A-95096E4D56A2}">
            <xm:f>NOT(ISERROR(SEARCH($AN$678,H148)))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481" operator="containsText" id="{4ACA510A-75C5-452B-ADE8-0864ED0B1BF9}">
            <xm:f>NOT(ISERROR(SEARCH($AN$679,H148)))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H148:M148 H149:H151</xm:sqref>
        </x14:conditionalFormatting>
        <x14:conditionalFormatting xmlns:xm="http://schemas.microsoft.com/office/excel/2006/main">
          <x14:cfRule type="containsText" priority="5545" operator="containsText" id="{2A4BDC57-F65E-4E56-9976-BB3029632DF0}">
            <xm:f>NOT(ISERROR(SEARCH($AN$681,H233)))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H233:M235 H236:H240 H241:M243</xm:sqref>
        </x14:conditionalFormatting>
        <x14:conditionalFormatting xmlns:xm="http://schemas.microsoft.com/office/excel/2006/main">
          <x14:cfRule type="containsText" priority="5538" operator="containsText" id="{2F90A316-1326-48EC-8B41-230934A31B9D}">
            <xm:f>NOT(ISERROR(SEARCH($AN$687,H233)))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539" operator="containsText" id="{5EA3B343-A4E0-4A9B-A92A-B876C3E5CC2A}">
            <xm:f>NOT(ISERROR(SEARCH($AN$688,H233)))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540" operator="containsText" id="{EB2DF0F3-4C21-4647-82DE-64AA4E646ED5}">
            <xm:f>NOT(ISERROR(SEARCH($AN$686,H233)))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41" operator="containsText" id="{25319DA7-0E48-4895-8296-849399E5EB65}">
            <xm:f>NOT(ISERROR(SEARCH($AN$685,H233)))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542" operator="containsText" id="{89D56A58-1A91-4D08-976B-B88F7BE68D42}">
            <xm:f>NOT(ISERROR(SEARCH($AN$684,H233)))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43" operator="containsText" id="{E54B5081-FAEE-40E8-B7AA-42494F4C10F9}">
            <xm:f>NOT(ISERROR(SEARCH($AN$683,H233)))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544" operator="containsText" id="{87B1B2EA-7745-4806-B613-2DC0E936400F}">
            <xm:f>NOT(ISERROR(SEARCH($AN$682,H233)))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546" operator="containsText" id="{326FC637-2F1D-4614-A447-7EA7C3E1FFDE}">
            <xm:f>NOT(ISERROR(SEARCH($AN$680,H233)))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547" operator="containsText" id="{7DE28064-A002-4E15-9A2A-07F69DC1739F}">
            <xm:f>NOT(ISERROR(SEARCH($AN$678,H233)))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548" operator="containsText" id="{AD5CD745-22B9-43DF-804A-C291467ED520}">
            <xm:f>NOT(ISERROR(SEARCH($AN$679,H233)))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H233:M235 H241:M243 H236:H240</xm:sqref>
        </x14:conditionalFormatting>
        <x14:conditionalFormatting xmlns:xm="http://schemas.microsoft.com/office/excel/2006/main">
          <x14:cfRule type="containsText" priority="5500" operator="containsText" id="{7CCB72F8-BADD-4112-B5C5-976A03D1FE0E}">
            <xm:f>NOT(ISERROR(SEARCH($AN$704,H233)))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501" operator="containsText" id="{3A2D45B4-BE66-4B59-AFF8-61A953A056F9}">
            <xm:f>NOT(ISERROR(SEARCH($AN$693,H233)))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502" operator="containsText" id="{31F55CFF-E7E4-43FA-90D2-76193E1EA502}">
            <xm:f>NOT(ISERROR(SEARCH($AN$692,H233)))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503" operator="containsText" id="{250B7A5C-B2AD-4D1A-B9EB-16FAFE81B863}">
            <xm:f>NOT(ISERROR(SEARCH($AN$691,H233)))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504" operator="containsText" id="{EECF4272-E9BA-4826-873F-96EC5F7FE62E}">
            <xm:f>NOT(ISERROR(SEARCH($AN$689,H233)))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H233:M244 H245:H249</xm:sqref>
        </x14:conditionalFormatting>
        <x14:conditionalFormatting xmlns:xm="http://schemas.microsoft.com/office/excel/2006/main">
          <x14:cfRule type="containsText" priority="3024" operator="containsText" id="{69EC4773-9C78-46D4-9EC2-6BC97D8E2883}">
            <xm:f>NOT(ISERROR(SEARCH($AN$690,H233)))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H233:M249</xm:sqref>
        </x14:conditionalFormatting>
        <x14:conditionalFormatting xmlns:xm="http://schemas.microsoft.com/office/excel/2006/main">
          <x14:cfRule type="containsText" priority="5560" operator="containsText" id="{742C471E-6C0C-4D5D-9C86-E9EA46B84DA2}">
            <xm:f>NOT(ISERROR(SEARCH($AN$687,H244)))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561" operator="containsText" id="{8B5285EE-20B9-4C1F-8A53-E925C8EF06F1}">
            <xm:f>NOT(ISERROR(SEARCH($AN$688,H244)))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562" operator="containsText" id="{B7B54EEB-DFF0-44EA-AEB1-FC1DCC241BA3}">
            <xm:f>NOT(ISERROR(SEARCH($AN$686,H244)))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63" operator="containsText" id="{D49683E9-D941-4CE1-9CFA-CB3053C9F589}">
            <xm:f>NOT(ISERROR(SEARCH($AN$685,H244)))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564" operator="containsText" id="{D238F32D-E521-44FC-9810-423AF85E923B}">
            <xm:f>NOT(ISERROR(SEARCH($AN$684,H244)))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65" operator="containsText" id="{415F2795-AB6D-4B3F-B4A0-84658830A13A}">
            <xm:f>NOT(ISERROR(SEARCH($AN$683,H244)))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566" operator="containsText" id="{E8A7DDD3-1221-4221-8A96-7D448E689102}">
            <xm:f>NOT(ISERROR(SEARCH($AN$682,H244)))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567" operator="containsText" id="{9783E6C6-28C9-49FE-9E77-4E3D012E5C7C}">
            <xm:f>NOT(ISERROR(SEARCH($AN$681,H244)))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568" operator="containsText" id="{DE4BC686-3922-4148-9D98-E13A72CAB008}">
            <xm:f>NOT(ISERROR(SEARCH($AN$680,H244)))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569" operator="containsText" id="{6A46D122-1CB2-4BF2-A724-055220EB2977}">
            <xm:f>NOT(ISERROR(SEARCH($AN$678,H244)))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570" operator="containsText" id="{76D604A4-21C5-40E7-B33B-1104A2FE0470}">
            <xm:f>NOT(ISERROR(SEARCH($AN$679,H244)))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H244:M244 H245:H247</xm:sqref>
        </x14:conditionalFormatting>
        <x14:conditionalFormatting xmlns:xm="http://schemas.microsoft.com/office/excel/2006/main">
          <x14:cfRule type="containsText" priority="2990" operator="containsText" id="{AC35F428-8C9E-4A10-A8C6-C5D68FBA444D}">
            <xm:f>NOT(ISERROR(SEARCH($AN$690,H341)))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H341:M345</xm:sqref>
        </x14:conditionalFormatting>
        <x14:conditionalFormatting xmlns:xm="http://schemas.microsoft.com/office/excel/2006/main">
          <x14:cfRule type="containsText" priority="9380" operator="containsText" id="{6C2C6BA5-2FDE-48FA-AD37-18993044E7A9}">
            <xm:f>NOT(ISERROR(SEARCH($AN$681,H425)))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H425:M427 H428:H432 H433:M435</xm:sqref>
        </x14:conditionalFormatting>
        <x14:conditionalFormatting xmlns:xm="http://schemas.microsoft.com/office/excel/2006/main">
          <x14:cfRule type="containsText" priority="9374" operator="containsText" id="{32F4C570-1A37-4E94-8CFF-DC837E1EB1B2}">
            <xm:f>NOT(ISERROR(SEARCH($AN$688,H425)))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375" operator="containsText" id="{58DE7A1E-8AF3-4D0E-BF6D-CB860C1DC1C6}">
            <xm:f>NOT(ISERROR(SEARCH($AN$686,H425)))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376" operator="containsText" id="{6BE8B147-2255-4566-B7E7-9F43765E81CF}">
            <xm:f>NOT(ISERROR(SEARCH($AN$685,H425)))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377" operator="containsText" id="{7B15CD0B-2FD4-4CCF-BED6-18FA97877EC7}">
            <xm:f>NOT(ISERROR(SEARCH($AN$684,H425)))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378" operator="containsText" id="{3F6DB5C4-073E-4E9F-ACA2-510482A2113E}">
            <xm:f>NOT(ISERROR(SEARCH($AN$683,H425)))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379" operator="containsText" id="{CDF3E5D2-A840-4363-B3A2-5D80C5D52FB9}">
            <xm:f>NOT(ISERROR(SEARCH($AN$682,H425)))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381" operator="containsText" id="{BD9FA50E-B6DF-4ADE-A220-5A3D4C2E9D2E}">
            <xm:f>NOT(ISERROR(SEARCH($AN$680,H425)))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382" operator="containsText" id="{CD93DC2B-61F8-4767-9665-4C1F935E1B46}">
            <xm:f>NOT(ISERROR(SEARCH($AN$678,H425)))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383" operator="containsText" id="{3E0BB9CB-0A16-4EA2-AAE9-B0AE83C87464}">
            <xm:f>NOT(ISERROR(SEARCH($AN$679,H425)))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H425:M427 H433:M435 H428:H432</xm:sqref>
        </x14:conditionalFormatting>
        <x14:conditionalFormatting xmlns:xm="http://schemas.microsoft.com/office/excel/2006/main">
          <x14:cfRule type="containsText" priority="9317" operator="containsText" id="{ABDF70DC-A8C4-4DFB-A796-C29DF55F65FE}">
            <xm:f>NOT(ISERROR(SEARCH($AN$704,H425)))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318" operator="containsText" id="{10AEFD15-8CEE-427D-91C7-AFB4C6B56EC3}">
            <xm:f>NOT(ISERROR(SEARCH($AN$693,H425)))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9319" operator="containsText" id="{4D74D07B-63E7-4015-9865-763865BFB1D3}">
            <xm:f>NOT(ISERROR(SEARCH($AN$692,H425)))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320" operator="containsText" id="{5063A1F1-C6AA-41FF-AFD9-A002BAE308AC}">
            <xm:f>NOT(ISERROR(SEARCH($AN$691,H425)))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9321" operator="containsText" id="{F92105DE-610A-4630-B335-D52458EAFD1E}">
            <xm:f>NOT(ISERROR(SEARCH($AN$689,H425)))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H425:M436 H437:H441</xm:sqref>
        </x14:conditionalFormatting>
        <x14:conditionalFormatting xmlns:xm="http://schemas.microsoft.com/office/excel/2006/main">
          <x14:cfRule type="containsText" priority="9339" operator="containsText" id="{D82525BA-5506-40F6-A28F-125B1F717F2F}">
            <xm:f>NOT(ISERROR(SEARCH($AN$687,H425)))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H425:M436</xm:sqref>
        </x14:conditionalFormatting>
        <x14:conditionalFormatting xmlns:xm="http://schemas.microsoft.com/office/excel/2006/main">
          <x14:cfRule type="containsText" priority="2845" operator="containsText" id="{7F15CB6D-5686-45D5-B835-3F24767B795B}">
            <xm:f>NOT(ISERROR(SEARCH($AN$690,H425)))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H425:M441</xm:sqref>
        </x14:conditionalFormatting>
        <x14:conditionalFormatting xmlns:xm="http://schemas.microsoft.com/office/excel/2006/main">
          <x14:cfRule type="containsText" priority="9442" operator="containsText" id="{295AA877-A117-49C0-9CC1-D5A00F54A3FE}">
            <xm:f>NOT(ISERROR(SEARCH($AN$688,H436)))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443" operator="containsText" id="{91EF1C5B-D929-48E8-A160-ADD8B3E1D81E}">
            <xm:f>NOT(ISERROR(SEARCH($AN$686,H436)))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444" operator="containsText" id="{35D94A42-E19D-40C9-9845-BB1D0CF31944}">
            <xm:f>NOT(ISERROR(SEARCH($AN$685,H436)))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445" operator="containsText" id="{4896B084-8BB6-49AD-AAE1-576DEF0A9E10}">
            <xm:f>NOT(ISERROR(SEARCH($AN$684,H436)))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446" operator="containsText" id="{8A3A9C1D-E18C-49ED-B1EB-3748EC96ED4C}">
            <xm:f>NOT(ISERROR(SEARCH($AN$683,H436)))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447" operator="containsText" id="{AB7940B5-189B-4F5B-9467-AFF1504B2E61}">
            <xm:f>NOT(ISERROR(SEARCH($AN$682,H436)))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448" operator="containsText" id="{C8575602-C422-4EE5-A9D0-224779C5E6C3}">
            <xm:f>NOT(ISERROR(SEARCH($AN$681,H436)))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449" operator="containsText" id="{1A0EA3AB-B9B7-4F6A-8244-3352FF800D70}">
            <xm:f>NOT(ISERROR(SEARCH($AN$680,H436)))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450" operator="containsText" id="{CAD8A745-2FCF-4A29-BF6D-F11479EE7EFD}">
            <xm:f>NOT(ISERROR(SEARCH($AN$678,H436)))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451" operator="containsText" id="{17A12D6B-DB77-45EF-849B-2BCABF99D8E6}">
            <xm:f>NOT(ISERROR(SEARCH($AN$679,H436)))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H436:M436 H437:H439</xm:sqref>
        </x14:conditionalFormatting>
        <x14:conditionalFormatting xmlns:xm="http://schemas.microsoft.com/office/excel/2006/main">
          <x14:cfRule type="containsText" priority="9408" operator="containsText" id="{5EAEC671-8E93-44F3-AE69-A24D953D09E5}">
            <xm:f>NOT(ISERROR(SEARCH($AN$688,H442)))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409" operator="containsText" id="{E3220DAF-BA39-4947-830F-8E532CD4C147}">
            <xm:f>NOT(ISERROR(SEARCH($AN$686,H442)))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410" operator="containsText" id="{D3F6463C-113D-4114-8042-EEEA4F53BB9C}">
            <xm:f>NOT(ISERROR(SEARCH($AN$685,H442)))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411" operator="containsText" id="{EECDE95E-9EE8-41E7-85BE-FA6283558F2F}">
            <xm:f>NOT(ISERROR(SEARCH($AN$684,H442)))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412" operator="containsText" id="{39CA7723-85AB-491F-AF8A-87F6C64B4871}">
            <xm:f>NOT(ISERROR(SEARCH($AN$683,H442)))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413" operator="containsText" id="{9FB5F862-C0B3-4E20-8676-89FB64ECE009}">
            <xm:f>NOT(ISERROR(SEARCH($AN$682,H442)))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414" operator="containsText" id="{27EA062C-C5FF-4B26-9EF0-871BC1BC847E}">
            <xm:f>NOT(ISERROR(SEARCH($AN$681,H442)))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415" operator="containsText" id="{FA47F600-E70C-4C0B-A77F-72E213737533}">
            <xm:f>NOT(ISERROR(SEARCH($AN$680,H442)))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416" operator="containsText" id="{768CCCB1-196B-45E5-ABEE-A20AA79F58B4}">
            <xm:f>NOT(ISERROR(SEARCH($AN$678,H442)))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417" operator="containsText" id="{16A900E6-941D-4603-B617-D4D1184294E3}">
            <xm:f>NOT(ISERROR(SEARCH($AN$679,H442)))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H442:M450</xm:sqref>
        </x14:conditionalFormatting>
        <x14:conditionalFormatting xmlns:xm="http://schemas.microsoft.com/office/excel/2006/main">
          <x14:cfRule type="containsText" priority="9227" operator="containsText" id="{3D115250-BA56-4AC1-A096-CDEB53B804E6}">
            <xm:f>NOT(ISERROR(SEARCH($AN$681,H521)))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H521:M523 H524:H528 H529:M531</xm:sqref>
        </x14:conditionalFormatting>
        <x14:conditionalFormatting xmlns:xm="http://schemas.microsoft.com/office/excel/2006/main">
          <x14:cfRule type="containsText" priority="9221" operator="containsText" id="{AB352531-A909-4567-BA78-CA2A2312D92E}">
            <xm:f>NOT(ISERROR(SEARCH($AN$688,H521)))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222" operator="containsText" id="{44C36718-CB7E-4858-9D1F-5F6A7410F756}">
            <xm:f>NOT(ISERROR(SEARCH($AN$686,H521)))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223" operator="containsText" id="{49782345-07E6-4A2B-A632-8066CED0514B}">
            <xm:f>NOT(ISERROR(SEARCH($AN$685,H521)))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224" operator="containsText" id="{0200A67F-AADE-4165-AA03-4C3927F2F8B3}">
            <xm:f>NOT(ISERROR(SEARCH($AN$684,H521)))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225" operator="containsText" id="{B69E640E-7631-4969-8E3B-FC976123999C}">
            <xm:f>NOT(ISERROR(SEARCH($AN$683,H521)))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226" operator="containsText" id="{9814BE0B-A210-4962-A1EE-375F217AC50A}">
            <xm:f>NOT(ISERROR(SEARCH($AN$682,H521)))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228" operator="containsText" id="{22DADD4A-D706-4F45-8A89-079E382C1DD1}">
            <xm:f>NOT(ISERROR(SEARCH($AN$680,H521)))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229" operator="containsText" id="{4909D5D0-E2BE-42C8-A0D9-52F853DE43E2}">
            <xm:f>NOT(ISERROR(SEARCH($AN$678,H521)))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230" operator="containsText" id="{C5FD3BAB-467F-4E21-9300-CEFC80593D3A}">
            <xm:f>NOT(ISERROR(SEARCH($AN$679,H521)))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H521:M523 H529:M531 H524:H528</xm:sqref>
        </x14:conditionalFormatting>
        <x14:conditionalFormatting xmlns:xm="http://schemas.microsoft.com/office/excel/2006/main">
          <x14:cfRule type="containsText" priority="9164" operator="containsText" id="{E02D382F-27A0-43E3-AE96-5A9E487F0C80}">
            <xm:f>NOT(ISERROR(SEARCH($AN$704,H521)))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165" operator="containsText" id="{D3DBAFE5-892C-43E6-A64F-2EC0FCBC9C3B}">
            <xm:f>NOT(ISERROR(SEARCH($AN$693,H521)))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9166" operator="containsText" id="{DB2F354C-4B1D-4248-B12C-09319E38A0CA}">
            <xm:f>NOT(ISERROR(SEARCH($AN$692,H521)))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167" operator="containsText" id="{B12A3B64-39A3-42EE-8B5D-EEF40EEE1D82}">
            <xm:f>NOT(ISERROR(SEARCH($AN$691,H521)))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9168" operator="containsText" id="{B9E69F1F-D73E-49A1-9264-F04200565278}">
            <xm:f>NOT(ISERROR(SEARCH($AN$689,H521)))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H521:M532 H533:H537</xm:sqref>
        </x14:conditionalFormatting>
        <x14:conditionalFormatting xmlns:xm="http://schemas.microsoft.com/office/excel/2006/main">
          <x14:cfRule type="containsText" priority="9186" operator="containsText" id="{C130D6DF-9CE6-4F6A-9ACE-377EC1F6F91F}">
            <xm:f>NOT(ISERROR(SEARCH($AN$687,H521)))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H521:M532</xm:sqref>
        </x14:conditionalFormatting>
        <x14:conditionalFormatting xmlns:xm="http://schemas.microsoft.com/office/excel/2006/main">
          <x14:cfRule type="containsText" priority="2785" operator="containsText" id="{57D5B694-2CCA-47FA-9AA4-08DC83353269}">
            <xm:f>NOT(ISERROR(SEARCH($AN$690,H521)))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H521:M537</xm:sqref>
        </x14:conditionalFormatting>
        <x14:conditionalFormatting xmlns:xm="http://schemas.microsoft.com/office/excel/2006/main">
          <x14:cfRule type="containsText" priority="9289" operator="containsText" id="{BC491D7B-0589-4BB4-BAFC-4D113C5E54E3}">
            <xm:f>NOT(ISERROR(SEARCH($AN$688,H532)))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290" operator="containsText" id="{9D9BCB06-F36E-40A3-853C-B4FB4C7DD756}">
            <xm:f>NOT(ISERROR(SEARCH($AN$686,H532)))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291" operator="containsText" id="{A7A38088-327B-4699-B7E0-F457E26AE134}">
            <xm:f>NOT(ISERROR(SEARCH($AN$685,H532)))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292" operator="containsText" id="{F2FCCA9C-4B1D-495B-BECB-516FF5E4F2A6}">
            <xm:f>NOT(ISERROR(SEARCH($AN$684,H532)))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293" operator="containsText" id="{5E9605EE-503E-4A5C-9B74-452FD510F133}">
            <xm:f>NOT(ISERROR(SEARCH($AN$683,H532)))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294" operator="containsText" id="{C80532D7-8B27-43CB-9DD4-F705C9914E20}">
            <xm:f>NOT(ISERROR(SEARCH($AN$682,H532)))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295" operator="containsText" id="{14BD378B-DFC7-419F-976F-2C79B4B3AEAB}">
            <xm:f>NOT(ISERROR(SEARCH($AN$681,H532)))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296" operator="containsText" id="{D56BB26E-14B6-46D0-960D-AB3D5D2EA482}">
            <xm:f>NOT(ISERROR(SEARCH($AN$680,H532)))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297" operator="containsText" id="{76655142-4984-4177-B21F-F5B5BF28B71E}">
            <xm:f>NOT(ISERROR(SEARCH($AN$678,H532)))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298" operator="containsText" id="{5281EB52-73E1-41DB-87D5-610A65F82118}">
            <xm:f>NOT(ISERROR(SEARCH($AN$679,H532)))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H532:M532 H533:H535</xm:sqref>
        </x14:conditionalFormatting>
        <x14:conditionalFormatting xmlns:xm="http://schemas.microsoft.com/office/excel/2006/main">
          <x14:cfRule type="containsText" priority="9255" operator="containsText" id="{6D55BEC1-B0F1-4E4E-A5C3-A23B68C7D91A}">
            <xm:f>NOT(ISERROR(SEARCH($AN$688,H538)))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256" operator="containsText" id="{9D176B06-0B49-4EE3-93C6-BDDCEF1D3D68}">
            <xm:f>NOT(ISERROR(SEARCH($AN$686,H538)))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257" operator="containsText" id="{59BCCCE1-2483-4807-9764-0DF753C9F72B}">
            <xm:f>NOT(ISERROR(SEARCH($AN$685,H538)))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258" operator="containsText" id="{18A6780B-86EC-4D99-8755-F2B96EF96CAE}">
            <xm:f>NOT(ISERROR(SEARCH($AN$684,H538)))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259" operator="containsText" id="{5F0E2D19-D997-4A47-9F30-10A4156002DA}">
            <xm:f>NOT(ISERROR(SEARCH($AN$683,H538)))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260" operator="containsText" id="{2367CFF3-EC81-41DE-9396-F0E244203DF5}">
            <xm:f>NOT(ISERROR(SEARCH($AN$682,H538)))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261" operator="containsText" id="{E8A87CD6-761B-4C5D-914E-5F20BD410700}">
            <xm:f>NOT(ISERROR(SEARCH($AN$681,H538)))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262" operator="containsText" id="{5E80EE7F-1351-4441-93B7-AD88A74A9DF7}">
            <xm:f>NOT(ISERROR(SEARCH($AN$680,H538)))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263" operator="containsText" id="{41D0D0F2-775E-43E3-B1E6-71CDB34243A8}">
            <xm:f>NOT(ISERROR(SEARCH($AN$678,H538)))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264" operator="containsText" id="{0286E3D1-D608-4410-97A7-05D8EFE85532}">
            <xm:f>NOT(ISERROR(SEARCH($AN$679,H538)))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H538:M546</xm:sqref>
        </x14:conditionalFormatting>
        <x14:conditionalFormatting xmlns:xm="http://schemas.microsoft.com/office/excel/2006/main">
          <x14:cfRule type="containsText" priority="9074" operator="containsText" id="{598DACFD-9990-4175-9577-7ACDF13271F5}">
            <xm:f>NOT(ISERROR(SEARCH($AN$681,H617)))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H617:M619 H620:H624 H625:M627</xm:sqref>
        </x14:conditionalFormatting>
        <x14:conditionalFormatting xmlns:xm="http://schemas.microsoft.com/office/excel/2006/main">
          <x14:cfRule type="containsText" priority="9068" operator="containsText" id="{8E246F40-6FB9-42D4-97DC-EF8623BB491B}">
            <xm:f>NOT(ISERROR(SEARCH($AN$688,H617)))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069" operator="containsText" id="{76F014DF-C58B-46EF-A7A6-836840A83979}">
            <xm:f>NOT(ISERROR(SEARCH($AN$686,H617)))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070" operator="containsText" id="{63C7E52F-A9E0-4799-AEFD-74B0817373C9}">
            <xm:f>NOT(ISERROR(SEARCH($AN$685,H617)))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071" operator="containsText" id="{2325F370-EE77-4B26-A936-0CE8CE08B291}">
            <xm:f>NOT(ISERROR(SEARCH($AN$684,H617)))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072" operator="containsText" id="{1FB669E3-0839-4293-9953-AB708C66FC3D}">
            <xm:f>NOT(ISERROR(SEARCH($AN$683,H617)))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073" operator="containsText" id="{AE0709C7-4BEA-4BE5-935B-B0C807ED002E}">
            <xm:f>NOT(ISERROR(SEARCH($AN$682,H617)))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075" operator="containsText" id="{FAC67C17-0A80-4051-8EC0-EDFD72C389EA}">
            <xm:f>NOT(ISERROR(SEARCH($AN$680,H617)))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076" operator="containsText" id="{A1C47127-DD29-4CEB-A1FF-F47F86C869D4}">
            <xm:f>NOT(ISERROR(SEARCH($AN$678,H617)))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077" operator="containsText" id="{A8CD13C9-0D9F-4399-A505-76666B9EC379}">
            <xm:f>NOT(ISERROR(SEARCH($AN$679,H617)))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H617:M619 H625:M627 H620:H624</xm:sqref>
        </x14:conditionalFormatting>
        <x14:conditionalFormatting xmlns:xm="http://schemas.microsoft.com/office/excel/2006/main">
          <x14:cfRule type="containsText" priority="9011" operator="containsText" id="{201CAD57-B471-46FC-B860-06B6635C43A3}">
            <xm:f>NOT(ISERROR(SEARCH($AN$704,H617)))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012" operator="containsText" id="{1D4D1BCD-DEC0-4758-B34E-FC6BB9C7F733}">
            <xm:f>NOT(ISERROR(SEARCH($AN$693,H617)))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9013" operator="containsText" id="{76A047A1-B0B4-4104-B14A-A9EE2D6AE313}">
            <xm:f>NOT(ISERROR(SEARCH($AN$692,H617)))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014" operator="containsText" id="{65FDD3DD-B8DE-4C98-AAA8-D6C0B9C74F1E}">
            <xm:f>NOT(ISERROR(SEARCH($AN$691,H617)))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9015" operator="containsText" id="{0C373356-2589-4264-9B34-72BA38419A70}">
            <xm:f>NOT(ISERROR(SEARCH($AN$689,H617)))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H617:M628 H629:H633</xm:sqref>
        </x14:conditionalFormatting>
        <x14:conditionalFormatting xmlns:xm="http://schemas.microsoft.com/office/excel/2006/main">
          <x14:cfRule type="containsText" priority="9033" operator="containsText" id="{A0CBCB17-6490-46BF-A810-A916F4C61451}">
            <xm:f>NOT(ISERROR(SEARCH($AN$687,H617)))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H617:M628</xm:sqref>
        </x14:conditionalFormatting>
        <x14:conditionalFormatting xmlns:xm="http://schemas.microsoft.com/office/excel/2006/main">
          <x14:cfRule type="containsText" priority="2725" operator="containsText" id="{B2698421-F644-419E-9C01-281611CA7917}">
            <xm:f>NOT(ISERROR(SEARCH($AN$690,H617)))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H617:M633</xm:sqref>
        </x14:conditionalFormatting>
        <x14:conditionalFormatting xmlns:xm="http://schemas.microsoft.com/office/excel/2006/main">
          <x14:cfRule type="containsText" priority="9136" operator="containsText" id="{AF5F3F16-0B0A-4F52-B33D-557EF2EF2BAC}">
            <xm:f>NOT(ISERROR(SEARCH($AN$688,H628)))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137" operator="containsText" id="{1E35B30E-FF39-48FF-9A18-0678985767DD}">
            <xm:f>NOT(ISERROR(SEARCH($AN$686,H628)))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138" operator="containsText" id="{263D888A-5E62-463B-B92B-EE1035C423E5}">
            <xm:f>NOT(ISERROR(SEARCH($AN$685,H628)))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139" operator="containsText" id="{24B3ABFF-AAB4-4758-A7D4-64469F69A299}">
            <xm:f>NOT(ISERROR(SEARCH($AN$684,H628)))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140" operator="containsText" id="{C6F5D81F-A2CF-4395-9B20-49E038BB6E29}">
            <xm:f>NOT(ISERROR(SEARCH($AN$683,H628)))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141" operator="containsText" id="{4A1426C2-7DE1-413D-924E-7B233E026424}">
            <xm:f>NOT(ISERROR(SEARCH($AN$682,H628)))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142" operator="containsText" id="{6986B0D2-9954-4D1E-9181-DF342EFA64E3}">
            <xm:f>NOT(ISERROR(SEARCH($AN$681,H628)))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143" operator="containsText" id="{DC952A7A-35D3-48EF-97BC-48A3B1AF7E0C}">
            <xm:f>NOT(ISERROR(SEARCH($AN$680,H628)))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144" operator="containsText" id="{F36A2CB0-D185-45E1-9B73-F733D2914AB5}">
            <xm:f>NOT(ISERROR(SEARCH($AN$678,H628)))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145" operator="containsText" id="{06FD5C53-22AE-4AF4-B048-2A8661AC27DB}">
            <xm:f>NOT(ISERROR(SEARCH($AN$679,H628)))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H628:M628 H629:H631</xm:sqref>
        </x14:conditionalFormatting>
        <x14:conditionalFormatting xmlns:xm="http://schemas.microsoft.com/office/excel/2006/main">
          <x14:cfRule type="containsText" priority="9102" operator="containsText" id="{1D11906C-7FE0-492B-8D11-78118D3B4BF9}">
            <xm:f>NOT(ISERROR(SEARCH($AN$688,H634)))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103" operator="containsText" id="{B0B6A85E-C795-4C7B-AEA5-C5330A5C617C}">
            <xm:f>NOT(ISERROR(SEARCH($AN$686,H634)))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104" operator="containsText" id="{18F2E9DD-BA3B-4192-B142-B162FD67DDFD}">
            <xm:f>NOT(ISERROR(SEARCH($AN$685,H634)))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105" operator="containsText" id="{88E45FE3-6C45-47BC-BF89-373B1101F8AD}">
            <xm:f>NOT(ISERROR(SEARCH($AN$684,H634)))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106" operator="containsText" id="{F9A03F63-389B-4F71-B845-0431D6516131}">
            <xm:f>NOT(ISERROR(SEARCH($AN$683,H634)))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107" operator="containsText" id="{7F1C6917-B8D8-449A-A679-69E7D2663738}">
            <xm:f>NOT(ISERROR(SEARCH($AN$682,H634)))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108" operator="containsText" id="{EE0EEA56-0F35-4B1B-8AAE-07808BEFAEA8}">
            <xm:f>NOT(ISERROR(SEARCH($AN$681,H634)))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109" operator="containsText" id="{E2E57CE7-968F-4017-B279-111484274C0E}">
            <xm:f>NOT(ISERROR(SEARCH($AN$680,H634)))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110" operator="containsText" id="{1666383B-A61C-4AC6-9EBE-1C70648028B4}">
            <xm:f>NOT(ISERROR(SEARCH($AN$678,H634)))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111" operator="containsText" id="{F1A1E97B-375E-49DD-9732-0E36F8CB3CAD}">
            <xm:f>NOT(ISERROR(SEARCH($AN$679,H634)))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H634:M642</xm:sqref>
        </x14:conditionalFormatting>
        <x14:conditionalFormatting xmlns:xm="http://schemas.microsoft.com/office/excel/2006/main">
          <x14:cfRule type="containsText" priority="8921" operator="containsText" id="{78E32657-AF3E-404C-B4D5-870023EB420D}">
            <xm:f>NOT(ISERROR(SEARCH($AN$681,H713)))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H713:M715 H716:H720 H721:M723</xm:sqref>
        </x14:conditionalFormatting>
        <x14:conditionalFormatting xmlns:xm="http://schemas.microsoft.com/office/excel/2006/main">
          <x14:cfRule type="containsText" priority="8915" operator="containsText" id="{68D9C0F3-1010-4D24-A8AF-62C6ABA31855}">
            <xm:f>NOT(ISERROR(SEARCH($AN$688,H713)))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8916" operator="containsText" id="{9DF23003-4E47-4D8E-A199-92F241C8CC11}">
            <xm:f>NOT(ISERROR(SEARCH($AN$686,H713)))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917" operator="containsText" id="{C8DA5D5C-5292-4C03-AEDD-C9A3ED08B52A}">
            <xm:f>NOT(ISERROR(SEARCH($AN$685,H713)))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8918" operator="containsText" id="{AA93E326-23E1-450E-83AC-D6AE41D3BF21}">
            <xm:f>NOT(ISERROR(SEARCH($AN$684,H713)))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919" operator="containsText" id="{DCB59F1D-3828-4162-8020-423911D7535F}">
            <xm:f>NOT(ISERROR(SEARCH($AN$683,H713)))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8920" operator="containsText" id="{4D6E814C-42CD-4BC3-B026-847E822328E5}">
            <xm:f>NOT(ISERROR(SEARCH($AN$682,H713)))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8922" operator="containsText" id="{14E861F0-BF52-40BA-A38F-7D0733E6941C}">
            <xm:f>NOT(ISERROR(SEARCH($AN$680,H713)))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8923" operator="containsText" id="{6D045F19-1A74-400A-92B2-659D767E4497}">
            <xm:f>NOT(ISERROR(SEARCH($AN$678,H713)))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8924" operator="containsText" id="{D148F04C-80D4-41A9-AE10-32FC03F39EE5}">
            <xm:f>NOT(ISERROR(SEARCH($AN$679,H713)))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H713:M715 H721:M723 H716:H720</xm:sqref>
        </x14:conditionalFormatting>
        <x14:conditionalFormatting xmlns:xm="http://schemas.microsoft.com/office/excel/2006/main">
          <x14:cfRule type="containsText" priority="8859" operator="containsText" id="{F1567704-AC77-4E26-BB51-60B93964D8BD}">
            <xm:f>NOT(ISERROR(SEARCH($AN$693,H713)))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H713:M724 H725:H729 H730:M730</xm:sqref>
        </x14:conditionalFormatting>
        <x14:conditionalFormatting xmlns:xm="http://schemas.microsoft.com/office/excel/2006/main">
          <x14:cfRule type="containsText" priority="8858" operator="containsText" id="{9A983424-2B17-4EE5-AC38-D275BA1E412E}">
            <xm:f>NOT(ISERROR(SEARCH($AN$704,H713)))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8860" operator="containsText" id="{A3B67C8F-C9D9-49D1-A7F5-03212DCED783}">
            <xm:f>NOT(ISERROR(SEARCH($AN$692,H713)))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861" operator="containsText" id="{8AF6E45A-A872-46FB-8A3F-300A5EDF27ED}">
            <xm:f>NOT(ISERROR(SEARCH($AN$691,H713)))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8862" operator="containsText" id="{3406AFA0-6190-4A2D-B535-C93062602F3A}">
            <xm:f>NOT(ISERROR(SEARCH($AN$689,H713)))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H713:M724 H730:M730 H725:H729</xm:sqref>
        </x14:conditionalFormatting>
        <x14:conditionalFormatting xmlns:xm="http://schemas.microsoft.com/office/excel/2006/main">
          <x14:cfRule type="containsText" priority="8880" operator="containsText" id="{5868E004-0A1D-426B-8952-DC0EE3C9B743}">
            <xm:f>NOT(ISERROR(SEARCH($AN$687,H713)))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H713:M724</xm:sqref>
        </x14:conditionalFormatting>
        <x14:conditionalFormatting xmlns:xm="http://schemas.microsoft.com/office/excel/2006/main">
          <x14:cfRule type="containsText" priority="2665" operator="containsText" id="{B163E7EE-256A-4A85-892B-2F82CEF07635}">
            <xm:f>NOT(ISERROR(SEARCH($AN$690,H713)))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H713:M731</xm:sqref>
        </x14:conditionalFormatting>
        <x14:conditionalFormatting xmlns:xm="http://schemas.microsoft.com/office/excel/2006/main">
          <x14:cfRule type="containsText" priority="8983" operator="containsText" id="{DB12CF69-7425-4580-B09B-7F5C51A7254E}">
            <xm:f>NOT(ISERROR(SEARCH($AN$688,H724)))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8984" operator="containsText" id="{B1A6720C-0316-4192-97BE-01F256B91267}">
            <xm:f>NOT(ISERROR(SEARCH($AN$686,H724)))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985" operator="containsText" id="{323989BB-DF12-48EB-B94D-CB351E8B83C0}">
            <xm:f>NOT(ISERROR(SEARCH($AN$685,H724)))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8986" operator="containsText" id="{3FDEB177-D94B-4291-9906-830CA8FBEBD9}">
            <xm:f>NOT(ISERROR(SEARCH($AN$684,H724)))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987" operator="containsText" id="{8E5DD332-8F80-4A2B-8731-7643A67972C2}">
            <xm:f>NOT(ISERROR(SEARCH($AN$683,H724)))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8988" operator="containsText" id="{FC6B8750-8376-452B-BC43-8F6EEDD59DA8}">
            <xm:f>NOT(ISERROR(SEARCH($AN$682,H724)))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8989" operator="containsText" id="{AB73FA37-107F-4C86-80CE-AC8E16E83788}">
            <xm:f>NOT(ISERROR(SEARCH($AN$681,H724)))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8990" operator="containsText" id="{A15EB1A0-D237-4A36-A3E9-CAB541AF48A0}">
            <xm:f>NOT(ISERROR(SEARCH($AN$680,H724)))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8991" operator="containsText" id="{88C2A2FA-63BF-4F05-A2CD-6FDCD9E5FD67}">
            <xm:f>NOT(ISERROR(SEARCH($AN$678,H724)))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8992" operator="containsText" id="{CE95EC63-F2E3-4CB8-A16D-2459D434163A}">
            <xm:f>NOT(ISERROR(SEARCH($AN$679,H724)))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H724:M724 H725:H727</xm:sqref>
        </x14:conditionalFormatting>
        <x14:conditionalFormatting xmlns:xm="http://schemas.microsoft.com/office/excel/2006/main">
          <x14:cfRule type="containsText" priority="8955" operator="containsText" id="{460D625B-E281-4DDB-9E50-546DFBD07BC4}">
            <xm:f>NOT(ISERROR(SEARCH($AN$681,H730)))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H730:M730 H731 H732:M738</xm:sqref>
        </x14:conditionalFormatting>
        <x14:conditionalFormatting xmlns:xm="http://schemas.microsoft.com/office/excel/2006/main">
          <x14:cfRule type="containsText" priority="8949" operator="containsText" id="{D0446683-CAB7-4DFD-A4BA-23CA60D1DE02}">
            <xm:f>NOT(ISERROR(SEARCH($AN$688,H730)))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8950" operator="containsText" id="{516B985C-1BC9-4ACB-880D-D768E14F775E}">
            <xm:f>NOT(ISERROR(SEARCH($AN$686,H730)))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951" operator="containsText" id="{F65DD01E-9788-4CD5-ACFE-9771B35FE802}">
            <xm:f>NOT(ISERROR(SEARCH($AN$685,H730)))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8952" operator="containsText" id="{7116E996-2651-45C7-A0A1-634C75B9666B}">
            <xm:f>NOT(ISERROR(SEARCH($AN$684,H730)))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953" operator="containsText" id="{D0A73E6D-F58D-4087-BC30-A48621452342}">
            <xm:f>NOT(ISERROR(SEARCH($AN$683,H730)))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8954" operator="containsText" id="{5A6FE43B-D878-4B91-A19F-BC4402A2286B}">
            <xm:f>NOT(ISERROR(SEARCH($AN$682,H730)))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8956" operator="containsText" id="{190185AF-E500-4ED7-A49C-6C1376B080E2}">
            <xm:f>NOT(ISERROR(SEARCH($AN$680,H730)))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8957" operator="containsText" id="{B2FAF902-00B8-4D2C-BB53-934F7C5092E2}">
            <xm:f>NOT(ISERROR(SEARCH($AN$678,H730)))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8958" operator="containsText" id="{149B7A76-9007-41FD-B911-08B00FF35422}">
            <xm:f>NOT(ISERROR(SEARCH($AN$679,H730)))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H730:M730 H732:M738 H731</xm:sqref>
        </x14:conditionalFormatting>
        <x14:conditionalFormatting xmlns:xm="http://schemas.microsoft.com/office/excel/2006/main">
          <x14:cfRule type="containsText" priority="8824" operator="containsText" id="{E5FB03C6-5875-4351-AD18-0E5638718647}">
            <xm:f>NOT(ISERROR(SEARCH($AN$704,H731)))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8825" operator="containsText" id="{7AD2413A-A436-45FD-AF08-9092A0B89302}">
            <xm:f>NOT(ISERROR(SEARCH($AN$693,H731)))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8826" operator="containsText" id="{EC4B7F22-DB1A-4197-95B4-37BC5FCE8A23}">
            <xm:f>NOT(ISERROR(SEARCH($AN$692,H731)))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827" operator="containsText" id="{91AC96D8-C00D-4CF5-A5E3-00751DD99CCE}">
            <xm:f>NOT(ISERROR(SEARCH($AN$691,H731)))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8828" operator="containsText" id="{27324E94-B599-4614-9FC0-A887A8AFFAB4}">
            <xm:f>NOT(ISERROR(SEARCH($AN$689,H731)))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8829" operator="containsText" id="{FBDAA0EA-E0E5-4120-9B27-9543BCA45DC9}">
            <xm:f>NOT(ISERROR(SEARCH($AN$687,H731)))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H731:M731</xm:sqref>
        </x14:conditionalFormatting>
        <x14:conditionalFormatting xmlns:xm="http://schemas.microsoft.com/office/excel/2006/main">
          <x14:cfRule type="containsText" priority="8948" operator="containsText" id="{468FCF85-037D-4199-8097-8C4197F75571}">
            <xm:f>NOT(ISERROR(SEARCH($AN$687,H730)))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H732:M738 H730:M730</xm:sqref>
        </x14:conditionalFormatting>
        <x14:conditionalFormatting xmlns:xm="http://schemas.microsoft.com/office/excel/2006/main">
          <x14:cfRule type="containsText" priority="8942" operator="containsText" id="{112274ED-55A8-43E5-8EA6-71D6FBC5FAE5}">
            <xm:f>NOT(ISERROR(SEARCH($AN$690,H732)))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8943" operator="containsText" id="{39B1A16C-2336-4A04-A58E-4789DAADF964}">
            <xm:f>NOT(ISERROR(SEARCH($AN$704,H732)))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8944" operator="containsText" id="{D4672B98-AE88-4402-93DA-E49FDCC70334}">
            <xm:f>NOT(ISERROR(SEARCH($AN$693,H732)))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8945" operator="containsText" id="{B788A59E-E587-4C34-A8AE-8CC38787A63E}">
            <xm:f>NOT(ISERROR(SEARCH($AN$692,H732)))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946" operator="containsText" id="{B67F2A76-4A20-4F1F-955E-68826C4BB4E5}">
            <xm:f>NOT(ISERROR(SEARCH($AN$691,H732)))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8947" operator="containsText" id="{C315A687-8AE6-42B9-BE72-CA3EAD71CD76}">
            <xm:f>NOT(ISERROR(SEARCH($AN$689,H732)))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H732:M738</xm:sqref>
        </x14:conditionalFormatting>
        <x14:conditionalFormatting xmlns:xm="http://schemas.microsoft.com/office/excel/2006/main">
          <x14:cfRule type="containsText" priority="22594" operator="containsText" id="{21924E1C-7D2D-490C-9023-B8D033B25932}">
            <xm:f>NOT(ISERROR(SEARCH($AN$692,H58)))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595" operator="containsText" id="{94F4F29C-3467-4FCB-9824-28A1F7C4FFD5}">
            <xm:f>NOT(ISERROR(SEARCH($AN$691,H58)))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596" operator="containsText" id="{32245110-DD98-49AA-ADFE-71F6AC2A0496}">
            <xm:f>NOT(ISERROR(SEARCH($AN$689,H58)))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597" operator="containsText" id="{667E55A8-9F0F-4B8E-88AF-570B532CB5AC}">
            <xm:f>NOT(ISERROR(SEARCH($AN$687,H58)))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604" operator="containsText" id="{89FEDD4B-3D8F-4F7C-9523-A6E1C563AC2C}">
            <xm:f>NOT(ISERROR(SEARCH($AN$681,H58)))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H58:P58 H59 N59:P59 H60:P93</xm:sqref>
        </x14:conditionalFormatting>
        <x14:conditionalFormatting xmlns:xm="http://schemas.microsoft.com/office/excel/2006/main">
          <x14:cfRule type="containsText" priority="22598" operator="containsText" id="{B1E805B3-2517-4DFE-B7AD-ABFCA3E8F4C7}">
            <xm:f>NOT(ISERROR(SEARCH($AN$688,H58)))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599" operator="containsText" id="{95DAC12F-38EF-4D42-9376-53FFC6F1283C}">
            <xm:f>NOT(ISERROR(SEARCH($AN$686,H58)))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600" operator="containsText" id="{4B2FF520-D4B1-46C4-95C6-AFFA678E499C}">
            <xm:f>NOT(ISERROR(SEARCH($AN$685,H58)))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601" operator="containsText" id="{130BEDEC-8355-4944-B4F6-BCCEC9B57F68}">
            <xm:f>NOT(ISERROR(SEARCH($AN$684,H58)))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602" operator="containsText" id="{393030CA-EBDC-434B-ADF7-3E707E1D123F}">
            <xm:f>NOT(ISERROR(SEARCH($AN$683,H58)))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603" operator="containsText" id="{B1F0D722-5D79-41DF-82F6-D5FDFD14BC37}">
            <xm:f>NOT(ISERROR(SEARCH($AN$682,H58)))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605" operator="containsText" id="{1382F12B-1758-4E8E-8F7E-5C19E008700E}">
            <xm:f>NOT(ISERROR(SEARCH($AN$680,H58)))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606" operator="containsText" id="{2B3DB3A1-F845-45F9-B24F-F2420448CBE9}">
            <xm:f>NOT(ISERROR(SEARCH($AN$678,H58)))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607" operator="containsText" id="{439DCE40-DE46-4469-95F7-0D1E9FE199EA}">
            <xm:f>NOT(ISERROR(SEARCH($AN$679,H58)))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H58:P58 H60:P93 H59 N59:P59</xm:sqref>
        </x14:conditionalFormatting>
        <x14:conditionalFormatting xmlns:xm="http://schemas.microsoft.com/office/excel/2006/main">
          <x14:cfRule type="containsText" priority="5219" operator="containsText" id="{B3686CB6-A201-44C3-A411-9DB081C538EA}">
            <xm:f>NOT(ISERROR(SEARCH($AN$690,H58)))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220" operator="containsText" id="{AA4195A4-194B-4F27-BBF1-EDC015C90DEC}">
            <xm:f>NOT(ISERROR(SEARCH($AN$704,H58)))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221" operator="containsText" id="{F2A415B9-D2D8-4830-BB7E-34C2C66E87FC}">
            <xm:f>NOT(ISERROR(SEARCH($AN$693,H58)))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H58:P59</xm:sqref>
        </x14:conditionalFormatting>
        <x14:conditionalFormatting xmlns:xm="http://schemas.microsoft.com/office/excel/2006/main">
          <x14:cfRule type="containsText" priority="22591" operator="containsText" id="{3B78E842-E46F-4D5E-B308-CBB853A05F46}">
            <xm:f>NOT(ISERROR(SEARCH($AN$690,H60)))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592" operator="containsText" id="{180CCA25-FA69-40E5-BFC3-2230AB055382}">
            <xm:f>NOT(ISERROR(SEARCH($AN$704,H60)))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593" operator="containsText" id="{CA43C649-8C2C-487B-890B-12157F68C505}">
            <xm:f>NOT(ISERROR(SEARCH($AN$693,H60)))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H60:P93</xm:sqref>
        </x14:conditionalFormatting>
        <x14:conditionalFormatting xmlns:xm="http://schemas.microsoft.com/office/excel/2006/main">
          <x14:cfRule type="containsText" priority="22181" operator="containsText" id="{C8AF5E57-17D1-483A-890A-0B2989404376}">
            <xm:f>NOT(ISERROR(SEARCH($AN$690,H154)))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182" operator="containsText" id="{3AB005FA-B977-4F10-9EC4-F2F12D95897D}">
            <xm:f>NOT(ISERROR(SEARCH($AN$704,H154)))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183" operator="containsText" id="{24C86871-C4AF-4EC3-9B97-0121CD016DA4}">
            <xm:f>NOT(ISERROR(SEARCH($AN$693,H154)))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184" operator="containsText" id="{28785A95-D174-441C-B914-9C31E3519AA8}">
            <xm:f>NOT(ISERROR(SEARCH($AN$692,H154)))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185" operator="containsText" id="{873F7B1E-2330-4A62-B110-B236E48190F6}">
            <xm:f>NOT(ISERROR(SEARCH($AN$691,H154)))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186" operator="containsText" id="{84A86A7F-20FF-43F4-96B5-66647EE3EB5E}">
            <xm:f>NOT(ISERROR(SEARCH($AN$689,H154)))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187" operator="containsText" id="{425F348D-F85E-4408-A169-4D1BF50C3D9D}">
            <xm:f>NOT(ISERROR(SEARCH($AN$687,H154)))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188" operator="containsText" id="{F36BBAEE-1DAD-4473-BA12-03A5D114D760}">
            <xm:f>NOT(ISERROR(SEARCH($AN$688,H154)))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189" operator="containsText" id="{ECAC3267-E309-46DF-8E43-D2ECCE97EDAA}">
            <xm:f>NOT(ISERROR(SEARCH($AN$686,H154)))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190" operator="containsText" id="{58DB4315-E4AF-45A3-B3C0-59743B28097D}">
            <xm:f>NOT(ISERROR(SEARCH($AN$685,H154)))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191" operator="containsText" id="{F3BB51C5-B5BD-472E-9334-C2A5C22DE953}">
            <xm:f>NOT(ISERROR(SEARCH($AN$684,H154)))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192" operator="containsText" id="{E9A689A9-3EEA-4BF1-A27C-B65F68BBA8EA}">
            <xm:f>NOT(ISERROR(SEARCH($AN$683,H154)))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193" operator="containsText" id="{19E572E0-5D86-4B31-82EF-EC067F9F8A2C}">
            <xm:f>NOT(ISERROR(SEARCH($AN$682,H154)))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194" operator="containsText" id="{0196A571-3BA5-4642-BAB8-85EC03BA25F7}">
            <xm:f>NOT(ISERROR(SEARCH($AN$681,H154)))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195" operator="containsText" id="{58D2AFDE-752A-4C2C-89DC-58FBADF464E0}">
            <xm:f>NOT(ISERROR(SEARCH($AN$680,H154)))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196" operator="containsText" id="{FE81CEBA-C92E-4605-A7E9-FDF23E021DB6}">
            <xm:f>NOT(ISERROR(SEARCH($AN$678,H154)))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197" operator="containsText" id="{16EF6F8C-C4E7-451A-B5C9-43CE06C5B95A}">
            <xm:f>NOT(ISERROR(SEARCH($AN$679,H154)))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H154:P189</xm:sqref>
        </x14:conditionalFormatting>
        <x14:conditionalFormatting xmlns:xm="http://schemas.microsoft.com/office/excel/2006/main">
          <x14:cfRule type="containsText" priority="21771" operator="containsText" id="{FD40CD54-D7A3-4B9F-AFA2-E64E8CD6A801}">
            <xm:f>NOT(ISERROR(SEARCH($AN$690,H250)))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1772" operator="containsText" id="{880E05C3-9992-4051-B8E5-B4A525575B77}">
            <xm:f>NOT(ISERROR(SEARCH($AN$704,H250)))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1773" operator="containsText" id="{848D9813-16BF-4EE8-B09A-DC428F1F9C26}">
            <xm:f>NOT(ISERROR(SEARCH($AN$693,H250)))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1774" operator="containsText" id="{F54B0A62-B7FB-4895-805C-7C14797170D1}">
            <xm:f>NOT(ISERROR(SEARCH($AN$692,H250)))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775" operator="containsText" id="{B19D65EC-45C7-4B1A-AB40-4819B3B3F451}">
            <xm:f>NOT(ISERROR(SEARCH($AN$691,H250)))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1776" operator="containsText" id="{3F69F1AC-A5CD-4D6F-98FB-A30699DB3A2E}">
            <xm:f>NOT(ISERROR(SEARCH($AN$689,H250)))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1777" operator="containsText" id="{F2F72318-F2F9-41F4-AE39-56B59BF90475}">
            <xm:f>NOT(ISERROR(SEARCH($AN$687,H250)))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778" operator="containsText" id="{06516E13-E6AA-4FD4-958C-186BC4733B47}">
            <xm:f>NOT(ISERROR(SEARCH($AN$688,H250)))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779" operator="containsText" id="{FD7C6F87-14AD-4749-B67A-52EC18E324FD}">
            <xm:f>NOT(ISERROR(SEARCH($AN$686,H250)))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780" operator="containsText" id="{AF86569B-2F60-4CFE-B0DE-008CF356E1CA}">
            <xm:f>NOT(ISERROR(SEARCH($AN$685,H250)))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781" operator="containsText" id="{D94F684A-537F-4B31-BD6B-40C977652A4C}">
            <xm:f>NOT(ISERROR(SEARCH($AN$684,H250)))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782" operator="containsText" id="{369DFBEF-161D-402D-93CD-C97869D68251}">
            <xm:f>NOT(ISERROR(SEARCH($AN$683,H250)))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783" operator="containsText" id="{2FE486CB-5AB3-4D91-8944-972C5B8918FD}">
            <xm:f>NOT(ISERROR(SEARCH($AN$682,H250)))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1784" operator="containsText" id="{67A99E1B-3A4C-47AB-9993-1FCC807C454B}">
            <xm:f>NOT(ISERROR(SEARCH($AN$681,H250)))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785" operator="containsText" id="{69B38A1A-F1A8-46E0-AFA8-24F198C025B1}">
            <xm:f>NOT(ISERROR(SEARCH($AN$680,H250)))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786" operator="containsText" id="{6F759D99-060E-43D1-A398-1E16923C12CA}">
            <xm:f>NOT(ISERROR(SEARCH($AN$678,H250)))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787" operator="containsText" id="{4E7EE55B-4E4E-43EB-B475-139BBEA78C94}">
            <xm:f>NOT(ISERROR(SEARCH($AN$679,H250)))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H250:P285</xm:sqref>
        </x14:conditionalFormatting>
        <x14:conditionalFormatting xmlns:xm="http://schemas.microsoft.com/office/excel/2006/main">
          <x14:cfRule type="containsText" priority="26131" operator="containsText" id="{AA0DA0FB-2585-4DF0-8E9B-249634934238}">
            <xm:f>NOT(ISERROR(SEARCH($AN$687,H340)))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6132" operator="containsText" id="{AC9309B6-CB28-4573-93C9-AF4043F92200}">
            <xm:f>NOT(ISERROR(SEARCH($AN$688,H340)))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6133" operator="containsText" id="{943DAC3E-C36F-4CDA-9BD1-8E55CCE7D19A}">
            <xm:f>NOT(ISERROR(SEARCH($AN$686,H340)))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134" operator="containsText" id="{A3668FAD-E48F-4A02-B9D0-AB8A3C920E9A}">
            <xm:f>NOT(ISERROR(SEARCH($AN$685,H340)))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6135" operator="containsText" id="{7508AE52-D6EC-4956-A13F-5B1D649D91DE}">
            <xm:f>NOT(ISERROR(SEARCH($AN$684,H340)))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136" operator="containsText" id="{733A7E5D-D657-4177-BBCD-88D554A378DD}">
            <xm:f>NOT(ISERROR(SEARCH($AN$683,H340)))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6137" operator="containsText" id="{8F96386C-022D-4BF5-B11A-04327C2634F2}">
            <xm:f>NOT(ISERROR(SEARCH($AN$682,H340)))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6138" operator="containsText" id="{B7F09B0D-52C7-4B00-91E8-B80AA736FD18}">
            <xm:f>NOT(ISERROR(SEARCH($AN$681,H340)))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139" operator="containsText" id="{EEE6E086-E700-43E2-8765-59A47FDF7850}">
            <xm:f>NOT(ISERROR(SEARCH($AN$680,H340)))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6140" operator="containsText" id="{0FC96774-F36F-400F-93F9-A0CF562A0B42}">
            <xm:f>NOT(ISERROR(SEARCH($AN$678,H340)))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6141" operator="containsText" id="{7EB67F47-4427-46AC-8A87-E3296945CA88}">
            <xm:f>NOT(ISERROR(SEARCH($AN$679,H340)))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H340:P340 H341:H343 N341:P343</xm:sqref>
        </x14:conditionalFormatting>
        <x14:conditionalFormatting xmlns:xm="http://schemas.microsoft.com/office/excel/2006/main">
          <x14:cfRule type="containsText" priority="26125" operator="containsText" id="{B36BFD96-DE2A-4F48-B42A-D24D1EB3A711}">
            <xm:f>NOT(ISERROR(SEARCH($AN$690,H340)))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6126" operator="containsText" id="{53CFA595-1E2D-45D5-A497-20EB41AD048B}">
            <xm:f>NOT(ISERROR(SEARCH($AN$704,H340)))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6127" operator="containsText" id="{AE6C6671-42BB-4FB9-A79A-7CCB110A4683}">
            <xm:f>NOT(ISERROR(SEARCH($AN$693,H340)))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6128" operator="containsText" id="{14D29EE6-BA8B-416A-A257-7973023483A1}">
            <xm:f>NOT(ISERROR(SEARCH($AN$692,H340)))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6129" operator="containsText" id="{B839CB8B-C769-4390-ACAC-3CB2D6A9BD30}">
            <xm:f>NOT(ISERROR(SEARCH($AN$691,H340)))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6130" operator="containsText" id="{664ECA35-7C9A-43D9-81C4-3BE8669D028F}">
            <xm:f>NOT(ISERROR(SEARCH($AN$689,H340)))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H340:P340 N341:P343</xm:sqref>
        </x14:conditionalFormatting>
        <x14:conditionalFormatting xmlns:xm="http://schemas.microsoft.com/office/excel/2006/main">
          <x14:cfRule type="containsText" priority="26070" operator="containsText" id="{6F6F1797-1A5F-46A8-8ED6-264102D6485D}">
            <xm:f>NOT(ISERROR(SEARCH($AN$690,H346)))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6071" operator="containsText" id="{B7ED1EC2-3557-4E15-A45C-421DF39E79BD}">
            <xm:f>NOT(ISERROR(SEARCH($AN$704,H346)))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6072" operator="containsText" id="{103D213B-C6D8-49CC-9844-D95167D4ED61}">
            <xm:f>NOT(ISERROR(SEARCH($AN$693,H346)))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6073" operator="containsText" id="{BBC7BD17-0030-449E-8C31-F7A27542B467}">
            <xm:f>NOT(ISERROR(SEARCH($AN$692,H346)))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6074" operator="containsText" id="{A585160E-CAD4-4F22-9570-20963A734659}">
            <xm:f>NOT(ISERROR(SEARCH($AN$691,H346)))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6075" operator="containsText" id="{220368CA-18FE-4855-90B1-983D7B48569D}">
            <xm:f>NOT(ISERROR(SEARCH($AN$689,H346)))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6076" operator="containsText" id="{F44FC2CF-44C3-4726-B473-10A084E2622E}">
            <xm:f>NOT(ISERROR(SEARCH($AN$687,H346)))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6077" operator="containsText" id="{5DB62FE8-1C80-447C-A039-A11E4BDD6B5A}">
            <xm:f>NOT(ISERROR(SEARCH($AN$688,H346)))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6078" operator="containsText" id="{E22EC362-7267-4E0B-A0C5-4B8DD86735AE}">
            <xm:f>NOT(ISERROR(SEARCH($AN$686,H346)))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079" operator="containsText" id="{63B79E42-E584-4828-903D-0183C0910876}">
            <xm:f>NOT(ISERROR(SEARCH($AN$685,H346)))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6080" operator="containsText" id="{9EE8FA25-863D-4070-A3D6-D7BD177A880D}">
            <xm:f>NOT(ISERROR(SEARCH($AN$684,H346)))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081" operator="containsText" id="{7DCA2CD1-B470-41EF-B218-4854898DA3D3}">
            <xm:f>NOT(ISERROR(SEARCH($AN$683,H346)))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6082" operator="containsText" id="{AEBE2209-0826-4F13-8024-A5BDFD6F9EB8}">
            <xm:f>NOT(ISERROR(SEARCH($AN$682,H346)))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6083" operator="containsText" id="{E8A8444A-FFA3-4246-9458-46642B261D92}">
            <xm:f>NOT(ISERROR(SEARCH($AN$681,H346)))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084" operator="containsText" id="{9E0EAB63-0C56-4F8A-8F68-2438DBDB5D99}">
            <xm:f>NOT(ISERROR(SEARCH($AN$680,H346)))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6085" operator="containsText" id="{8E00B5F2-4CCD-465E-8880-C78DE7994F07}">
            <xm:f>NOT(ISERROR(SEARCH($AN$678,H346)))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6086" operator="containsText" id="{917B109D-C5F6-4FF0-9044-6278374B0571}">
            <xm:f>NOT(ISERROR(SEARCH($AN$679,H346)))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H346:P381</xm:sqref>
        </x14:conditionalFormatting>
        <x14:conditionalFormatting xmlns:xm="http://schemas.microsoft.com/office/excel/2006/main">
          <x14:cfRule type="containsText" priority="9401" operator="containsText" id="{2368587F-C30A-4FE9-AA24-B00005A56FEE}">
            <xm:f>NOT(ISERROR(SEARCH($AN$690,H442)))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9402" operator="containsText" id="{8C2F7C19-DE29-4A1C-B1E2-25B86BC0459F}">
            <xm:f>NOT(ISERROR(SEARCH($AN$704,H442)))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403" operator="containsText" id="{069EBBFF-91F0-4022-9E93-777BED48AEB7}">
            <xm:f>NOT(ISERROR(SEARCH($AN$693,H442)))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9404" operator="containsText" id="{F6244214-BEC9-4B4D-A4A2-7D7D3DE55E54}">
            <xm:f>NOT(ISERROR(SEARCH($AN$692,H442)))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405" operator="containsText" id="{07B128C0-40EA-4B9E-ABBE-A14AC0B6DC47}">
            <xm:f>NOT(ISERROR(SEARCH($AN$691,H442)))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9406" operator="containsText" id="{05B249E7-B241-4D6F-A3CC-CA8D5C77CFB4}">
            <xm:f>NOT(ISERROR(SEARCH($AN$689,H442)))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9407" operator="containsText" id="{7AB6B116-6456-4C05-B91A-34C0296836F2}">
            <xm:f>NOT(ISERROR(SEARCH($AN$687,H442)))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H442:P477</xm:sqref>
        </x14:conditionalFormatting>
        <x14:conditionalFormatting xmlns:xm="http://schemas.microsoft.com/office/excel/2006/main">
          <x14:cfRule type="containsText" priority="24238" operator="containsText" id="{F085EE12-FA16-42DC-AA55-23625E056365}">
            <xm:f>NOT(ISERROR(SEARCH($AN$688,H442)))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4239" operator="containsText" id="{64B5D580-F6DE-4AC6-B49C-FF69C500BA56}">
            <xm:f>NOT(ISERROR(SEARCH($AN$686,H442)))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240" operator="containsText" id="{1BAD470C-1B36-4B92-BB18-55AD60E79D61}">
            <xm:f>NOT(ISERROR(SEARCH($AN$685,H442)))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4241" operator="containsText" id="{71966D8D-0905-468E-B5C9-670A648F1D5A}">
            <xm:f>NOT(ISERROR(SEARCH($AN$684,H442)))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242" operator="containsText" id="{BB5C99F4-4DAF-4085-B17B-0C5C113B65D9}">
            <xm:f>NOT(ISERROR(SEARCH($AN$683,H442)))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4243" operator="containsText" id="{92911607-8870-45BE-9647-5328E11DDBD1}">
            <xm:f>NOT(ISERROR(SEARCH($AN$682,H442)))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4245" operator="containsText" id="{5FC9C475-D3BF-461F-B0B3-1F6FE56E683C}">
            <xm:f>NOT(ISERROR(SEARCH($AN$680,H442)))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4246" operator="containsText" id="{80CAE25C-FB66-45B9-BA1F-D740FEC7AA6C}">
            <xm:f>NOT(ISERROR(SEARCH($AN$678,H442)))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4247" operator="containsText" id="{67D7B2BC-E0A3-401A-BD09-AADE15120BEA}">
            <xm:f>NOT(ISERROR(SEARCH($AN$679,H442)))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H451:P477 N442:P450</xm:sqref>
        </x14:conditionalFormatting>
        <x14:conditionalFormatting xmlns:xm="http://schemas.microsoft.com/office/excel/2006/main">
          <x14:cfRule type="containsText" priority="9248" operator="containsText" id="{0E815EE7-02AB-4A32-BCAF-A8CACC7929EE}">
            <xm:f>NOT(ISERROR(SEARCH($AN$690,H538)))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9249" operator="containsText" id="{E6A0A538-5D78-4E94-B5F4-62DFC0F14074}">
            <xm:f>NOT(ISERROR(SEARCH($AN$704,H538)))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250" operator="containsText" id="{34F4B3C3-D65D-4B2C-8126-7596F3B87C49}">
            <xm:f>NOT(ISERROR(SEARCH($AN$693,H538)))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9251" operator="containsText" id="{1466CB01-F312-4109-888A-10DBDD84BCBB}">
            <xm:f>NOT(ISERROR(SEARCH($AN$692,H538)))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252" operator="containsText" id="{E790D0A3-7182-4EBB-8447-883D8C7CFD00}">
            <xm:f>NOT(ISERROR(SEARCH($AN$691,H538)))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9253" operator="containsText" id="{AA318C9D-F4BD-47F7-B900-6E0D35CD3961}">
            <xm:f>NOT(ISERROR(SEARCH($AN$689,H538)))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9254" operator="containsText" id="{F5C405E1-C3B5-4846-BDD8-309C5684D8D6}">
            <xm:f>NOT(ISERROR(SEARCH($AN$687,H538)))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H538:P573</xm:sqref>
        </x14:conditionalFormatting>
        <x14:conditionalFormatting xmlns:xm="http://schemas.microsoft.com/office/excel/2006/main">
          <x14:cfRule type="containsText" priority="23828" operator="containsText" id="{4CF53E52-2778-4824-8EB3-D1321A4775E9}">
            <xm:f>NOT(ISERROR(SEARCH($AN$688,H538)))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829" operator="containsText" id="{E74CAEEB-5555-4A7F-92BD-ADD6B343F197}">
            <xm:f>NOT(ISERROR(SEARCH($AN$686,H538)))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830" operator="containsText" id="{61626055-7485-4416-8BB6-A1AC7672AC06}">
            <xm:f>NOT(ISERROR(SEARCH($AN$685,H538)))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831" operator="containsText" id="{D5044598-9C7B-4DB1-BD08-2F4B1BC7E093}">
            <xm:f>NOT(ISERROR(SEARCH($AN$684,H538)))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832" operator="containsText" id="{41979BE2-1D1F-4B37-8FF9-AF7D86F5EB9D}">
            <xm:f>NOT(ISERROR(SEARCH($AN$683,H538)))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833" operator="containsText" id="{16E9641A-74C9-4B43-A01D-96109571A4FA}">
            <xm:f>NOT(ISERROR(SEARCH($AN$682,H538)))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835" operator="containsText" id="{1BB5997B-AF2A-4B27-96BE-877F07F255F6}">
            <xm:f>NOT(ISERROR(SEARCH($AN$680,H538)))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836" operator="containsText" id="{9F7742B3-3820-453E-850B-3637E4B37914}">
            <xm:f>NOT(ISERROR(SEARCH($AN$678,H538)))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837" operator="containsText" id="{E4FCDAFD-13AC-4C16-9A0B-9C379ACB758B}">
            <xm:f>NOT(ISERROR(SEARCH($AN$679,H538)))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H547:P573 N538:P546</xm:sqref>
        </x14:conditionalFormatting>
        <x14:conditionalFormatting xmlns:xm="http://schemas.microsoft.com/office/excel/2006/main">
          <x14:cfRule type="containsText" priority="9095" operator="containsText" id="{808EC1B2-8177-4754-86DD-965CFD1230CD}">
            <xm:f>NOT(ISERROR(SEARCH($AN$690,H634)))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9096" operator="containsText" id="{70988A96-F363-4F36-B4CD-ED5D30B012EE}">
            <xm:f>NOT(ISERROR(SEARCH($AN$704,H634)))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097" operator="containsText" id="{9C0F373D-9204-466E-A2F9-7A947DA88658}">
            <xm:f>NOT(ISERROR(SEARCH($AN$693,H634)))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9098" operator="containsText" id="{2D6486B1-C3EF-458C-AC92-71AD6871570B}">
            <xm:f>NOT(ISERROR(SEARCH($AN$692,H634)))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099" operator="containsText" id="{0FE4050E-9292-4644-950D-59EDA3B04001}">
            <xm:f>NOT(ISERROR(SEARCH($AN$691,H634)))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9100" operator="containsText" id="{7661F38D-00F6-4DB6-98CC-5B6CB5C6E9AF}">
            <xm:f>NOT(ISERROR(SEARCH($AN$689,H634)))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9101" operator="containsText" id="{92F9B7B0-C046-40E4-BB68-170D113D90DC}">
            <xm:f>NOT(ISERROR(SEARCH($AN$687,H634)))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H634:P669</xm:sqref>
        </x14:conditionalFormatting>
        <x14:conditionalFormatting xmlns:xm="http://schemas.microsoft.com/office/excel/2006/main">
          <x14:cfRule type="containsText" priority="23418" operator="containsText" id="{FA237433-2A33-4D50-A743-5AA113160776}">
            <xm:f>NOT(ISERROR(SEARCH($AN$688,H634)))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419" operator="containsText" id="{8250AAAA-0C95-4C49-8033-80DF1718390C}">
            <xm:f>NOT(ISERROR(SEARCH($AN$686,H634)))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420" operator="containsText" id="{566DA2E1-A6E1-4BE0-A7AF-A429DBA97142}">
            <xm:f>NOT(ISERROR(SEARCH($AN$685,H634)))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421" operator="containsText" id="{DF0A7CF5-B1FC-4BD2-ABD8-680854E9CE23}">
            <xm:f>NOT(ISERROR(SEARCH($AN$684,H634)))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422" operator="containsText" id="{E468AE5B-F1A2-45A9-8A24-634BEDED94EB}">
            <xm:f>NOT(ISERROR(SEARCH($AN$683,H634)))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423" operator="containsText" id="{79AE80FB-7895-4F1D-B3D8-669F115CCE9C}">
            <xm:f>NOT(ISERROR(SEARCH($AN$682,H634)))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425" operator="containsText" id="{7409ACAE-EFC0-4F21-8431-429BCACBB89D}">
            <xm:f>NOT(ISERROR(SEARCH($AN$680,H634)))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426" operator="containsText" id="{9996B4F5-3206-458B-AF28-1AE323AA8E15}">
            <xm:f>NOT(ISERROR(SEARCH($AN$678,H634)))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427" operator="containsText" id="{4849C6BA-C338-4228-82CB-E8793C0B27E3}">
            <xm:f>NOT(ISERROR(SEARCH($AN$679,H634)))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H643:P669 N634:P642</xm:sqref>
        </x14:conditionalFormatting>
        <x14:conditionalFormatting xmlns:xm="http://schemas.microsoft.com/office/excel/2006/main">
          <x14:cfRule type="containsText" priority="23008" operator="containsText" id="{C13BE30A-8787-4D2A-8C26-4B87A884C02C}">
            <xm:f>NOT(ISERROR(SEARCH($AN$688,H730)))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009" operator="containsText" id="{05854AFA-148D-4576-BA43-7FBC086BC460}">
            <xm:f>NOT(ISERROR(SEARCH($AN$686,H730)))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010" operator="containsText" id="{C3EC57C3-CCF1-4725-BCD5-312DBA22D855}">
            <xm:f>NOT(ISERROR(SEARCH($AN$685,H730)))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011" operator="containsText" id="{DCBA3DEF-E4E3-4619-BEB2-7B376EA20D6F}">
            <xm:f>NOT(ISERROR(SEARCH($AN$684,H730)))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012" operator="containsText" id="{57F13675-C935-4DC1-BA35-5E731984D3B0}">
            <xm:f>NOT(ISERROR(SEARCH($AN$683,H730)))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013" operator="containsText" id="{3AE90B46-EF29-40AC-8BE6-A5979AC50017}">
            <xm:f>NOT(ISERROR(SEARCH($AN$682,H730)))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015" operator="containsText" id="{AE790667-87E4-485B-9B62-839A88A875D1}">
            <xm:f>NOT(ISERROR(SEARCH($AN$680,H730)))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016" operator="containsText" id="{8CA69697-1D78-4036-B69F-C9A339991AD4}">
            <xm:f>NOT(ISERROR(SEARCH($AN$678,H730)))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017" operator="containsText" id="{E7237B8A-CC4F-4360-9D8D-DA1C8238045B}">
            <xm:f>NOT(ISERROR(SEARCH($AN$679,H730)))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H739:P765 N730:P738</xm:sqref>
        </x14:conditionalFormatting>
        <x14:conditionalFormatting xmlns:xm="http://schemas.microsoft.com/office/excel/2006/main">
          <x14:cfRule type="containsText" priority="21337" operator="containsText" id="{FFC6EE93-069B-426C-BC73-EEF333A0C1B8}">
            <xm:f>NOT(ISERROR(SEARCH($AN$687,H129)))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H129:X133 AD129:AF133 H134:AK136 N137:AK147</xm:sqref>
        </x14:conditionalFormatting>
        <x14:conditionalFormatting xmlns:xm="http://schemas.microsoft.com/office/excel/2006/main">
          <x14:cfRule type="containsText" priority="21286" operator="containsText" id="{946C21B0-82C4-432F-81ED-EF948ECA2809}">
            <xm:f>NOT(ISERROR(SEARCH($AN$687,H225)))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H225:X229 AD225:AF229 H230:AK232 N233:AK243</xm:sqref>
        </x14:conditionalFormatting>
        <x14:conditionalFormatting xmlns:xm="http://schemas.microsoft.com/office/excel/2006/main">
          <x14:cfRule type="containsText" priority="25820" operator="containsText" id="{779B47C9-D418-441E-89A5-6C34ACF355DE}">
            <xm:f>NOT(ISERROR(SEARCH($AN$686,H321)))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821" operator="containsText" id="{F9D05B68-7520-49DA-8A70-8893C219699E}">
            <xm:f>NOT(ISERROR(SEARCH($AN$685,H321)))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5822" operator="containsText" id="{C286AE6F-4F9D-42D6-A113-D4D02C826463}">
            <xm:f>NOT(ISERROR(SEARCH($AN$684,H321)))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823" operator="containsText" id="{E1F6030F-AAC0-4966-BA0C-CFE299D48F8F}">
            <xm:f>NOT(ISERROR(SEARCH($AN$683,H321)))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5824" operator="containsText" id="{84522E60-54A8-40C0-910D-7E6BCEBFF34C}">
            <xm:f>NOT(ISERROR(SEARCH($AN$682,H321)))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H321:X325 AA321:AA325 AD321:AF325 H326:AK331 H332:H336 N332:AK336 H337:AK339</xm:sqref>
        </x14:conditionalFormatting>
        <x14:conditionalFormatting xmlns:xm="http://schemas.microsoft.com/office/excel/2006/main">
          <x14:cfRule type="containsText" priority="5962" operator="containsText" id="{0787026D-997F-4792-9908-62ABC0EAD580}">
            <xm:f>NOT(ISERROR(SEARCH($AN$690,H321)))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963" operator="containsText" id="{CA01B716-9587-439C-AE78-5E176BC0F732}">
            <xm:f>NOT(ISERROR(SEARCH($AN$704,H321)))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964" operator="containsText" id="{60CAA522-647E-434C-9EC8-D6E3EDF91A66}">
            <xm:f>NOT(ISERROR(SEARCH($AN$693,H321)))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H321:AA325</xm:sqref>
        </x14:conditionalFormatting>
        <x14:conditionalFormatting xmlns:xm="http://schemas.microsoft.com/office/excel/2006/main">
          <x14:cfRule type="containsText" priority="5877" operator="containsText" id="{9A96CEBA-5433-42DE-BA55-332DA380D116}">
            <xm:f>NOT(ISERROR(SEARCH($AN$690,H417)))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878" operator="containsText" id="{3B18D3A3-C6EE-4462-87E8-09F9409CC64F}">
            <xm:f>NOT(ISERROR(SEARCH($AN$704,H417)))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879" operator="containsText" id="{3470DDEA-CDF1-46C0-961F-E2623FDEB56C}">
            <xm:f>NOT(ISERROR(SEARCH($AN$693,H417)))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H417:AA421</xm:sqref>
        </x14:conditionalFormatting>
        <x14:conditionalFormatting xmlns:xm="http://schemas.microsoft.com/office/excel/2006/main">
          <x14:cfRule type="containsText" priority="5792" operator="containsText" id="{1C19793B-04FE-4170-9DAD-F0B12BFC43DF}">
            <xm:f>NOT(ISERROR(SEARCH($AN$690,H513)))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793" operator="containsText" id="{9B02F46B-DF22-474A-919F-4B71C8408A6C}">
            <xm:f>NOT(ISERROR(SEARCH($AN$704,H513)))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794" operator="containsText" id="{AA4A906C-BFE1-4354-A407-FDC72C75D581}">
            <xm:f>NOT(ISERROR(SEARCH($AN$693,H513)))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H513:AA517</xm:sqref>
        </x14:conditionalFormatting>
        <x14:conditionalFormatting xmlns:xm="http://schemas.microsoft.com/office/excel/2006/main">
          <x14:cfRule type="containsText" priority="5707" operator="containsText" id="{4A27BE50-A60E-4950-A42F-5FAD4E567C17}">
            <xm:f>NOT(ISERROR(SEARCH($AN$690,H609)))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708" operator="containsText" id="{07AE6778-CD0D-4C58-BFB8-B31EC74668E5}">
            <xm:f>NOT(ISERROR(SEARCH($AN$704,H609)))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709" operator="containsText" id="{33E34EA8-8120-4A6B-BDF6-C191E511C51B}">
            <xm:f>NOT(ISERROR(SEARCH($AN$693,H609)))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H609:AA613</xm:sqref>
        </x14:conditionalFormatting>
        <x14:conditionalFormatting xmlns:xm="http://schemas.microsoft.com/office/excel/2006/main">
          <x14:cfRule type="containsText" priority="5622" operator="containsText" id="{4FDDACC8-7281-4175-81AE-38D8B1867268}">
            <xm:f>NOT(ISERROR(SEARCH($AN$690,H705)))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623" operator="containsText" id="{DB3AC177-8DB8-46F3-8F32-2F48B0008C51}">
            <xm:f>NOT(ISERROR(SEARCH($AN$704,H705)))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624" operator="containsText" id="{0081A8AC-58A6-4D66-879A-8A035641B81A}">
            <xm:f>NOT(ISERROR(SEARCH($AN$693,H705)))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H705:AA709</xm:sqref>
        </x14:conditionalFormatting>
        <x14:conditionalFormatting xmlns:xm="http://schemas.microsoft.com/office/excel/2006/main">
          <x14:cfRule type="containsText" priority="5287" operator="containsText" id="{9BD7AED7-F9D7-4032-A215-6C13401CAD40}">
            <xm:f>NOT(ISERROR(SEARCH($AN$690,H33)))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H33:AF37 H38:AK40</xm:sqref>
        </x14:conditionalFormatting>
        <x14:conditionalFormatting xmlns:xm="http://schemas.microsoft.com/office/excel/2006/main">
          <x14:cfRule type="containsText" priority="5289" operator="containsText" id="{E43574D1-5946-4194-AD77-E4B06E6C2305}">
            <xm:f>NOT(ISERROR(SEARCH($AN$693,H33)))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H33:AF37</xm:sqref>
        </x14:conditionalFormatting>
        <x14:conditionalFormatting xmlns:xm="http://schemas.microsoft.com/office/excel/2006/main">
          <x14:cfRule type="containsText" priority="21360" operator="containsText" id="{17364D0A-E7B0-4021-9795-80E97BF92F23}">
            <xm:f>NOT(ISERROR(SEARCH($AN$686,H124)))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361" operator="containsText" id="{2CCFA157-EE99-4CA2-A691-64B915F20525}">
            <xm:f>NOT(ISERROR(SEARCH($AN$685,H124)))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362" operator="containsText" id="{7A6EEC3F-130E-49BB-9650-3C524293788E}">
            <xm:f>NOT(ISERROR(SEARCH($AN$684,H124)))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363" operator="containsText" id="{84F272E9-1C52-457C-A169-AE53638BA7F4}">
            <xm:f>NOT(ISERROR(SEARCH($AN$683,H124)))</xm:f>
            <xm:f>$AN$683</xm:f>
            <x14:dxf>
              <fill>
                <patternFill>
                  <bgColor rgb="FF0070C0"/>
                </patternFill>
              </fill>
            </x14:dxf>
          </x14:cfRule>
          <xm:sqref>H124:AF124</xm:sqref>
        </x14:conditionalFormatting>
        <x14:conditionalFormatting xmlns:xm="http://schemas.microsoft.com/office/excel/2006/main">
          <x14:cfRule type="containsText" priority="21309" operator="containsText" id="{758784FF-6F1C-467E-B18E-F9E138814EF2}">
            <xm:f>NOT(ISERROR(SEARCH($AN$686,H220)))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310" operator="containsText" id="{5C8F63A9-8A8C-440B-B292-9B3AF275203F}">
            <xm:f>NOT(ISERROR(SEARCH($AN$685,H220)))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311" operator="containsText" id="{C53D0379-8734-4A2E-B7E4-84372B2324FC}">
            <xm:f>NOT(ISERROR(SEARCH($AN$684,H220)))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312" operator="containsText" id="{F73B8014-038E-41CB-B558-67018D2E5FA0}">
            <xm:f>NOT(ISERROR(SEARCH($AN$683,H220)))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313" operator="containsText" id="{2A89FF97-BC1A-4B72-874D-DF640836CB8C}">
            <xm:f>NOT(ISERROR(SEARCH($AN$682,H220)))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H220:AF220</xm:sqref>
        </x14:conditionalFormatting>
        <x14:conditionalFormatting xmlns:xm="http://schemas.microsoft.com/office/excel/2006/main">
          <x14:cfRule type="containsText" priority="5253" operator="containsText" id="{DEAFAB95-FB9B-4872-BDBE-437D5B89EC42}">
            <xm:f>NOT(ISERROR(SEARCH($AN$690,H195)))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H225:AF229 H195:AK224 H230:AK232</xm:sqref>
        </x14:conditionalFormatting>
        <x14:conditionalFormatting xmlns:xm="http://schemas.microsoft.com/office/excel/2006/main">
          <x14:cfRule type="containsText" priority="5255" operator="containsText" id="{6358FE5E-58FB-46A2-9380-054FF6CBB984}">
            <xm:f>NOT(ISERROR(SEARCH($AN$693,H225)))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H225:AF229</xm:sqref>
        </x14:conditionalFormatting>
        <x14:conditionalFormatting xmlns:xm="http://schemas.microsoft.com/office/excel/2006/main">
          <x14:cfRule type="containsText" priority="22445" operator="containsText" id="{E2025353-E78B-423F-BEDC-D96413C3A47F}">
            <xm:f>NOT(ISERROR(SEARCH($AN$683,H3)))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446" operator="containsText" id="{E22E8691-BC91-4767-8123-1D072757B849}">
            <xm:f>NOT(ISERROR(SEARCH($AN$682,H3)))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H28:AJ28 H3:AK27</xm:sqref>
        </x14:conditionalFormatting>
        <x14:conditionalFormatting xmlns:xm="http://schemas.microsoft.com/office/excel/2006/main">
          <x14:cfRule type="containsText" priority="21411" operator="containsText" id="{4FA614BB-1EB0-4BDE-A851-DB83DC35E2CA}">
            <xm:f>NOT(ISERROR(SEARCH($AN$686,H28)))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412" operator="containsText" id="{232D35D7-93D9-471E-83D6-5029E0F10664}">
            <xm:f>NOT(ISERROR(SEARCH($AN$685,H28)))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413" operator="containsText" id="{0BFB38BA-7A6E-4347-9550-364D06D218E3}">
            <xm:f>NOT(ISERROR(SEARCH($AN$684,H28)))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m:sqref>H28:AJ28</xm:sqref>
        </x14:conditionalFormatting>
        <x14:conditionalFormatting xmlns:xm="http://schemas.microsoft.com/office/excel/2006/main">
          <x14:cfRule type="containsText" priority="22455" operator="containsText" id="{2B12D46A-5502-40AD-9671-D4C426827CF0}">
            <xm:f>NOT(ISERROR(SEARCH($AN$681,H3)))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456" operator="containsText" id="{8143A9FC-F33B-4EA5-B61C-C233DF01334C}">
            <xm:f>NOT(ISERROR(SEARCH($AN$680,H3)))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457" operator="containsText" id="{FF71584C-2A34-40F2-86CD-45B1FF48F53D}">
            <xm:f>NOT(ISERROR(SEARCH($AN$678,H3)))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458" operator="containsText" id="{DFD52926-874D-43D3-879D-A849A10AF641}">
            <xm:f>NOT(ISERROR(SEARCH($AN$679,H3)))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H3:AK3 H4:X37 H38:AK40 N41:AK51</xm:sqref>
        </x14:conditionalFormatting>
        <x14:conditionalFormatting xmlns:xm="http://schemas.microsoft.com/office/excel/2006/main">
          <x14:cfRule type="containsText" priority="22442" operator="containsText" id="{B5F8A674-B01C-4CEF-BE9B-AB2009F8BDD3}">
            <xm:f>NOT(ISERROR(SEARCH($AN$686,H3)))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443" operator="containsText" id="{8902124C-FA93-4AEB-91D1-766054E62D5B}">
            <xm:f>NOT(ISERROR(SEARCH($AN$685,H3)))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444" operator="containsText" id="{8D33225B-485D-43C7-BE92-B28C9E8BDEB3}">
            <xm:f>NOT(ISERROR(SEARCH($AN$684,H3)))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m:sqref>H3:AK27</xm:sqref>
        </x14:conditionalFormatting>
        <x14:conditionalFormatting xmlns:xm="http://schemas.microsoft.com/office/excel/2006/main">
          <x14:cfRule type="containsText" priority="21385" operator="containsText" id="{B46E6FB6-0D8C-4B95-9303-9F5BD34DC382}">
            <xm:f>NOT(ISERROR(SEARCH($AN$692,H3)))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386" operator="containsText" id="{316C1FF5-0277-4FDD-92E9-6929DE795442}">
            <xm:f>NOT(ISERROR(SEARCH($AN$691,H3)))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1387" operator="containsText" id="{B96BC92D-E175-43F8-AE34-FBA4D38197F3}">
            <xm:f>NOT(ISERROR(SEARCH($AN$689,H3)))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1388" operator="containsText" id="{6E93B3C1-DF1B-47CF-B25E-226E1AB2DB92}">
            <xm:f>NOT(ISERROR(SEARCH($AN$687,H3)))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H3:AK32 H33:X37 AD33:AF37 H38:AK40 N41:AK51</xm:sqref>
        </x14:conditionalFormatting>
        <x14:conditionalFormatting xmlns:xm="http://schemas.microsoft.com/office/excel/2006/main">
          <x14:cfRule type="containsText" priority="21384" operator="containsText" id="{AAF96CD1-084B-4F8B-AC4A-EEBAC7A6BBD1}">
            <xm:f>NOT(ISERROR(SEARCH($AN$693,H3)))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H3:AK32 N41:AK51 H38:AK40</xm:sqref>
        </x14:conditionalFormatting>
        <x14:conditionalFormatting xmlns:xm="http://schemas.microsoft.com/office/excel/2006/main">
          <x14:cfRule type="containsText" priority="21382" operator="containsText" id="{CF1A66EA-0041-4973-9DC5-B57999CC294D}">
            <xm:f>NOT(ISERROR(SEARCH($AN$690,H3)))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1383" operator="containsText" id="{8FCAF804-FEA0-416A-AF78-30FDB4ACA576}">
            <xm:f>NOT(ISERROR(SEARCH($AN$704,H3)))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m:sqref>H3:AK32 N41:AK51</xm:sqref>
        </x14:conditionalFormatting>
        <x14:conditionalFormatting xmlns:xm="http://schemas.microsoft.com/office/excel/2006/main">
          <x14:cfRule type="containsText" priority="22371" operator="containsText" id="{C3484ECF-3BAD-4F0E-A417-218102997996}">
            <xm:f>NOT(ISERROR(SEARCH($AN$686,H29)))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372" operator="containsText" id="{564EAF7B-C79E-4048-97A8-B4F1FF7B1E15}">
            <xm:f>NOT(ISERROR(SEARCH($AN$685,H29)))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373" operator="containsText" id="{578A79A4-F8A2-42B1-9CDD-52A9655C4676}">
            <xm:f>NOT(ISERROR(SEARCH($AN$684,H29)))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374" operator="containsText" id="{BDBD7E7F-8531-43FD-9350-18D84624E2D9}">
            <xm:f>NOT(ISERROR(SEARCH($AN$683,H29)))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375" operator="containsText" id="{076E75C1-4426-4A7C-81F1-DA6C2FF60423}">
            <xm:f>NOT(ISERROR(SEARCH($AN$682,H29)))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H29:AK32 N41:AK51 H38:AK40 H33:X37 AD33:AF37</xm:sqref>
        </x14:conditionalFormatting>
        <x14:conditionalFormatting xmlns:xm="http://schemas.microsoft.com/office/excel/2006/main">
          <x14:cfRule type="containsText" priority="5288" operator="containsText" id="{584911CB-B399-4E7D-AFD3-3FD69CFBC738}">
            <xm:f>NOT(ISERROR(SEARCH($AN$704,H33)))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m:sqref>H38:AK40 H33:AF37</xm:sqref>
        </x14:conditionalFormatting>
        <x14:conditionalFormatting xmlns:xm="http://schemas.microsoft.com/office/excel/2006/main">
          <x14:cfRule type="containsText" priority="22045" operator="containsText" id="{9B54DADD-EFF5-4AA4-A43C-02C71879481A}">
            <xm:f>NOT(ISERROR(SEARCH($AN$681,H99)))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046" operator="containsText" id="{05EE3855-9659-419A-ADBE-B9F47241D61C}">
            <xm:f>NOT(ISERROR(SEARCH($AN$680,H99)))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047" operator="containsText" id="{921E9DF6-0322-4BBC-9724-B173BAA1FEA2}">
            <xm:f>NOT(ISERROR(SEARCH($AN$678,H99)))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048" operator="containsText" id="{02581B89-E1ED-48E3-974D-C9FF12911F58}">
            <xm:f>NOT(ISERROR(SEARCH($AN$679,H99)))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H99:AK99 H100:X133 H134:AK136 N137:AK147</xm:sqref>
        </x14:conditionalFormatting>
        <x14:conditionalFormatting xmlns:xm="http://schemas.microsoft.com/office/excel/2006/main">
          <x14:cfRule type="containsText" priority="21338" operator="containsText" id="{C16D362D-E809-4FA2-9C9D-4858D14223C0}">
            <xm:f>NOT(ISERROR(SEARCH($AN$688,H99)))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m:sqref>H99:AK123 H124:AF124 AK124 H125:AK128 N137:AK147 H134:AK136 H129:X133 AD129:AF133</xm:sqref>
        </x14:conditionalFormatting>
        <x14:conditionalFormatting xmlns:xm="http://schemas.microsoft.com/office/excel/2006/main">
          <x14:cfRule type="containsText" priority="22036" operator="containsText" id="{8CFF041B-0471-4D59-AC10-AD4E51D55E86}">
            <xm:f>NOT(ISERROR(SEARCH($AN$682,H99)))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H99:AK123 H124:AF124</xm:sqref>
        </x14:conditionalFormatting>
        <x14:conditionalFormatting xmlns:xm="http://schemas.microsoft.com/office/excel/2006/main">
          <x14:cfRule type="containsText" priority="22032" operator="containsText" id="{CB1E408F-0085-4E12-938F-DA933002B292}">
            <xm:f>NOT(ISERROR(SEARCH($AN$686,H99)))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033" operator="containsText" id="{40C178E0-36A4-428D-B5CD-352C6B95954A}">
            <xm:f>NOT(ISERROR(SEARCH($AN$685,H99)))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034" operator="containsText" id="{EB04615A-9A1E-4351-96FC-792DD81EBBE4}">
            <xm:f>NOT(ISERROR(SEARCH($AN$684,H99)))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035" operator="containsText" id="{28F2DD7A-8095-44C9-876B-A424AFBBDC32}">
            <xm:f>NOT(ISERROR(SEARCH($AN$683,H99)))</xm:f>
            <xm:f>$AN$683</xm:f>
            <x14:dxf>
              <fill>
                <patternFill>
                  <bgColor rgb="FF0070C0"/>
                </patternFill>
              </fill>
            </x14:dxf>
          </x14:cfRule>
          <xm:sqref>H99:AK123</xm:sqref>
        </x14:conditionalFormatting>
        <x14:conditionalFormatting xmlns:xm="http://schemas.microsoft.com/office/excel/2006/main">
          <x14:cfRule type="containsText" priority="16281" operator="containsText" id="{E0D645E0-F156-478F-B603-269F5F57977B}">
            <xm:f>NOT(ISERROR(SEARCH($AN$690,H99)))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H99:AK128 H129:X133 H134:AK136 N137:AK147</xm:sqref>
        </x14:conditionalFormatting>
        <x14:conditionalFormatting xmlns:xm="http://schemas.microsoft.com/office/excel/2006/main">
          <x14:cfRule type="containsText" priority="16282" operator="containsText" id="{CBB72EFB-44FA-4F4B-935A-E7FAD4142888}">
            <xm:f>NOT(ISERROR(SEARCH($AN$704,H99)))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6283" operator="containsText" id="{777B819C-0383-4260-99FB-328D648187A2}">
            <xm:f>NOT(ISERROR(SEARCH($AN$693,H99)))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6284" operator="containsText" id="{CAF52321-E92C-4111-895A-47B38567432D}">
            <xm:f>NOT(ISERROR(SEARCH($AN$692,H99)))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6285" operator="containsText" id="{5F4D4477-57C8-443F-A716-170B20080E89}">
            <xm:f>NOT(ISERROR(SEARCH($AN$691,H99)))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6286" operator="containsText" id="{43DA3D1A-3E7F-415E-A176-284E33C82864}">
            <xm:f>NOT(ISERROR(SEARCH($AN$689,H99)))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H99:AK128 H129:X133 AD129:AF133 H134:AK136 N137:AK147</xm:sqref>
        </x14:conditionalFormatting>
        <x14:conditionalFormatting xmlns:xm="http://schemas.microsoft.com/office/excel/2006/main">
          <x14:cfRule type="containsText" priority="16287" operator="containsText" id="{82876FF7-4A0D-4010-9D3E-2C16D54AF8CD}">
            <xm:f>NOT(ISERROR(SEARCH($AN$687,H99)))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H99:AK128</xm:sqref>
        </x14:conditionalFormatting>
        <x14:conditionalFormatting xmlns:xm="http://schemas.microsoft.com/office/excel/2006/main">
          <x14:cfRule type="containsText" priority="21961" operator="containsText" id="{FEAFE15C-B62D-426F-B20B-630AE168190D}">
            <xm:f>NOT(ISERROR(SEARCH($AN$686,H125)))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962" operator="containsText" id="{AB2A9E80-9B37-47A2-84D5-5D1DB8EF2BE0}">
            <xm:f>NOT(ISERROR(SEARCH($AN$685,H125)))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963" operator="containsText" id="{FEC33C35-FE8E-4AA8-BD6D-22AAD3BD6181}">
            <xm:f>NOT(ISERROR(SEARCH($AN$684,H125)))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964" operator="containsText" id="{4C7C63D5-BB80-4282-9B7B-212018DFEF2C}">
            <xm:f>NOT(ISERROR(SEARCH($AN$683,H125)))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965" operator="containsText" id="{0FB89330-145F-4D6F-BB28-58CA4D826107}">
            <xm:f>NOT(ISERROR(SEARCH($AN$682,H125)))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H125:AK128 N137:AK147 H134:AK136 H129:X133 AD129:AF133</xm:sqref>
        </x14:conditionalFormatting>
        <x14:conditionalFormatting xmlns:xm="http://schemas.microsoft.com/office/excel/2006/main">
          <x14:cfRule type="containsText" priority="21635" operator="containsText" id="{7BF18631-121A-409F-8387-9F06378730E8}">
            <xm:f>NOT(ISERROR(SEARCH($AN$681,H195)))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636" operator="containsText" id="{85F2F732-0EDA-4A57-B2EA-945D67F8F003}">
            <xm:f>NOT(ISERROR(SEARCH($AN$680,H195)))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637" operator="containsText" id="{A8A216E3-9109-44D9-8417-8D66A3BCB424}">
            <xm:f>NOT(ISERROR(SEARCH($AN$678,H195)))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638" operator="containsText" id="{B23EC54E-DCB3-4FA2-A1B2-A5C139370357}">
            <xm:f>NOT(ISERROR(SEARCH($AN$679,H195)))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H195:AK195 H196:X229 H230:AK232 N233:AK243</xm:sqref>
        </x14:conditionalFormatting>
        <x14:conditionalFormatting xmlns:xm="http://schemas.microsoft.com/office/excel/2006/main">
          <x14:cfRule type="containsText" priority="21287" operator="containsText" id="{CC4BCE50-01E6-4244-9CCA-B6C8BE5847D4}">
            <xm:f>NOT(ISERROR(SEARCH($AN$688,H195)))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m:sqref>H195:AK219 H220:AF220 AK220 H221:AK224 N233:AK243 H230:AK232 H225:X229 AD225:AF229</xm:sqref>
        </x14:conditionalFormatting>
        <x14:conditionalFormatting xmlns:xm="http://schemas.microsoft.com/office/excel/2006/main">
          <x14:cfRule type="containsText" priority="21622" operator="containsText" id="{8D8ABAE8-1945-498D-886C-2568D1E0557B}">
            <xm:f>NOT(ISERROR(SEARCH($AN$686,H195)))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623" operator="containsText" id="{06980A85-6841-4791-B3D8-F09FF55A80B9}">
            <xm:f>NOT(ISERROR(SEARCH($AN$685,H195)))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624" operator="containsText" id="{4F973578-A1C9-453A-8323-970676FC614A}">
            <xm:f>NOT(ISERROR(SEARCH($AN$684,H195)))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625" operator="containsText" id="{735BE528-927E-45EC-9340-B903EDC8BBA8}">
            <xm:f>NOT(ISERROR(SEARCH($AN$683,H195)))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626" operator="containsText" id="{CD410534-2FDF-45A7-86CE-C333FA436FE6}">
            <xm:f>NOT(ISERROR(SEARCH($AN$682,H195)))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H195:AK219</xm:sqref>
        </x14:conditionalFormatting>
        <x14:conditionalFormatting xmlns:xm="http://schemas.microsoft.com/office/excel/2006/main">
          <x14:cfRule type="containsText" priority="16267" operator="containsText" id="{20FB71AD-64A8-4EA3-BA7B-1D68B50DA143}">
            <xm:f>NOT(ISERROR(SEARCH($AN$692,H195)))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6268" operator="containsText" id="{D794D8DA-98A4-4BF3-BA73-B596BD6C79D7}">
            <xm:f>NOT(ISERROR(SEARCH($AN$691,H195)))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6269" operator="containsText" id="{64E303B4-8719-403A-A657-20DFA08A78A0}">
            <xm:f>NOT(ISERROR(SEARCH($AN$689,H195)))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H195:AK224 H225:X229 AD225:AF229 H230:AK232 N233:AK243</xm:sqref>
        </x14:conditionalFormatting>
        <x14:conditionalFormatting xmlns:xm="http://schemas.microsoft.com/office/excel/2006/main">
          <x14:cfRule type="containsText" priority="5254" operator="containsText" id="{6CB1082A-4D18-4988-A2EF-5AB168D50A29}">
            <xm:f>NOT(ISERROR(SEARCH($AN$704,H195)))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m:sqref>H195:AK224 H230:AK232 H225:AF229</xm:sqref>
        </x14:conditionalFormatting>
        <x14:conditionalFormatting xmlns:xm="http://schemas.microsoft.com/office/excel/2006/main">
          <x14:cfRule type="containsText" priority="16270" operator="containsText" id="{70863770-9014-40DE-ACEA-03E249F8577D}">
            <xm:f>NOT(ISERROR(SEARCH($AN$687,H195)))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H195:AK224</xm:sqref>
        </x14:conditionalFormatting>
        <x14:conditionalFormatting xmlns:xm="http://schemas.microsoft.com/office/excel/2006/main">
          <x14:cfRule type="containsText" priority="21551" operator="containsText" id="{7C416777-40C2-4662-A7D1-2914839F31C9}">
            <xm:f>NOT(ISERROR(SEARCH($AN$686,H221)))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552" operator="containsText" id="{322EE7A1-B475-47B6-B771-C2B35C4A9105}">
            <xm:f>NOT(ISERROR(SEARCH($AN$685,H221)))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553" operator="containsText" id="{21E9EE02-FD6E-4762-93AF-7686A034262A}">
            <xm:f>NOT(ISERROR(SEARCH($AN$684,H221)))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554" operator="containsText" id="{AF3F9A39-D9E7-4C79-9659-87A1C47CC165}">
            <xm:f>NOT(ISERROR(SEARCH($AN$683,H221)))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555" operator="containsText" id="{5F6E812E-75C0-43BB-9498-2F64E0E75DF4}">
            <xm:f>NOT(ISERROR(SEARCH($AN$682,H221)))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H221:AK224 N233:AK243 H230:AK232 H225:X229 AD225:AF229</xm:sqref>
        </x14:conditionalFormatting>
        <x14:conditionalFormatting xmlns:xm="http://schemas.microsoft.com/office/excel/2006/main">
          <x14:cfRule type="containsText" priority="25919" operator="containsText" id="{7DB616E4-8D1E-4EE2-9255-07905DFA9635}">
            <xm:f>NOT(ISERROR(SEARCH($AN$681,H291)))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5920" operator="containsText" id="{EACFC41C-9A50-4C1E-9D51-CFC0C93902B9}">
            <xm:f>NOT(ISERROR(SEARCH($AN$680,H291)))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5921" operator="containsText" id="{C65A8205-0554-482F-B03A-7483F6BCD3EC}">
            <xm:f>NOT(ISERROR(SEARCH($AN$678,H291)))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5922" operator="containsText" id="{B08929F7-868A-4DD2-A71D-67A0F2711FD5}">
            <xm:f>NOT(ISERROR(SEARCH($AN$679,H291)))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H291:AK291 H292:X325 H326:AK331 H332:H336 N332:AK336 H337:AK339</xm:sqref>
        </x14:conditionalFormatting>
        <x14:conditionalFormatting xmlns:xm="http://schemas.microsoft.com/office/excel/2006/main">
          <x14:cfRule type="containsText" priority="25819" operator="containsText" id="{B2CD9B56-95DD-46C8-A6FE-9D165CEF7684}">
            <xm:f>NOT(ISERROR(SEARCH($AN$688,H291)))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m:sqref>H291:AK320 H321:X325 AA321:AA325 AD321:AF325 H326:AK331 H332:H336 N332:AK336 H337:AK339</xm:sqref>
        </x14:conditionalFormatting>
        <x14:conditionalFormatting xmlns:xm="http://schemas.microsoft.com/office/excel/2006/main">
          <x14:cfRule type="containsText" priority="25815" operator="containsText" id="{323EDFEC-B959-4669-9D3C-5952AC5250EF}">
            <xm:f>NOT(ISERROR(SEARCH($AN$692,H291)))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5816" operator="containsText" id="{7E352424-1BE0-46A3-B8B1-914115175090}">
            <xm:f>NOT(ISERROR(SEARCH($AN$691,H291)))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5817" operator="containsText" id="{6EF7C90B-E9FE-4331-9946-F4F0F4858E49}">
            <xm:f>NOT(ISERROR(SEARCH($AN$689,H291)))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5818" operator="containsText" id="{F3BEFE21-CBE4-4939-A609-E4DEE3D86B41}">
            <xm:f>NOT(ISERROR(SEARCH($AN$687,H291)))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H291:AK320 H321:X325 AA321:AA325 AD321:AF325 H326:AK331</xm:sqref>
        </x14:conditionalFormatting>
        <x14:conditionalFormatting xmlns:xm="http://schemas.microsoft.com/office/excel/2006/main">
          <x14:cfRule type="containsText" priority="25812" operator="containsText" id="{33D51830-5CB5-490B-8D25-F0D0DE7E5342}">
            <xm:f>NOT(ISERROR(SEARCH($AN$690,H291)))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5813" operator="containsText" id="{587A861F-CFF1-4019-9B08-5534BD1AE693}">
            <xm:f>NOT(ISERROR(SEARCH($AN$704,H291)))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5814" operator="containsText" id="{A10741A3-54E2-4167-A0C8-B6044B5D22AB}">
            <xm:f>NOT(ISERROR(SEARCH($AN$693,H291)))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5906" operator="containsText" id="{D7E3E4F2-EDD2-4CEE-9A5F-BC28D07814B1}">
            <xm:f>NOT(ISERROR(SEARCH($AN$686,H291)))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907" operator="containsText" id="{4C272A57-1E81-4713-88EF-C05E7DB10BB7}">
            <xm:f>NOT(ISERROR(SEARCH($AN$685,H291)))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5908" operator="containsText" id="{9AC6B7A0-F57F-4291-AF55-4EC527F87497}">
            <xm:f>NOT(ISERROR(SEARCH($AN$684,H291)))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909" operator="containsText" id="{9CC56A23-8D8D-4283-B84B-C3BDA7DC33B3}">
            <xm:f>NOT(ISERROR(SEARCH($AN$683,H291)))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5910" operator="containsText" id="{C0D33138-3C8A-4A2C-9990-4876B4D5B81F}">
            <xm:f>NOT(ISERROR(SEARCH($AN$682,H291)))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H291:AK320</xm:sqref>
        </x14:conditionalFormatting>
        <x14:conditionalFormatting xmlns:xm="http://schemas.microsoft.com/office/excel/2006/main">
          <x14:cfRule type="containsText" priority="9486" operator="containsText" id="{0A8A2421-D60C-4CCC-A114-94AC5D36D7DF}">
            <xm:f>NOT(ISERROR(SEARCH($AN$690,H326)))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9487" operator="containsText" id="{0701AF8E-E07A-4346-9F06-291031C446DA}">
            <xm:f>NOT(ISERROR(SEARCH($AN$704,H326)))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488" operator="containsText" id="{09B6742B-60BE-4BF6-A5CF-C85CEAA70F97}">
            <xm:f>NOT(ISERROR(SEARCH($AN$693,H326)))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H326:AK339</xm:sqref>
        </x14:conditionalFormatting>
        <x14:conditionalFormatting xmlns:xm="http://schemas.microsoft.com/office/excel/2006/main">
          <x14:cfRule type="containsText" priority="9489" operator="containsText" id="{4513F2B5-9321-4103-935E-3B8DE0895C2A}">
            <xm:f>NOT(ISERROR(SEARCH($AN$692,H332)))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490" operator="containsText" id="{A00217F0-87E8-4E0F-B472-B595FAACA126}">
            <xm:f>NOT(ISERROR(SEARCH($AN$691,H332)))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9491" operator="containsText" id="{FD180C31-7A59-4E94-9629-AA37A2BEA695}">
            <xm:f>NOT(ISERROR(SEARCH($AN$689,H332)))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9492" operator="containsText" id="{7C4E9D75-7E6D-46FF-8772-CC0708A43D8C}">
            <xm:f>NOT(ISERROR(SEARCH($AN$687,H332)))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H332:AK339</xm:sqref>
        </x14:conditionalFormatting>
        <x14:conditionalFormatting xmlns:xm="http://schemas.microsoft.com/office/excel/2006/main">
          <x14:cfRule type="containsText" priority="24095" operator="containsText" id="{B5A9DDB0-90C8-4246-824E-41AFCAD9CB14}">
            <xm:f>NOT(ISERROR(SEARCH($AN$681,H387)))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4096" operator="containsText" id="{E8246D16-E4CA-451A-8D65-301C2795477C}">
            <xm:f>NOT(ISERROR(SEARCH($AN$680,H387)))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4097" operator="containsText" id="{2FC78B65-5822-429A-9AF9-19B67BB292B6}">
            <xm:f>NOT(ISERROR(SEARCH($AN$678,H387)))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4098" operator="containsText" id="{ADB5651E-3271-451F-8FB8-6A6ECE2DF47E}">
            <xm:f>NOT(ISERROR(SEARCH($AN$679,H387)))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H387:AK387 H388:X421 H422:AK424 N425:AK435</xm:sqref>
        </x14:conditionalFormatting>
        <x14:conditionalFormatting xmlns:xm="http://schemas.microsoft.com/office/excel/2006/main">
          <x14:cfRule type="containsText" priority="24006" operator="containsText" id="{3C02454A-D426-489E-A86F-09B249284B29}">
            <xm:f>NOT(ISERROR(SEARCH($AN$692,H387)))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4007" operator="containsText" id="{99EFB033-4EB2-469D-AD6E-2A6564FC2592}">
            <xm:f>NOT(ISERROR(SEARCH($AN$691,H387)))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4008" operator="containsText" id="{BDEAA875-4DB1-477A-B404-8BE16ACB485A}">
            <xm:f>NOT(ISERROR(SEARCH($AN$689,H387)))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4009" operator="containsText" id="{A4343159-4859-41A5-8D3E-497752ED543C}">
            <xm:f>NOT(ISERROR(SEARCH($AN$687,H387)))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H387:AK416 H417:X421 AD417:AF421 H422:AK424 N425:AK435</xm:sqref>
        </x14:conditionalFormatting>
        <x14:conditionalFormatting xmlns:xm="http://schemas.microsoft.com/office/excel/2006/main">
          <x14:cfRule type="containsText" priority="24003" operator="containsText" id="{2054C479-BDB2-4B39-91E2-E5591C67000C}">
            <xm:f>NOT(ISERROR(SEARCH($AN$690,H387)))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4004" operator="containsText" id="{BE33B968-D50E-4940-B584-F68A9B51C28C}">
            <xm:f>NOT(ISERROR(SEARCH($AN$704,H387)))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4005" operator="containsText" id="{55680842-610F-4C17-BEFD-A6030F78215D}">
            <xm:f>NOT(ISERROR(SEARCH($AN$693,H387)))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H387:AK416 H422:AK424 N425:AK435</xm:sqref>
        </x14:conditionalFormatting>
        <x14:conditionalFormatting xmlns:xm="http://schemas.microsoft.com/office/excel/2006/main">
          <x14:cfRule type="containsText" priority="24010" operator="containsText" id="{76DFB59A-8C15-46E9-8F6E-438A29A96F02}">
            <xm:f>NOT(ISERROR(SEARCH($AN$688,H387)))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m:sqref>H387:AK416 N425:AK435 H422:AK424 H417:X421 AD417:AF421</xm:sqref>
        </x14:conditionalFormatting>
        <x14:conditionalFormatting xmlns:xm="http://schemas.microsoft.com/office/excel/2006/main">
          <x14:cfRule type="containsText" priority="24082" operator="containsText" id="{EB113BA8-68E6-4D31-96BC-A02D9970C26A}">
            <xm:f>NOT(ISERROR(SEARCH($AN$686,H387)))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083" operator="containsText" id="{691230B2-56C5-4870-8DDB-CD2D74391E23}">
            <xm:f>NOT(ISERROR(SEARCH($AN$685,H387)))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4084" operator="containsText" id="{6AAF30A9-081F-4F88-8669-C92695CCA4BB}">
            <xm:f>NOT(ISERROR(SEARCH($AN$684,H387)))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085" operator="containsText" id="{EDD47A73-0A61-45BF-823D-5B7AE61686C4}">
            <xm:f>NOT(ISERROR(SEARCH($AN$683,H387)))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4086" operator="containsText" id="{68BF2254-52A7-4B7A-ABFD-3CBB616602C6}">
            <xm:f>NOT(ISERROR(SEARCH($AN$682,H387)))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H387:AK416</xm:sqref>
        </x14:conditionalFormatting>
        <x14:conditionalFormatting xmlns:xm="http://schemas.microsoft.com/office/excel/2006/main">
          <x14:cfRule type="containsText" priority="24011" operator="containsText" id="{4F154F0B-3787-43D0-958A-56D0B734CB95}">
            <xm:f>NOT(ISERROR(SEARCH($AN$686,H417)))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012" operator="containsText" id="{DA480523-A20F-4D95-BC5E-59EE486CCCBB}">
            <xm:f>NOT(ISERROR(SEARCH($AN$685,H417)))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4013" operator="containsText" id="{914D32BC-F7F8-4D04-BCEB-76321ABE6A87}">
            <xm:f>NOT(ISERROR(SEARCH($AN$684,H417)))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014" operator="containsText" id="{C065B3DB-A67C-4736-814B-C3CB9D8653F8}">
            <xm:f>NOT(ISERROR(SEARCH($AN$683,H417)))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4015" operator="containsText" id="{A31C439D-050D-4898-BB81-515FC86E8123}">
            <xm:f>NOT(ISERROR(SEARCH($AN$682,H417)))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H422:AK424 N425:AK435 H417:X421 AD417:AF421</xm:sqref>
        </x14:conditionalFormatting>
        <x14:conditionalFormatting xmlns:xm="http://schemas.microsoft.com/office/excel/2006/main">
          <x14:cfRule type="containsText" priority="23685" operator="containsText" id="{DC41653C-0FFD-41FF-A6AB-6CF5B30C225E}">
            <xm:f>NOT(ISERROR(SEARCH($AN$681,H483)))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686" operator="containsText" id="{ECC55855-3232-446B-A0D5-6779FF7D4D23}">
            <xm:f>NOT(ISERROR(SEARCH($AN$680,H483)))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687" operator="containsText" id="{5C60D46D-C679-4EE3-A269-20A6F3BFCEF6}">
            <xm:f>NOT(ISERROR(SEARCH($AN$678,H483)))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688" operator="containsText" id="{48254C17-8B33-469D-9639-F17B3F198932}">
            <xm:f>NOT(ISERROR(SEARCH($AN$679,H483)))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H483:AK483 H484:X517 H518:AK520 N521:AK531</xm:sqref>
        </x14:conditionalFormatting>
        <x14:conditionalFormatting xmlns:xm="http://schemas.microsoft.com/office/excel/2006/main">
          <x14:cfRule type="containsText" priority="23596" operator="containsText" id="{FA4F8769-734F-42B7-929D-B75B1721DD53}">
            <xm:f>NOT(ISERROR(SEARCH($AN$692,H483)))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3597" operator="containsText" id="{910BDB0B-703B-4CC4-A9E2-110B58D82B93}">
            <xm:f>NOT(ISERROR(SEARCH($AN$691,H483)))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3598" operator="containsText" id="{14273E7E-4BF9-4529-BF29-1215BFFCDA3E}">
            <xm:f>NOT(ISERROR(SEARCH($AN$689,H483)))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599" operator="containsText" id="{10F11471-6138-4CD1-87F4-548D795D0FA2}">
            <xm:f>NOT(ISERROR(SEARCH($AN$687,H483)))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H483:AK512 H513:X517 AD513:AF517 H518:AK520 N521:AK531</xm:sqref>
        </x14:conditionalFormatting>
        <x14:conditionalFormatting xmlns:xm="http://schemas.microsoft.com/office/excel/2006/main">
          <x14:cfRule type="containsText" priority="23593" operator="containsText" id="{5934E4E3-7ECA-4895-9B0D-467A0F76793C}">
            <xm:f>NOT(ISERROR(SEARCH($AN$690,H483)))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3594" operator="containsText" id="{7578C4F3-DCAD-471C-95F7-5342E5CD2EAF}">
            <xm:f>NOT(ISERROR(SEARCH($AN$704,H483)))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3595" operator="containsText" id="{1796AD2E-CE1E-4CB0-830B-ACABD3F9D324}">
            <xm:f>NOT(ISERROR(SEARCH($AN$693,H483)))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H483:AK512 H518:AK520 N521:AK531</xm:sqref>
        </x14:conditionalFormatting>
        <x14:conditionalFormatting xmlns:xm="http://schemas.microsoft.com/office/excel/2006/main">
          <x14:cfRule type="containsText" priority="23600" operator="containsText" id="{E11BE831-B9F1-4609-B557-6DA6ACF73141}">
            <xm:f>NOT(ISERROR(SEARCH($AN$688,H483)))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m:sqref>H483:AK512 N521:AK531 H518:AK520 H513:X517 AD513:AF517</xm:sqref>
        </x14:conditionalFormatting>
        <x14:conditionalFormatting xmlns:xm="http://schemas.microsoft.com/office/excel/2006/main">
          <x14:cfRule type="containsText" priority="23672" operator="containsText" id="{A550939F-BF4E-4E53-82D1-91ECCE37F47B}">
            <xm:f>NOT(ISERROR(SEARCH($AN$686,H483)))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673" operator="containsText" id="{64991DB8-7C5F-4708-88BE-A575BF2AA09C}">
            <xm:f>NOT(ISERROR(SEARCH($AN$685,H483)))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674" operator="containsText" id="{74A76AF7-9A04-4F39-9393-3CEF4B38FD26}">
            <xm:f>NOT(ISERROR(SEARCH($AN$684,H483)))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675" operator="containsText" id="{64DF66DD-FA1B-4EAF-8282-12B8A6246E34}">
            <xm:f>NOT(ISERROR(SEARCH($AN$683,H483)))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676" operator="containsText" id="{C42204D1-DE4C-48F7-A9EE-B57428892EED}">
            <xm:f>NOT(ISERROR(SEARCH($AN$682,H483)))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H483:AK512</xm:sqref>
        </x14:conditionalFormatting>
        <x14:conditionalFormatting xmlns:xm="http://schemas.microsoft.com/office/excel/2006/main">
          <x14:cfRule type="containsText" priority="23601" operator="containsText" id="{CE9E154B-FC65-422D-B765-2F7FD44D65E8}">
            <xm:f>NOT(ISERROR(SEARCH($AN$686,H513)))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602" operator="containsText" id="{6FFAA474-37A0-4A70-830A-D3EF8EE34DCD}">
            <xm:f>NOT(ISERROR(SEARCH($AN$685,H513)))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603" operator="containsText" id="{5CAA82BC-DEAA-4DD0-B743-3E47242B4867}">
            <xm:f>NOT(ISERROR(SEARCH($AN$684,H513)))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604" operator="containsText" id="{1F4E2318-7C38-4365-A02A-3FA842BB3034}">
            <xm:f>NOT(ISERROR(SEARCH($AN$683,H513)))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605" operator="containsText" id="{ACE31064-6BB7-4795-80D9-83F200EFF948}">
            <xm:f>NOT(ISERROR(SEARCH($AN$682,H513)))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H518:AK520 N521:AK531 H513:X517 AD513:AF517</xm:sqref>
        </x14:conditionalFormatting>
        <x14:conditionalFormatting xmlns:xm="http://schemas.microsoft.com/office/excel/2006/main">
          <x14:cfRule type="containsText" priority="23275" operator="containsText" id="{31C29628-1ED1-4458-8314-079369225751}">
            <xm:f>NOT(ISERROR(SEARCH($AN$681,H579)))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276" operator="containsText" id="{00B4EF8E-7E97-45F9-BFD1-CDFB4B86CA62}">
            <xm:f>NOT(ISERROR(SEARCH($AN$680,H579)))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277" operator="containsText" id="{BDA9ED78-AEA4-4B1B-97BF-07B3710EF2BD}">
            <xm:f>NOT(ISERROR(SEARCH($AN$678,H579)))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278" operator="containsText" id="{D1211CB5-7C4A-4F4B-862A-5ED8045DF88D}">
            <xm:f>NOT(ISERROR(SEARCH($AN$679,H579)))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H579:AK579 H580:X613 H614:AK616 N617:AK627</xm:sqref>
        </x14:conditionalFormatting>
        <x14:conditionalFormatting xmlns:xm="http://schemas.microsoft.com/office/excel/2006/main">
          <x14:cfRule type="containsText" priority="23186" operator="containsText" id="{20F3C0AB-B650-40E3-98D9-FAE618E62174}">
            <xm:f>NOT(ISERROR(SEARCH($AN$692,H579)))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3187" operator="containsText" id="{A5E2A8EC-21CE-499B-A58B-9687C154561A}">
            <xm:f>NOT(ISERROR(SEARCH($AN$691,H579)))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3188" operator="containsText" id="{ED8DC10C-1FDC-4D7F-A8E2-998059A57159}">
            <xm:f>NOT(ISERROR(SEARCH($AN$689,H579)))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189" operator="containsText" id="{2ECEF0A2-B828-4B13-9BFA-C8D15C9C399D}">
            <xm:f>NOT(ISERROR(SEARCH($AN$687,H579)))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H579:AK608 H609:X613 AD609:AF613 H614:AK616 N617:AK627</xm:sqref>
        </x14:conditionalFormatting>
        <x14:conditionalFormatting xmlns:xm="http://schemas.microsoft.com/office/excel/2006/main">
          <x14:cfRule type="containsText" priority="23183" operator="containsText" id="{50577FA3-D726-483A-9AFB-1F5F21222549}">
            <xm:f>NOT(ISERROR(SEARCH($AN$690,H579)))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3184" operator="containsText" id="{5A915E95-D57E-4781-A00A-8873009563FE}">
            <xm:f>NOT(ISERROR(SEARCH($AN$704,H579)))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3185" operator="containsText" id="{0ACC7E10-BA4F-46F6-82E6-2319B8AFDBF2}">
            <xm:f>NOT(ISERROR(SEARCH($AN$693,H579)))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H579:AK608 H614:AK616 N617:AK627</xm:sqref>
        </x14:conditionalFormatting>
        <x14:conditionalFormatting xmlns:xm="http://schemas.microsoft.com/office/excel/2006/main">
          <x14:cfRule type="containsText" priority="23190" operator="containsText" id="{DF8C5EE4-63AB-4CB5-9B84-49795819E02F}">
            <xm:f>NOT(ISERROR(SEARCH($AN$688,H579)))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m:sqref>H579:AK608 N617:AK627 H614:AK616 H609:X613 AD609:AF613</xm:sqref>
        </x14:conditionalFormatting>
        <x14:conditionalFormatting xmlns:xm="http://schemas.microsoft.com/office/excel/2006/main">
          <x14:cfRule type="containsText" priority="23262" operator="containsText" id="{4918B0D0-707C-464C-90F0-68D703BCCC85}">
            <xm:f>NOT(ISERROR(SEARCH($AN$686,H579)))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263" operator="containsText" id="{A29309CD-C5D0-4F8A-AF68-3655761808EA}">
            <xm:f>NOT(ISERROR(SEARCH($AN$685,H579)))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264" operator="containsText" id="{9902EE0F-A69C-4F79-904C-A9F57EC09775}">
            <xm:f>NOT(ISERROR(SEARCH($AN$684,H579)))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265" operator="containsText" id="{AF59F72F-C626-417C-9E36-F2FEF33190D3}">
            <xm:f>NOT(ISERROR(SEARCH($AN$683,H579)))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266" operator="containsText" id="{D69035BD-4CA5-4D06-8524-C4560598ABED}">
            <xm:f>NOT(ISERROR(SEARCH($AN$682,H579)))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H579:AK608</xm:sqref>
        </x14:conditionalFormatting>
        <x14:conditionalFormatting xmlns:xm="http://schemas.microsoft.com/office/excel/2006/main">
          <x14:cfRule type="containsText" priority="23191" operator="containsText" id="{8A01E9E4-5399-430F-BC8B-B9F2FB82AFDB}">
            <xm:f>NOT(ISERROR(SEARCH($AN$686,H609)))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192" operator="containsText" id="{0EFBEC10-2AD5-4255-B383-C2C62C2FE388}">
            <xm:f>NOT(ISERROR(SEARCH($AN$685,H609)))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193" operator="containsText" id="{04CDE044-4A49-4732-92A2-EE5B66F9244D}">
            <xm:f>NOT(ISERROR(SEARCH($AN$684,H609)))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194" operator="containsText" id="{E7F65FD3-87DB-4605-BF98-BE0D45AD9AF9}">
            <xm:f>NOT(ISERROR(SEARCH($AN$683,H609)))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195" operator="containsText" id="{551667C6-CC63-42D1-8334-D8FBB0F66593}">
            <xm:f>NOT(ISERROR(SEARCH($AN$682,H609)))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H614:AK616 N617:AK627 H609:X613 AD609:AF613</xm:sqref>
        </x14:conditionalFormatting>
        <x14:conditionalFormatting xmlns:xm="http://schemas.microsoft.com/office/excel/2006/main">
          <x14:cfRule type="containsText" priority="22865" operator="containsText" id="{70C4FCAD-4317-4A0E-90E3-D84435E6BCAD}">
            <xm:f>NOT(ISERROR(SEARCH($AN$681,H675)))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866" operator="containsText" id="{BA1F1E91-4963-4552-B274-C8CEC7E04E29}">
            <xm:f>NOT(ISERROR(SEARCH($AN$680,H675)))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867" operator="containsText" id="{7EB667AD-AD90-4AD7-BD92-2C930B2DCEA4}">
            <xm:f>NOT(ISERROR(SEARCH($AN$678,H675)))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868" operator="containsText" id="{11AD33FE-58DE-4040-87AF-324CEEE0AC25}">
            <xm:f>NOT(ISERROR(SEARCH($AN$679,H675)))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H675:AK675 H676:X709 H710:AK712 N713:AK723</xm:sqref>
        </x14:conditionalFormatting>
        <x14:conditionalFormatting xmlns:xm="http://schemas.microsoft.com/office/excel/2006/main">
          <x14:cfRule type="containsText" priority="22776" operator="containsText" id="{5164BBD1-98DD-4D3B-B7CC-2CE3D0B6A675}">
            <xm:f>NOT(ISERROR(SEARCH($AN$692,H675)))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777" operator="containsText" id="{310F65FA-FC3B-41E0-A5E0-7A942E050092}">
            <xm:f>NOT(ISERROR(SEARCH($AN$691,H675)))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778" operator="containsText" id="{DEBBD05B-3649-4284-98E1-F0F85984F9C2}">
            <xm:f>NOT(ISERROR(SEARCH($AN$689,H675)))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779" operator="containsText" id="{A4DAC696-9F64-4F94-BD6D-F4C417B80731}">
            <xm:f>NOT(ISERROR(SEARCH($AN$687,H675)))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H675:AK704 H705:X709 AD705:AF709 H710:AK712 N713:AK723</xm:sqref>
        </x14:conditionalFormatting>
        <x14:conditionalFormatting xmlns:xm="http://schemas.microsoft.com/office/excel/2006/main">
          <x14:cfRule type="containsText" priority="22773" operator="containsText" id="{65EEAF47-C8E4-4A51-A04A-E888988CAB56}">
            <xm:f>NOT(ISERROR(SEARCH($AN$690,H675)))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774" operator="containsText" id="{F5EC366B-66AD-4DF1-BD8F-CD26D14CF046}">
            <xm:f>NOT(ISERROR(SEARCH($AN$704,H675)))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775" operator="containsText" id="{6C2F563B-29D0-4403-8E72-00145055DC31}">
            <xm:f>NOT(ISERROR(SEARCH($AN$693,H675)))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H675:AK704 H710:AK712 N713:AK723</xm:sqref>
        </x14:conditionalFormatting>
        <x14:conditionalFormatting xmlns:xm="http://schemas.microsoft.com/office/excel/2006/main">
          <x14:cfRule type="containsText" priority="22780" operator="containsText" id="{E6CE21B5-B0CD-4365-AB36-01D7D7E3F6C0}">
            <xm:f>NOT(ISERROR(SEARCH($AN$688,H675)))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m:sqref>H675:AK704 N713:AK723 H710:AK712 H705:X709 AD705:AF709</xm:sqref>
        </x14:conditionalFormatting>
        <x14:conditionalFormatting xmlns:xm="http://schemas.microsoft.com/office/excel/2006/main">
          <x14:cfRule type="containsText" priority="22852" operator="containsText" id="{E57F55E7-A54B-43D4-A6A8-901A2219A8D1}">
            <xm:f>NOT(ISERROR(SEARCH($AN$686,H675)))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853" operator="containsText" id="{329DDF6D-4C74-4CA1-8A92-CFEB12608378}">
            <xm:f>NOT(ISERROR(SEARCH($AN$685,H675)))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854" operator="containsText" id="{4A442C03-A9D1-47B8-802D-F8FA31FBC5CE}">
            <xm:f>NOT(ISERROR(SEARCH($AN$684,H675)))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855" operator="containsText" id="{FE242804-32FC-47E8-9A20-79F88CC15293}">
            <xm:f>NOT(ISERROR(SEARCH($AN$683,H675)))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856" operator="containsText" id="{BD50F67A-0B09-418B-958E-A0E3ABD7003D}">
            <xm:f>NOT(ISERROR(SEARCH($AN$682,H675)))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H675:AK704</xm:sqref>
        </x14:conditionalFormatting>
        <x14:conditionalFormatting xmlns:xm="http://schemas.microsoft.com/office/excel/2006/main">
          <x14:cfRule type="containsText" priority="22781" operator="containsText" id="{748C2D99-0D04-4513-B510-178A26E6ABA5}">
            <xm:f>NOT(ISERROR(SEARCH($AN$686,H705)))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782" operator="containsText" id="{50121BDC-B81B-45E1-8C85-AF2D7FA68CCE}">
            <xm:f>NOT(ISERROR(SEARCH($AN$685,H705)))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783" operator="containsText" id="{0DD42DB4-F83F-4DA6-9436-84DCE0FCE092}">
            <xm:f>NOT(ISERROR(SEARCH($AN$684,H705)))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784" operator="containsText" id="{53B4AAB0-4685-4BAA-82EC-8FA76C921579}">
            <xm:f>NOT(ISERROR(SEARCH($AN$683,H705)))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785" operator="containsText" id="{DAC8CB09-44A1-4490-8A68-6A6119068143}">
            <xm:f>NOT(ISERROR(SEARCH($AN$682,H705)))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H710:AK712 N713:AK723 H705:X709 AD705:AF709</xm:sqref>
        </x14:conditionalFormatting>
        <x14:conditionalFormatting xmlns:xm="http://schemas.microsoft.com/office/excel/2006/main">
          <x14:cfRule type="containsText" priority="52048" operator="containsText" id="{571C7AD0-4879-4F2A-9D27-22E7845385A3}">
            <xm:f>NOT(ISERROR(SEARCH($AN$690,H478)))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2049" operator="containsText" id="{B9B77A3F-66BB-412C-BA7D-2B28BE250A12}">
            <xm:f>NOT(ISERROR(SEARCH($AN$704,H478)))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2050" operator="containsText" id="{AF71BBBF-CEDE-4B34-AAEC-C672A4108445}">
            <xm:f>NOT(ISERROR(SEARCH($AN$693,H478)))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2051" operator="containsText" id="{5D809D0C-6144-4F1C-9A89-4EB7F91373FA}">
            <xm:f>NOT(ISERROR(SEARCH($AN$692,H478)))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2052" operator="containsText" id="{C94847F2-DA1E-4B7A-817D-43E0F31C8026}">
            <xm:f>NOT(ISERROR(SEARCH($AN$691,H478)))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2053" operator="containsText" id="{D0B62B1D-117A-4831-9C35-C3444976F913}">
            <xm:f>NOT(ISERROR(SEARCH($AN$689,H478)))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2054" operator="containsText" id="{F84B229F-3900-4BB4-9244-51D05E277AEB}">
            <xm:f>NOT(ISERROR(SEARCH($AN$687,H478)))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2055" operator="containsText" id="{ACC44E74-3402-4190-9AB4-31FBB414B9DF}">
            <xm:f>NOT(ISERROR(SEARCH($AN$688,H478)))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2056" operator="containsText" id="{9C42C24D-CEB2-42F7-B273-D59DB80D4FF2}">
            <xm:f>NOT(ISERROR(SEARCH($AN$686,H478)))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2057" operator="containsText" id="{9F66BB3E-6253-4C7F-BA2F-62C48905552A}">
            <xm:f>NOT(ISERROR(SEARCH($AN$685,H478)))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2058" operator="containsText" id="{FDA452A5-FC42-40B2-BAE5-6DCE05A9510C}">
            <xm:f>NOT(ISERROR(SEARCH($AN$684,H478)))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2059" operator="containsText" id="{6BBA9B14-AC20-42A1-AFA3-B7EABF559F19}">
            <xm:f>NOT(ISERROR(SEARCH($AN$683,H478)))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2060" operator="containsText" id="{494A19F4-7E73-4474-845B-72C75C656010}">
            <xm:f>NOT(ISERROR(SEARCH($AN$682,H478)))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2061" operator="containsText" id="{ED21DCDB-294C-4265-AB5C-16FB5C024106}">
            <xm:f>NOT(ISERROR(SEARCH($AN$681,H478)))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2062" operator="containsText" id="{5D25A983-21C3-48B5-8485-BBA3CDE49916}">
            <xm:f>NOT(ISERROR(SEARCH($AN$680,H478)))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2063" operator="containsText" id="{13A87488-2FDF-4D03-A9F5-61BCF7256227}">
            <xm:f>NOT(ISERROR(SEARCH($AN$678,H478)))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2064" operator="containsText" id="{4C586EB4-3ED6-4FD3-91D4-2F4E7BB161B2}">
            <xm:f>NOT(ISERROR(SEARCH($AN$679,H478)))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H478:AR482</xm:sqref>
        </x14:conditionalFormatting>
        <x14:conditionalFormatting xmlns:xm="http://schemas.microsoft.com/office/excel/2006/main">
          <x14:cfRule type="containsText" priority="2622" operator="containsText" id="{7BB95229-473D-44B5-9E1A-2EC00574C2DB}">
            <xm:f>NOT(ISERROR(SEARCH($AN$687,I53)))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623" operator="containsText" id="{65196512-EDEC-49D0-AF22-A8EE2AFC1C97}">
            <xm:f>NOT(ISERROR(SEARCH($AN$688,I53)))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624" operator="containsText" id="{8AFA1530-D08F-46E1-89F7-0901F47AA89D}">
            <xm:f>NOT(ISERROR(SEARCH($AN$686,I53)))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25" operator="containsText" id="{F3FBA6D1-6B51-4583-81C9-8DCA0D4F9C17}">
            <xm:f>NOT(ISERROR(SEARCH($AN$685,I53)))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626" operator="containsText" id="{0284A2B1-70E7-4D15-9B5D-CACF4204172B}">
            <xm:f>NOT(ISERROR(SEARCH($AN$684,I53)))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27" operator="containsText" id="{B217290A-686F-451B-8FA6-D8597FAACA43}">
            <xm:f>NOT(ISERROR(SEARCH($AN$683,I53)))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628" operator="containsText" id="{A5BA8DB2-134D-4634-92A4-0F0A5D2BA691}">
            <xm:f>NOT(ISERROR(SEARCH($AN$682,I53)))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629" operator="containsText" id="{D6FEFA98-C879-454A-9FA4-FDC4B730ABC1}">
            <xm:f>NOT(ISERROR(SEARCH($AN$681,I53)))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30" operator="containsText" id="{47769055-DC3A-4C06-AB2C-A2CC16D9D3CF}">
            <xm:f>NOT(ISERROR(SEARCH($AN$680,I53)))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631" operator="containsText" id="{13DD43F2-CA68-4AC9-9B11-7D79D4AB208F}">
            <xm:f>NOT(ISERROR(SEARCH($AN$678,I53)))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632" operator="containsText" id="{E44DFBAE-7C30-49F0-AD9D-193539EBC02A}">
            <xm:f>NOT(ISERROR(SEARCH($AN$679,I53)))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I53</xm:sqref>
        </x14:conditionalFormatting>
        <x14:conditionalFormatting xmlns:xm="http://schemas.microsoft.com/office/excel/2006/main">
          <x14:cfRule type="containsText" priority="2562" operator="containsText" id="{60D7344B-7200-4EDA-A023-DCF1D013BF7F}">
            <xm:f>NOT(ISERROR(SEARCH($AN$687,I149)))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563" operator="containsText" id="{3DC70113-4FAD-4723-9D86-7BF4A308C729}">
            <xm:f>NOT(ISERROR(SEARCH($AN$688,I149)))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564" operator="containsText" id="{DD75DCD9-4D21-489C-8B91-11E55331AEF2}">
            <xm:f>NOT(ISERROR(SEARCH($AN$686,I149)))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65" operator="containsText" id="{B16FE9B3-47A3-4171-B3FD-0CD6B2D0FFC6}">
            <xm:f>NOT(ISERROR(SEARCH($AN$685,I149)))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566" operator="containsText" id="{6EB7FC85-9F75-4DDA-B5F4-1D248157E466}">
            <xm:f>NOT(ISERROR(SEARCH($AN$684,I149)))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67" operator="containsText" id="{E3DF18D5-C763-462B-9013-E63C5A398BC1}">
            <xm:f>NOT(ISERROR(SEARCH($AN$683,I149)))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568" operator="containsText" id="{EEA63C92-16D4-4B58-9EB1-543943ED769F}">
            <xm:f>NOT(ISERROR(SEARCH($AN$682,I149)))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569" operator="containsText" id="{C1114031-8A71-4B6C-B273-1DB4D16D7BAA}">
            <xm:f>NOT(ISERROR(SEARCH($AN$681,I149)))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570" operator="containsText" id="{1B785042-8D10-4585-A62C-B744EAABAE68}">
            <xm:f>NOT(ISERROR(SEARCH($AN$680,I149)))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571" operator="containsText" id="{6198FBEF-0932-47AE-B7A2-2A259A6316FF}">
            <xm:f>NOT(ISERROR(SEARCH($AN$678,I149)))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572" operator="containsText" id="{5C8A34AC-AC53-4F48-8BC8-407E63C2FA43}">
            <xm:f>NOT(ISERROR(SEARCH($AN$679,I149)))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I149</xm:sqref>
        </x14:conditionalFormatting>
        <x14:conditionalFormatting xmlns:xm="http://schemas.microsoft.com/office/excel/2006/main">
          <x14:cfRule type="containsText" priority="2862" operator="containsText" id="{65C87A63-7445-456B-BE1D-707AD975B66C}">
            <xm:f>NOT(ISERROR(SEARCH($AN$687,I437)))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863" operator="containsText" id="{9495321B-2F01-4692-8428-CF49D90B7AD7}">
            <xm:f>NOT(ISERROR(SEARCH($AN$688,I437)))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864" operator="containsText" id="{F1327070-6926-4129-A09A-D7C14BF30E32}">
            <xm:f>NOT(ISERROR(SEARCH($AN$686,I437)))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65" operator="containsText" id="{BE62E868-8777-4376-A2C9-A3BB1A7967E4}">
            <xm:f>NOT(ISERROR(SEARCH($AN$685,I437)))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866" operator="containsText" id="{2502FCEF-9056-4E71-96F9-36041E04D1AD}">
            <xm:f>NOT(ISERROR(SEARCH($AN$684,I437)))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67" operator="containsText" id="{F1308215-B8BB-4DBA-B066-B3B81AF14750}">
            <xm:f>NOT(ISERROR(SEARCH($AN$683,I437)))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868" operator="containsText" id="{1A896289-F09F-4D43-BAEF-C375BDF0B413}">
            <xm:f>NOT(ISERROR(SEARCH($AN$682,I437)))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869" operator="containsText" id="{2D52A80F-77DF-41B6-8CE6-E96E97AACC8A}">
            <xm:f>NOT(ISERROR(SEARCH($AN$681,I437)))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870" operator="containsText" id="{64145B0F-DFCB-41C0-8C76-4D1626261D28}">
            <xm:f>NOT(ISERROR(SEARCH($AN$680,I437)))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871" operator="containsText" id="{DEF3129B-A73D-4E67-BFE4-B225DC808E3A}">
            <xm:f>NOT(ISERROR(SEARCH($AN$678,I437)))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872" operator="containsText" id="{47C43109-B902-4E9B-A618-73ED9281CC1B}">
            <xm:f>NOT(ISERROR(SEARCH($AN$679,I437)))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I437</xm:sqref>
        </x14:conditionalFormatting>
        <x14:conditionalFormatting xmlns:xm="http://schemas.microsoft.com/office/excel/2006/main">
          <x14:cfRule type="containsText" priority="2802" operator="containsText" id="{EBC4B84C-C66B-43FA-A87E-D9EB6EFC2C95}">
            <xm:f>NOT(ISERROR(SEARCH($AN$687,I533)))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803" operator="containsText" id="{0CD1F2A7-78DE-4689-834D-C280773460A2}">
            <xm:f>NOT(ISERROR(SEARCH($AN$688,I533)))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804" operator="containsText" id="{F6FBA692-968F-4557-B152-9FA618789446}">
            <xm:f>NOT(ISERROR(SEARCH($AN$686,I533)))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05" operator="containsText" id="{6C03F3F4-9484-4342-B21E-F14C478B24A3}">
            <xm:f>NOT(ISERROR(SEARCH($AN$685,I533)))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806" operator="containsText" id="{EA80220A-1072-4D51-AFF0-1915F653DF9C}">
            <xm:f>NOT(ISERROR(SEARCH($AN$684,I533)))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07" operator="containsText" id="{7FC2860B-1C44-4526-BB04-B43BD9C132C7}">
            <xm:f>NOT(ISERROR(SEARCH($AN$683,I533)))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808" operator="containsText" id="{E41043E5-1A47-4F1F-A8EF-1838909F21C6}">
            <xm:f>NOT(ISERROR(SEARCH($AN$682,I533)))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809" operator="containsText" id="{D9010CCE-A478-4520-A75A-7CA7D84893EF}">
            <xm:f>NOT(ISERROR(SEARCH($AN$681,I533)))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810" operator="containsText" id="{7C679796-98B7-4820-8886-8F21B3013AA4}">
            <xm:f>NOT(ISERROR(SEARCH($AN$680,I533)))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811" operator="containsText" id="{3D1D2EDF-EF44-4EF0-919D-548FAC6C3240}">
            <xm:f>NOT(ISERROR(SEARCH($AN$678,I533)))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812" operator="containsText" id="{DBAE2927-AED6-4043-8A52-28292E927D69}">
            <xm:f>NOT(ISERROR(SEARCH($AN$679,I533)))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I533</xm:sqref>
        </x14:conditionalFormatting>
        <x14:conditionalFormatting xmlns:xm="http://schemas.microsoft.com/office/excel/2006/main">
          <x14:cfRule type="containsText" priority="2742" operator="containsText" id="{1FF7B998-DCCA-463E-B0EF-E9A5E54D6483}">
            <xm:f>NOT(ISERROR(SEARCH($AN$687,I629)))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743" operator="containsText" id="{C2755F15-B09D-4864-8629-11900107B36A}">
            <xm:f>NOT(ISERROR(SEARCH($AN$688,I629)))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744" operator="containsText" id="{F427ECE0-07C6-4937-88D6-A19DFB9428B6}">
            <xm:f>NOT(ISERROR(SEARCH($AN$686,I629)))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45" operator="containsText" id="{23C17ACB-C1D6-473E-A037-837CB4AA7174}">
            <xm:f>NOT(ISERROR(SEARCH($AN$685,I629)))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746" operator="containsText" id="{32AD2706-6843-45BE-9E2F-3A7C98041BA3}">
            <xm:f>NOT(ISERROR(SEARCH($AN$684,I629)))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47" operator="containsText" id="{C31A1892-4ED0-43BC-ADAD-620555EFCB00}">
            <xm:f>NOT(ISERROR(SEARCH($AN$683,I629)))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748" operator="containsText" id="{0C13531D-EDCE-4672-B244-B839B4D97FD0}">
            <xm:f>NOT(ISERROR(SEARCH($AN$682,I629)))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749" operator="containsText" id="{30A7BFC1-81FC-4454-8E65-79AF7D454733}">
            <xm:f>NOT(ISERROR(SEARCH($AN$681,I629)))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750" operator="containsText" id="{6C8CB189-2A2C-498D-B5B8-03E9D3864941}">
            <xm:f>NOT(ISERROR(SEARCH($AN$680,I629)))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751" operator="containsText" id="{44222171-9519-45AD-9B82-2136C321E669}">
            <xm:f>NOT(ISERROR(SEARCH($AN$678,I629)))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752" operator="containsText" id="{21AFF7A4-098C-4F1B-8024-BAB061EDDC75}">
            <xm:f>NOT(ISERROR(SEARCH($AN$679,I629)))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I629</xm:sqref>
        </x14:conditionalFormatting>
        <x14:conditionalFormatting xmlns:xm="http://schemas.microsoft.com/office/excel/2006/main">
          <x14:cfRule type="containsText" priority="2682" operator="containsText" id="{EA0EAF79-F5F0-4CEA-A84E-FDA14E89D522}">
            <xm:f>NOT(ISERROR(SEARCH($AN$687,I725)))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683" operator="containsText" id="{EDCB6D85-F5E2-4F6F-B9C6-E4E136BF3373}">
            <xm:f>NOT(ISERROR(SEARCH($AN$688,I725)))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684" operator="containsText" id="{E5C26628-19D6-42DE-92F5-B22A922DE2BE}">
            <xm:f>NOT(ISERROR(SEARCH($AN$686,I725)))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85" operator="containsText" id="{D6F99645-0E14-4534-B2A5-904C767E6359}">
            <xm:f>NOT(ISERROR(SEARCH($AN$685,I725)))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686" operator="containsText" id="{ABB83682-E5BD-47C8-BE97-014024B2B1F7}">
            <xm:f>NOT(ISERROR(SEARCH($AN$684,I725)))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87" operator="containsText" id="{8361EBD6-9051-4046-8C7C-2C7409818577}">
            <xm:f>NOT(ISERROR(SEARCH($AN$683,I725)))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688" operator="containsText" id="{AD49CB14-A302-43C6-A317-4E68F45AF9F1}">
            <xm:f>NOT(ISERROR(SEARCH($AN$682,I725)))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689" operator="containsText" id="{AF6E2F78-B64D-4C46-AD96-1FFC2870F781}">
            <xm:f>NOT(ISERROR(SEARCH($AN$681,I725)))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90" operator="containsText" id="{56E0822E-FC51-4270-8913-F6A765EC367A}">
            <xm:f>NOT(ISERROR(SEARCH($AN$680,I725)))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691" operator="containsText" id="{83F6612D-AF89-4B0E-8F2E-B8E6E788877E}">
            <xm:f>NOT(ISERROR(SEARCH($AN$678,I725)))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692" operator="containsText" id="{66D4149B-F235-410D-BB90-D9484363C721}">
            <xm:f>NOT(ISERROR(SEARCH($AN$679,I725)))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I725</xm:sqref>
        </x14:conditionalFormatting>
        <x14:conditionalFormatting xmlns:xm="http://schemas.microsoft.com/office/excel/2006/main">
          <x14:cfRule type="containsText" priority="5349" operator="containsText" id="{3B3B35E6-833A-4FDA-B053-4C2C9DFE19CA}">
            <xm:f>NOT(ISERROR(SEARCH($AN$687,I44)))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350" operator="containsText" id="{26339262-0BFB-41A1-B089-A28D97FDFABB}">
            <xm:f>NOT(ISERROR(SEARCH($AN$688,I44)))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351" operator="containsText" id="{311843EF-19C3-4697-8331-87ECFF5931CA}">
            <xm:f>NOT(ISERROR(SEARCH($AN$686,I44)))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352" operator="containsText" id="{6CCE6D1C-D700-4E4A-99D6-475D431C86A5}">
            <xm:f>NOT(ISERROR(SEARCH($AN$685,I44)))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353" operator="containsText" id="{FCB75B5D-5731-4C25-8888-C033A0BC67FB}">
            <xm:f>NOT(ISERROR(SEARCH($AN$684,I44)))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354" operator="containsText" id="{077666A0-4617-462E-A0FF-ABB5E71A0945}">
            <xm:f>NOT(ISERROR(SEARCH($AN$683,I44)))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355" operator="containsText" id="{1CA8740F-2A9F-4786-A1D9-F227B449C4A5}">
            <xm:f>NOT(ISERROR(SEARCH($AN$682,I44)))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356" operator="containsText" id="{608F3C8B-CFAE-46D8-BC82-F555DC5F28AA}">
            <xm:f>NOT(ISERROR(SEARCH($AN$681,I44)))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357" operator="containsText" id="{DD7C469D-288C-4AA8-B124-11D2C25349C0}">
            <xm:f>NOT(ISERROR(SEARCH($AN$680,I44)))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358" operator="containsText" id="{66D1A0D6-44FE-4BFD-BCFC-CED21CE60238}">
            <xm:f>NOT(ISERROR(SEARCH($AN$678,I44)))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359" operator="containsText" id="{B3AE181A-A237-44DD-B088-78BC99B386D1}">
            <xm:f>NOT(ISERROR(SEARCH($AN$679,I44)))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I44:M46</xm:sqref>
        </x14:conditionalFormatting>
        <x14:conditionalFormatting xmlns:xm="http://schemas.microsoft.com/office/excel/2006/main">
          <x14:cfRule type="containsText" priority="5338" operator="containsText" id="{5CFBEA47-DBEA-4A05-8469-FFF2EF35AED0}">
            <xm:f>NOT(ISERROR(SEARCH($AN$687,I47)))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339" operator="containsText" id="{2C818683-3736-4101-A0F6-21C10D4A82D0}">
            <xm:f>NOT(ISERROR(SEARCH($AN$688,I47)))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340" operator="containsText" id="{3639E82A-93CB-460B-9C53-EA85311BEA56}">
            <xm:f>NOT(ISERROR(SEARCH($AN$686,I47)))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341" operator="containsText" id="{954913C1-59DB-4599-87BD-65022657B153}">
            <xm:f>NOT(ISERROR(SEARCH($AN$685,I47)))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342" operator="containsText" id="{4DECF561-53D5-49B8-8557-00C54B81A40B}">
            <xm:f>NOT(ISERROR(SEARCH($AN$684,I47)))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343" operator="containsText" id="{A54D7EED-D55C-4AB7-A3DC-54697713F485}">
            <xm:f>NOT(ISERROR(SEARCH($AN$683,I47)))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344" operator="containsText" id="{EDD222B0-BA2A-48D4-9CAE-A7F97246D435}">
            <xm:f>NOT(ISERROR(SEARCH($AN$682,I47)))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345" operator="containsText" id="{BC485E2A-6437-48EE-94B8-14C89415910F}">
            <xm:f>NOT(ISERROR(SEARCH($AN$681,I47)))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346" operator="containsText" id="{38AC70F2-06E8-420D-ADAE-FCBA04D1E155}">
            <xm:f>NOT(ISERROR(SEARCH($AN$680,I47)))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347" operator="containsText" id="{F629959A-5343-4892-A778-A6B628B1CFF1}">
            <xm:f>NOT(ISERROR(SEARCH($AN$678,I47)))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348" operator="containsText" id="{171EE065-3F4F-4EA5-92F6-21BD9F1377C5}">
            <xm:f>NOT(ISERROR(SEARCH($AN$679,I47)))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I47:M48</xm:sqref>
        </x14:conditionalFormatting>
        <x14:conditionalFormatting xmlns:xm="http://schemas.microsoft.com/office/excel/2006/main">
          <x14:cfRule type="containsText" priority="2606" operator="containsText" id="{E8FAAE7E-EB3C-4545-9E37-CDAE50E20069}">
            <xm:f>NOT(ISERROR(SEARCH($AN$704,I53)))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607" operator="containsText" id="{48B162FD-764F-477E-A17B-5768F9A12699}">
            <xm:f>NOT(ISERROR(SEARCH($AN$693,I53)))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608" operator="containsText" id="{A0AC244D-07BC-4B7C-B50D-908059CB1581}">
            <xm:f>NOT(ISERROR(SEARCH($AN$692,I53)))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609" operator="containsText" id="{FDC0E39D-FF39-453E-8B76-E57FF2770FBD}">
            <xm:f>NOT(ISERROR(SEARCH($AN$691,I53)))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610" operator="containsText" id="{41DDB102-C43F-4E63-A940-89AF2B2F711D}">
            <xm:f>NOT(ISERROR(SEARCH($AN$689,I53)))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I53:M53</xm:sqref>
        </x14:conditionalFormatting>
        <x14:conditionalFormatting xmlns:xm="http://schemas.microsoft.com/office/excel/2006/main">
          <x14:cfRule type="containsText" priority="3093" operator="containsText" id="{8ABC794A-09B4-4DC6-B532-250518B3044D}">
            <xm:f>NOT(ISERROR(SEARCH($AN$704,I54)))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094" operator="containsText" id="{CBD6175C-1E39-4142-8930-87B591F7C1F5}">
            <xm:f>NOT(ISERROR(SEARCH($AN$693,I54)))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095" operator="containsText" id="{91FF2B2C-7A49-41B2-A7EE-D5D560F217A4}">
            <xm:f>NOT(ISERROR(SEARCH($AN$692,I54)))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096" operator="containsText" id="{37694D84-516D-4A13-9DD0-9097AE144721}">
            <xm:f>NOT(ISERROR(SEARCH($AN$691,I54)))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097" operator="containsText" id="{8CCE2ED1-D9AC-4E92-8325-C94A8901DBE5}">
            <xm:f>NOT(ISERROR(SEARCH($AN$689,I54)))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098" operator="containsText" id="{E4CF6E93-9754-41C3-A103-B88E7500DD67}">
            <xm:f>NOT(ISERROR(SEARCH($AN$687,I54)))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099" operator="containsText" id="{5C14DB24-25A4-4799-B914-187553642CF0}">
            <xm:f>NOT(ISERROR(SEARCH($AN$688,I54)))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100" operator="containsText" id="{91F306C7-D14B-48B6-8022-DA12E7E6D014}">
            <xm:f>NOT(ISERROR(SEARCH($AN$686,I54)))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101" operator="containsText" id="{50331B5F-E715-402E-9CCF-6C50A6FD9424}">
            <xm:f>NOT(ISERROR(SEARCH($AN$685,I54)))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102" operator="containsText" id="{07DCC8EA-61D6-49CF-92FC-A15C9F2DAC3F}">
            <xm:f>NOT(ISERROR(SEARCH($AN$684,I54)))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103" operator="containsText" id="{632E6854-5318-4316-86F2-901A1B4BEA10}">
            <xm:f>NOT(ISERROR(SEARCH($AN$683,I54)))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104" operator="containsText" id="{A62997EA-5768-4F42-B805-3C3B205ABBE4}">
            <xm:f>NOT(ISERROR(SEARCH($AN$682,I54)))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105" operator="containsText" id="{A718FD47-F419-488C-BA83-40DD66131808}">
            <xm:f>NOT(ISERROR(SEARCH($AN$681,I54)))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106" operator="containsText" id="{793E614D-51AD-493F-83C2-BA9EEAEFA1C1}">
            <xm:f>NOT(ISERROR(SEARCH($AN$680,I54)))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107" operator="containsText" id="{0402D797-3261-4707-967D-624FC1DA8C34}">
            <xm:f>NOT(ISERROR(SEARCH($AN$678,I54)))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108" operator="containsText" id="{E28E25F8-7DBC-4187-9F54-43C4E71BF8EF}">
            <xm:f>NOT(ISERROR(SEARCH($AN$679,I54)))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I54:M57</xm:sqref>
        </x14:conditionalFormatting>
        <x14:conditionalFormatting xmlns:xm="http://schemas.microsoft.com/office/excel/2006/main">
          <x14:cfRule type="containsText" priority="5222" operator="containsText" id="{28754081-21C0-4B51-8DAE-499465BB0A45}">
            <xm:f>NOT(ISERROR(SEARCH($AN$692,I59)))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223" operator="containsText" id="{05A09601-6FCF-48BD-846B-87B7C3C4C698}">
            <xm:f>NOT(ISERROR(SEARCH($AN$691,I59)))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224" operator="containsText" id="{7B374578-6BB4-47B1-BB72-20BF752A7443}">
            <xm:f>NOT(ISERROR(SEARCH($AN$689,I59)))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225" operator="containsText" id="{D79E8841-CB28-4F0A-A5DA-4FB1C1351B50}">
            <xm:f>NOT(ISERROR(SEARCH($AN$687,I59)))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226" operator="containsText" id="{37568854-993E-440E-8A28-54074E2D2172}">
            <xm:f>NOT(ISERROR(SEARCH($AN$688,I59)))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227" operator="containsText" id="{B3C50519-AF4D-45CA-9409-A45B84046C9F}">
            <xm:f>NOT(ISERROR(SEARCH($AN$686,I59)))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228" operator="containsText" id="{96C17F30-1B56-496D-958C-C3D843EB14B5}">
            <xm:f>NOT(ISERROR(SEARCH($AN$685,I59)))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229" operator="containsText" id="{4DC4A78A-CBB2-4207-8466-D84DE6015FFE}">
            <xm:f>NOT(ISERROR(SEARCH($AN$684,I59)))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230" operator="containsText" id="{613D75E1-B19E-4034-BA92-57DA9B5CDD9A}">
            <xm:f>NOT(ISERROR(SEARCH($AN$683,I59)))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231" operator="containsText" id="{FA967467-35E5-4808-9A8E-FC8E13AD1E2D}">
            <xm:f>NOT(ISERROR(SEARCH($AN$682,I59)))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232" operator="containsText" id="{590C7C0C-E302-45B7-B214-F905F4470CBC}">
            <xm:f>NOT(ISERROR(SEARCH($AN$681,I59)))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233" operator="containsText" id="{0CDDBCC8-4347-4B64-80D1-CF943678F7CE}">
            <xm:f>NOT(ISERROR(SEARCH($AN$680,I59)))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234" operator="containsText" id="{0284694C-EA6D-47CB-B5DB-D9ECBA913F4D}">
            <xm:f>NOT(ISERROR(SEARCH($AN$678,I59)))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235" operator="containsText" id="{953C7A55-BB4F-488E-8116-18B282D2E97B}">
            <xm:f>NOT(ISERROR(SEARCH($AN$679,I59)))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I59:M59</xm:sqref>
        </x14:conditionalFormatting>
        <x14:conditionalFormatting xmlns:xm="http://schemas.microsoft.com/office/excel/2006/main">
          <x14:cfRule type="containsText" priority="22574" operator="containsText" id="{77615B95-F1BA-4E82-93AA-12531598DF27}">
            <xm:f>NOT(ISERROR(SEARCH($AN$690,I65)))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575" operator="containsText" id="{A370426D-64AC-492B-A61B-79F858CD1B9F}">
            <xm:f>NOT(ISERROR(SEARCH($AN$704,I65)))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576" operator="containsText" id="{F24C5052-7118-43D6-A690-0628729E1905}">
            <xm:f>NOT(ISERROR(SEARCH($AN$693,I65)))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577" operator="containsText" id="{D1B634B6-1DCA-4AA7-B970-ED3B7A4E5869}">
            <xm:f>NOT(ISERROR(SEARCH($AN$692,I65)))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578" operator="containsText" id="{3058F079-A73F-4BD7-8963-E3FC45429EAB}">
            <xm:f>NOT(ISERROR(SEARCH($AN$691,I65)))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579" operator="containsText" id="{80BA9E83-1C71-4C85-B7D5-28C96B6B095E}">
            <xm:f>NOT(ISERROR(SEARCH($AN$689,I65)))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580" operator="containsText" id="{60CB0E17-0D7A-488E-8D25-D03423593E90}">
            <xm:f>NOT(ISERROR(SEARCH($AN$687,I65)))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581" operator="containsText" id="{A245EDEB-E0B4-43F5-B440-4DFEEF663585}">
            <xm:f>NOT(ISERROR(SEARCH($AN$688,I65)))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582" operator="containsText" id="{53F3DAD0-BA54-4742-9874-ED0EF8C28B82}">
            <xm:f>NOT(ISERROR(SEARCH($AN$686,I65)))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583" operator="containsText" id="{D35550AD-AB22-4E53-93EF-D00E63AFD35B}">
            <xm:f>NOT(ISERROR(SEARCH($AN$685,I65)))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584" operator="containsText" id="{AC3682BC-2A5C-4AB2-BCB4-235F4CAC148B}">
            <xm:f>NOT(ISERROR(SEARCH($AN$684,I65)))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585" operator="containsText" id="{A27193B1-9165-43B1-A75E-A3363EA5D876}">
            <xm:f>NOT(ISERROR(SEARCH($AN$683,I65)))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586" operator="containsText" id="{18014998-0C9F-4997-B7A5-BBFFC68F1976}">
            <xm:f>NOT(ISERROR(SEARCH($AN$682,I65)))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587" operator="containsText" id="{AD7471D1-9089-4BCC-8AE9-F82F40FBA253}">
            <xm:f>NOT(ISERROR(SEARCH($AN$681,I65)))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588" operator="containsText" id="{C26A6109-43A0-4B89-909F-E283C25F9B0E}">
            <xm:f>NOT(ISERROR(SEARCH($AN$680,I65)))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589" operator="containsText" id="{CB360294-AE5C-42D4-BCC8-A2A137C98724}">
            <xm:f>NOT(ISERROR(SEARCH($AN$678,I65)))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590" operator="containsText" id="{EEABA84A-1656-425E-8DB6-B0B7609B1D36}">
            <xm:f>NOT(ISERROR(SEARCH($AN$679,I65)))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I65:M66</xm:sqref>
        </x14:conditionalFormatting>
        <x14:conditionalFormatting xmlns:xm="http://schemas.microsoft.com/office/excel/2006/main">
          <x14:cfRule type="containsText" priority="5438" operator="containsText" id="{38B968A7-9218-4B08-BEF8-4C70AC1BFF2E}">
            <xm:f>NOT(ISERROR(SEARCH($AN$687,I140)))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439" operator="containsText" id="{50F29E56-AB5D-4B68-A3DC-16BCC9428327}">
            <xm:f>NOT(ISERROR(SEARCH($AN$688,I140)))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440" operator="containsText" id="{0EBEEFA9-4956-42A0-B7F6-FD09E0CC72D6}">
            <xm:f>NOT(ISERROR(SEARCH($AN$686,I140)))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441" operator="containsText" id="{F5A65C17-74D5-4FD4-BF31-6E80895E35B7}">
            <xm:f>NOT(ISERROR(SEARCH($AN$685,I140)))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442" operator="containsText" id="{2413EB56-DA7F-4BCA-8F1C-8E44076E2D85}">
            <xm:f>NOT(ISERROR(SEARCH($AN$684,I140)))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443" operator="containsText" id="{AFA6BBE2-5F44-460F-A06B-732C63028B21}">
            <xm:f>NOT(ISERROR(SEARCH($AN$683,I140)))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444" operator="containsText" id="{B0D325B4-60C3-45AE-8A15-D702C27CEEA5}">
            <xm:f>NOT(ISERROR(SEARCH($AN$682,I140)))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445" operator="containsText" id="{B14C65F3-2E0B-4305-A46E-99C63F5A77BD}">
            <xm:f>NOT(ISERROR(SEARCH($AN$681,I140)))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446" operator="containsText" id="{7A98F299-BACB-4CFF-B955-F9B69460D579}">
            <xm:f>NOT(ISERROR(SEARCH($AN$680,I140)))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447" operator="containsText" id="{122E4743-1FBA-4E97-908C-BED583E48D71}">
            <xm:f>NOT(ISERROR(SEARCH($AN$678,I140)))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448" operator="containsText" id="{B266A1CB-CDC9-4CBD-BFBA-0D906C5D2AF4}">
            <xm:f>NOT(ISERROR(SEARCH($AN$679,I140)))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I140:M142</xm:sqref>
        </x14:conditionalFormatting>
        <x14:conditionalFormatting xmlns:xm="http://schemas.microsoft.com/office/excel/2006/main">
          <x14:cfRule type="containsText" priority="5427" operator="containsText" id="{AFECBA14-2F0F-4219-BB0F-0A9D3C66C8D7}">
            <xm:f>NOT(ISERROR(SEARCH($AN$687,I143)))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428" operator="containsText" id="{17B68730-5DF1-409F-8FAB-AE3056CEA733}">
            <xm:f>NOT(ISERROR(SEARCH($AN$688,I143)))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429" operator="containsText" id="{F1BFE5BD-66F7-44D8-8FE3-125F93C6766A}">
            <xm:f>NOT(ISERROR(SEARCH($AN$686,I143)))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430" operator="containsText" id="{1A4844B5-596E-4A6E-AED5-68E5B940D7BB}">
            <xm:f>NOT(ISERROR(SEARCH($AN$685,I143)))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431" operator="containsText" id="{87B8443C-7B6F-4FBB-8DC3-E9EBBF4736CF}">
            <xm:f>NOT(ISERROR(SEARCH($AN$684,I143)))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432" operator="containsText" id="{423F8D19-62DE-4BAA-A9C3-DD1419F68F97}">
            <xm:f>NOT(ISERROR(SEARCH($AN$683,I143)))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433" operator="containsText" id="{BC654507-9151-4F2F-8B37-BA417C8CBC4F}">
            <xm:f>NOT(ISERROR(SEARCH($AN$682,I143)))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434" operator="containsText" id="{6E08B2C9-B292-4A8C-BC2E-84AE52143DFD}">
            <xm:f>NOT(ISERROR(SEARCH($AN$681,I143)))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435" operator="containsText" id="{4F8576CC-1B1A-40AA-987C-70300F3E96F3}">
            <xm:f>NOT(ISERROR(SEARCH($AN$680,I143)))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436" operator="containsText" id="{9228E791-0926-4B88-938D-D71DEE6C9C17}">
            <xm:f>NOT(ISERROR(SEARCH($AN$678,I143)))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437" operator="containsText" id="{381460C9-9B87-4C67-B123-DA78416854CA}">
            <xm:f>NOT(ISERROR(SEARCH($AN$679,I143)))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I143:M144</xm:sqref>
        </x14:conditionalFormatting>
        <x14:conditionalFormatting xmlns:xm="http://schemas.microsoft.com/office/excel/2006/main">
          <x14:cfRule type="containsText" priority="2546" operator="containsText" id="{D13CE1D7-0DB2-4571-BE5B-207EE1BB88F2}">
            <xm:f>NOT(ISERROR(SEARCH($AN$704,I149)))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547" operator="containsText" id="{6FE114E6-9649-4061-9971-6D59D59BC7F9}">
            <xm:f>NOT(ISERROR(SEARCH($AN$693,I149)))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548" operator="containsText" id="{5C4DE1CE-1A21-4896-84B6-91A8277ACAB8}">
            <xm:f>NOT(ISERROR(SEARCH($AN$692,I149)))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549" operator="containsText" id="{BAFD34CF-25D5-45D5-B202-82FEFFB98543}">
            <xm:f>NOT(ISERROR(SEARCH($AN$691,I149)))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550" operator="containsText" id="{7CD4E539-A4EF-4643-8D1C-18C286D06551}">
            <xm:f>NOT(ISERROR(SEARCH($AN$689,I149)))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I149:M149</xm:sqref>
        </x14:conditionalFormatting>
        <x14:conditionalFormatting xmlns:xm="http://schemas.microsoft.com/office/excel/2006/main">
          <x14:cfRule type="containsText" priority="3059" operator="containsText" id="{EC43C8FB-A29C-48A2-80F3-94C1FBC8E056}">
            <xm:f>NOT(ISERROR(SEARCH($AN$704,I150)))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060" operator="containsText" id="{D151AE92-1A30-4409-B198-108CCC0F0BE9}">
            <xm:f>NOT(ISERROR(SEARCH($AN$693,I150)))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061" operator="containsText" id="{1313B00F-F598-4D55-830A-34A678E358F7}">
            <xm:f>NOT(ISERROR(SEARCH($AN$692,I150)))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062" operator="containsText" id="{EB09BE11-58C8-44D5-8BFD-C66C9FE1B08E}">
            <xm:f>NOT(ISERROR(SEARCH($AN$691,I150)))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063" operator="containsText" id="{339B6F65-37D5-4DF0-8164-418A05E6CAD4}">
            <xm:f>NOT(ISERROR(SEARCH($AN$689,I150)))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064" operator="containsText" id="{39C10F38-25A6-4234-BBC0-B59885B8957B}">
            <xm:f>NOT(ISERROR(SEARCH($AN$687,I150)))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065" operator="containsText" id="{DC541DE3-2E71-4D77-8783-62986F767F19}">
            <xm:f>NOT(ISERROR(SEARCH($AN$688,I150)))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066" operator="containsText" id="{96C0FE67-634F-40ED-88E5-85ACAEEFBB9E}">
            <xm:f>NOT(ISERROR(SEARCH($AN$686,I150)))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067" operator="containsText" id="{34ED93BD-E513-4BB3-81E9-AD0D6C580FFA}">
            <xm:f>NOT(ISERROR(SEARCH($AN$685,I150)))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068" operator="containsText" id="{613372A8-4B38-4A39-AC4D-62922A403031}">
            <xm:f>NOT(ISERROR(SEARCH($AN$684,I150)))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069" operator="containsText" id="{0093345B-A4F4-4E9F-B47A-D4AEF02EAB23}">
            <xm:f>NOT(ISERROR(SEARCH($AN$683,I150)))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070" operator="containsText" id="{AA1B1816-068D-43A1-BAC7-02C392FA7E78}">
            <xm:f>NOT(ISERROR(SEARCH($AN$682,I150)))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071" operator="containsText" id="{684E493A-117F-4CD6-AE4F-23D2B24B6B53}">
            <xm:f>NOT(ISERROR(SEARCH($AN$681,I150)))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072" operator="containsText" id="{4FE49732-6077-4FE4-9199-AE8190EEA628}">
            <xm:f>NOT(ISERROR(SEARCH($AN$680,I150)))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073" operator="containsText" id="{6C526F77-D9C9-4373-9AE8-0E14B66A145B}">
            <xm:f>NOT(ISERROR(SEARCH($AN$678,I150)))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074" operator="containsText" id="{FD70B93F-A351-4935-A5EB-694364972C5B}">
            <xm:f>NOT(ISERROR(SEARCH($AN$679,I150)))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I150:M153</xm:sqref>
        </x14:conditionalFormatting>
        <x14:conditionalFormatting xmlns:xm="http://schemas.microsoft.com/office/excel/2006/main">
          <x14:cfRule type="containsText" priority="22164" operator="containsText" id="{8EB226DB-58A9-4EAB-B55A-917DA15407BD}">
            <xm:f>NOT(ISERROR(SEARCH($AN$690,I161)))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165" operator="containsText" id="{17F86739-5FC1-492C-BED1-59FAF1CE941A}">
            <xm:f>NOT(ISERROR(SEARCH($AN$704,I161)))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166" operator="containsText" id="{45CB0A2D-B631-4489-8F09-8003EDE08BDB}">
            <xm:f>NOT(ISERROR(SEARCH($AN$693,I161)))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167" operator="containsText" id="{D6A00EEC-D142-4D7A-9BF2-D20DFAC81304}">
            <xm:f>NOT(ISERROR(SEARCH($AN$692,I161)))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168" operator="containsText" id="{42AD6DE1-E3FA-45B1-9959-3830A8A49BEF}">
            <xm:f>NOT(ISERROR(SEARCH($AN$691,I161)))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169" operator="containsText" id="{9AAB1B1A-4607-48C4-8537-A2E41E5D0341}">
            <xm:f>NOT(ISERROR(SEARCH($AN$689,I161)))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170" operator="containsText" id="{4C843367-9199-47AA-A22B-D93F9461A54E}">
            <xm:f>NOT(ISERROR(SEARCH($AN$687,I161)))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171" operator="containsText" id="{5F2C1A20-F1AB-49C3-BC37-6EDE021EC190}">
            <xm:f>NOT(ISERROR(SEARCH($AN$688,I161)))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172" operator="containsText" id="{6C217F07-8015-416C-8B5E-8CF625C595BF}">
            <xm:f>NOT(ISERROR(SEARCH($AN$686,I161)))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173" operator="containsText" id="{5F6610F4-8EFE-41EA-BA40-40B351AF98BF}">
            <xm:f>NOT(ISERROR(SEARCH($AN$685,I161)))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174" operator="containsText" id="{6CBC28F9-C0F1-4D93-9BFB-76CEE42796F2}">
            <xm:f>NOT(ISERROR(SEARCH($AN$684,I161)))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175" operator="containsText" id="{0E8D9700-B879-41A4-8059-E1B9692636B5}">
            <xm:f>NOT(ISERROR(SEARCH($AN$683,I161)))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176" operator="containsText" id="{D24EF003-FFC7-45E1-99CA-4D674E198844}">
            <xm:f>NOT(ISERROR(SEARCH($AN$682,I161)))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177" operator="containsText" id="{7407599F-0B57-4DE2-A95A-8EFBBB327433}">
            <xm:f>NOT(ISERROR(SEARCH($AN$681,I161)))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178" operator="containsText" id="{2A4A9FDC-99BB-40C6-9FB1-D688499BE7D1}">
            <xm:f>NOT(ISERROR(SEARCH($AN$680,I161)))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179" operator="containsText" id="{52D58EC2-066D-44F2-957A-E67D14D890C3}">
            <xm:f>NOT(ISERROR(SEARCH($AN$678,I161)))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180" operator="containsText" id="{97DAE4D3-9FCD-42F3-88BC-EF8A93900455}">
            <xm:f>NOT(ISERROR(SEARCH($AN$679,I161)))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I161:M162</xm:sqref>
        </x14:conditionalFormatting>
        <x14:conditionalFormatting xmlns:xm="http://schemas.microsoft.com/office/excel/2006/main">
          <x14:cfRule type="containsText" priority="5527" operator="containsText" id="{43841F6C-0A1C-44A9-A3E4-CB264C33E6F8}">
            <xm:f>NOT(ISERROR(SEARCH($AN$687,I236)))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528" operator="containsText" id="{A8D4BD2F-BE80-4E1E-9BB2-FB1A12DC1EC3}">
            <xm:f>NOT(ISERROR(SEARCH($AN$688,I236)))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529" operator="containsText" id="{48696E39-37EC-48BF-934C-CA2B4B2A7C06}">
            <xm:f>NOT(ISERROR(SEARCH($AN$686,I236)))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30" operator="containsText" id="{9AC61BC0-3FBA-43E4-8E74-49685A886B1A}">
            <xm:f>NOT(ISERROR(SEARCH($AN$685,I236)))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531" operator="containsText" id="{E655A7A3-6144-4872-865D-EF4529FFFBE9}">
            <xm:f>NOT(ISERROR(SEARCH($AN$684,I236)))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32" operator="containsText" id="{FD23902D-AA2C-4F74-9A80-8E3FF1EE9DBA}">
            <xm:f>NOT(ISERROR(SEARCH($AN$683,I236)))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533" operator="containsText" id="{D8C411EC-21A6-4964-811B-B1935D726D86}">
            <xm:f>NOT(ISERROR(SEARCH($AN$682,I236)))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534" operator="containsText" id="{92F4A3EF-AD7D-4092-854D-E2CB7CD157C8}">
            <xm:f>NOT(ISERROR(SEARCH($AN$681,I236)))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535" operator="containsText" id="{80273B1C-1191-4869-8699-FBE3787EE3CC}">
            <xm:f>NOT(ISERROR(SEARCH($AN$680,I236)))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536" operator="containsText" id="{8AA17C85-00B8-4259-B818-C2A87FDBF6AF}">
            <xm:f>NOT(ISERROR(SEARCH($AN$678,I236)))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537" operator="containsText" id="{F63857CC-53BB-4895-82E6-5F7DEA407A9C}">
            <xm:f>NOT(ISERROR(SEARCH($AN$679,I236)))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I236:M238</xm:sqref>
        </x14:conditionalFormatting>
        <x14:conditionalFormatting xmlns:xm="http://schemas.microsoft.com/office/excel/2006/main">
          <x14:cfRule type="containsText" priority="5516" operator="containsText" id="{62B51810-A88D-4865-B7C9-DD64AC271705}">
            <xm:f>NOT(ISERROR(SEARCH($AN$687,I239)))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517" operator="containsText" id="{F7EDF065-157C-4323-9A61-DE50917559C1}">
            <xm:f>NOT(ISERROR(SEARCH($AN$688,I239)))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518" operator="containsText" id="{AF353708-CF9E-44E4-B3CA-5D97736510E8}">
            <xm:f>NOT(ISERROR(SEARCH($AN$686,I239)))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19" operator="containsText" id="{63AF36FD-94D8-4B8E-8E19-0CEEA8B36D7A}">
            <xm:f>NOT(ISERROR(SEARCH($AN$685,I239)))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520" operator="containsText" id="{71F8F040-6C03-413B-9A1C-219C496B2052}">
            <xm:f>NOT(ISERROR(SEARCH($AN$684,I239)))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21" operator="containsText" id="{9427F18F-979E-417B-B2D9-F7157144EA54}">
            <xm:f>NOT(ISERROR(SEARCH($AN$683,I239)))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522" operator="containsText" id="{EC85F72A-5A0D-4EA7-8C82-BF320924E4A5}">
            <xm:f>NOT(ISERROR(SEARCH($AN$682,I239)))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523" operator="containsText" id="{D92F2D0E-A8BD-4F8C-AD64-1359FDDDE6EE}">
            <xm:f>NOT(ISERROR(SEARCH($AN$681,I239)))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524" operator="containsText" id="{F7C4033F-D05F-4790-BFB2-C1D25D801B24}">
            <xm:f>NOT(ISERROR(SEARCH($AN$680,I239)))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525" operator="containsText" id="{C7864168-D7CC-4B10-9033-085A3B03EE5B}">
            <xm:f>NOT(ISERROR(SEARCH($AN$678,I239)))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526" operator="containsText" id="{228CF2E6-21CE-4ED1-83B6-E997C7F71BE7}">
            <xm:f>NOT(ISERROR(SEARCH($AN$679,I239)))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I239:M240</xm:sqref>
        </x14:conditionalFormatting>
        <x14:conditionalFormatting xmlns:xm="http://schemas.microsoft.com/office/excel/2006/main">
          <x14:cfRule type="containsText" priority="3025" operator="containsText" id="{B285A10D-9547-4981-9E69-F94CC15727D1}">
            <xm:f>NOT(ISERROR(SEARCH($AN$704,I245)))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026" operator="containsText" id="{12887212-D791-429F-B673-78E940FACD72}">
            <xm:f>NOT(ISERROR(SEARCH($AN$693,I245)))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027" operator="containsText" id="{E68F4CA6-BAED-4529-A5CE-8EC47D86E3A0}">
            <xm:f>NOT(ISERROR(SEARCH($AN$692,I245)))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028" operator="containsText" id="{C744ECFF-77BE-4F19-93D0-CB024D2203C4}">
            <xm:f>NOT(ISERROR(SEARCH($AN$691,I245)))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029" operator="containsText" id="{5813CA9F-822A-4DEA-A16F-4769FBB90CD9}">
            <xm:f>NOT(ISERROR(SEARCH($AN$689,I245)))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030" operator="containsText" id="{DB1C7BCA-F6A9-416D-8631-585F65023204}">
            <xm:f>NOT(ISERROR(SEARCH($AN$687,I245)))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031" operator="containsText" id="{72C54188-47E0-48C5-B659-104BEC3D0E09}">
            <xm:f>NOT(ISERROR(SEARCH($AN$688,I245)))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032" operator="containsText" id="{47B80002-424C-4A6B-B341-7079F20EA60F}">
            <xm:f>NOT(ISERROR(SEARCH($AN$686,I245)))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033" operator="containsText" id="{8F4A38A2-38BE-4FD4-BC53-E28955A6ED67}">
            <xm:f>NOT(ISERROR(SEARCH($AN$685,I245)))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034" operator="containsText" id="{0A79CE7E-56E6-4B29-A78B-C34F026D342B}">
            <xm:f>NOT(ISERROR(SEARCH($AN$684,I245)))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035" operator="containsText" id="{6DE15C65-5766-4CE2-82E0-BF0F22AAB3E1}">
            <xm:f>NOT(ISERROR(SEARCH($AN$683,I245)))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036" operator="containsText" id="{3281F3C8-9CC0-4C15-97F7-9F252ED7B2BE}">
            <xm:f>NOT(ISERROR(SEARCH($AN$682,I245)))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037" operator="containsText" id="{3C590893-9601-4265-ADD1-4F6D3DC63AAC}">
            <xm:f>NOT(ISERROR(SEARCH($AN$681,I245)))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038" operator="containsText" id="{1C29FC57-07EF-4BC5-BB12-670475DFD8D7}">
            <xm:f>NOT(ISERROR(SEARCH($AN$680,I245)))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039" operator="containsText" id="{9833B54B-80DC-42AC-8D4D-21FE5E0FB220}">
            <xm:f>NOT(ISERROR(SEARCH($AN$678,I245)))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040" operator="containsText" id="{B479CA28-12F3-4D65-AEE8-885B2F054A82}">
            <xm:f>NOT(ISERROR(SEARCH($AN$679,I245)))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I245:M249</xm:sqref>
        </x14:conditionalFormatting>
        <x14:conditionalFormatting xmlns:xm="http://schemas.microsoft.com/office/excel/2006/main">
          <x14:cfRule type="containsText" priority="21754" operator="containsText" id="{5A56C1F3-F802-412A-B594-16936057C1DD}">
            <xm:f>NOT(ISERROR(SEARCH($AN$690,I257)))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1755" operator="containsText" id="{05E5D227-1964-49B7-8ADE-F943127B7C05}">
            <xm:f>NOT(ISERROR(SEARCH($AN$704,I257)))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1756" operator="containsText" id="{4D9B22BE-465C-4153-9EEB-AC429864BDDE}">
            <xm:f>NOT(ISERROR(SEARCH($AN$693,I257)))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1757" operator="containsText" id="{1E8820BB-1A63-4002-8241-F8DA9624C130}">
            <xm:f>NOT(ISERROR(SEARCH($AN$692,I257)))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758" operator="containsText" id="{42AEB49D-7154-4D2B-B557-C66576D2B307}">
            <xm:f>NOT(ISERROR(SEARCH($AN$691,I257)))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1759" operator="containsText" id="{D512641A-25E0-4202-B3D7-2F7BEB04D669}">
            <xm:f>NOT(ISERROR(SEARCH($AN$689,I257)))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1760" operator="containsText" id="{B77C794D-5DE7-43D8-8912-39FEB837B752}">
            <xm:f>NOT(ISERROR(SEARCH($AN$687,I257)))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761" operator="containsText" id="{C4D8522B-2F4B-4E91-87DE-8DC3DC3A3ECA}">
            <xm:f>NOT(ISERROR(SEARCH($AN$688,I257)))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762" operator="containsText" id="{DA91F230-E9B2-4D98-8C1B-4D0B7A848C91}">
            <xm:f>NOT(ISERROR(SEARCH($AN$686,I257)))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763" operator="containsText" id="{10A33991-8AC4-4B4F-BC94-6288AA1ED6F5}">
            <xm:f>NOT(ISERROR(SEARCH($AN$685,I257)))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764" operator="containsText" id="{B8632722-99B6-47AF-8F41-B47F6B30D411}">
            <xm:f>NOT(ISERROR(SEARCH($AN$684,I257)))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765" operator="containsText" id="{26C189A4-AE16-4F23-A130-B2BB9565B11D}">
            <xm:f>NOT(ISERROR(SEARCH($AN$683,I257)))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766" operator="containsText" id="{AAD1C2EA-3C52-43DB-9322-44E72FE8203E}">
            <xm:f>NOT(ISERROR(SEARCH($AN$682,I257)))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1767" operator="containsText" id="{BDB7FBC1-EFCC-4CA5-9C0F-2837A0508715}">
            <xm:f>NOT(ISERROR(SEARCH($AN$681,I257)))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768" operator="containsText" id="{83D36B72-1D0A-48C9-89CB-A9D7CD324D2A}">
            <xm:f>NOT(ISERROR(SEARCH($AN$680,I257)))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769" operator="containsText" id="{C18902F1-5494-4011-A485-9C219E55D981}">
            <xm:f>NOT(ISERROR(SEARCH($AN$678,I257)))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770" operator="containsText" id="{F116BA94-057A-4018-8295-BC42913CAB89}">
            <xm:f>NOT(ISERROR(SEARCH($AN$679,I257)))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I257:M258</xm:sqref>
        </x14:conditionalFormatting>
        <x14:conditionalFormatting xmlns:xm="http://schemas.microsoft.com/office/excel/2006/main">
          <x14:cfRule type="containsText" priority="9510" operator="containsText" id="{AA4953BD-EDD3-4769-998F-51DF76DDBFCA}">
            <xm:f>NOT(ISERROR(SEARCH($AN$688,I332)))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511" operator="containsText" id="{EC47C734-3EF6-4EA6-AFBF-6C68FBB01C10}">
            <xm:f>NOT(ISERROR(SEARCH($AN$686,I332)))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512" operator="containsText" id="{3D4B9B03-669B-4561-8302-667410995743}">
            <xm:f>NOT(ISERROR(SEARCH($AN$685,I332)))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513" operator="containsText" id="{85223285-11BB-45E2-A5A2-93A30F508219}">
            <xm:f>NOT(ISERROR(SEARCH($AN$684,I332)))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514" operator="containsText" id="{8D5DC68C-4146-4314-84F9-81CCFE23A60C}">
            <xm:f>NOT(ISERROR(SEARCH($AN$683,I332)))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515" operator="containsText" id="{A3302711-F221-4450-848B-7D9E8A7176A0}">
            <xm:f>NOT(ISERROR(SEARCH($AN$682,I332)))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516" operator="containsText" id="{FC5E5183-BB5D-43B3-88AB-71E8F69541DD}">
            <xm:f>NOT(ISERROR(SEARCH($AN$681,I332)))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517" operator="containsText" id="{8FEED2AC-47CE-4AF5-858A-EE26E97C0FAA}">
            <xm:f>NOT(ISERROR(SEARCH($AN$680,I332)))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518" operator="containsText" id="{9F7A837E-E3D3-43E2-949B-1C1CF6AC53D9}">
            <xm:f>NOT(ISERROR(SEARCH($AN$678,I332)))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519" operator="containsText" id="{EB58A4D0-3B30-4CA5-86E6-C913AA722CAF}">
            <xm:f>NOT(ISERROR(SEARCH($AN$679,I332)))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I332:M334</xm:sqref>
        </x14:conditionalFormatting>
        <x14:conditionalFormatting xmlns:xm="http://schemas.microsoft.com/office/excel/2006/main">
          <x14:cfRule type="containsText" priority="9493" operator="containsText" id="{A7A092E9-52C6-407E-9949-1DD1D75CA52E}">
            <xm:f>NOT(ISERROR(SEARCH($AN$688,I335)))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494" operator="containsText" id="{9782FE3E-54EF-43CE-A119-E2F40D6AB715}">
            <xm:f>NOT(ISERROR(SEARCH($AN$686,I335)))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495" operator="containsText" id="{129E1B2F-8A2E-4FB2-A747-BBA670E3BA11}">
            <xm:f>NOT(ISERROR(SEARCH($AN$685,I335)))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496" operator="containsText" id="{22550AAF-FA33-4F33-B047-A60B0A10B3CF}">
            <xm:f>NOT(ISERROR(SEARCH($AN$684,I335)))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497" operator="containsText" id="{E1F5291D-82E0-4C4D-8D1B-941762FA7DC7}">
            <xm:f>NOT(ISERROR(SEARCH($AN$683,I335)))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498" operator="containsText" id="{0DBE34A3-9576-4026-A303-B60F9B11C24A}">
            <xm:f>NOT(ISERROR(SEARCH($AN$682,I335)))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499" operator="containsText" id="{7057A4AA-AC68-4E58-94AD-18ECF47374DA}">
            <xm:f>NOT(ISERROR(SEARCH($AN$681,I335)))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500" operator="containsText" id="{4E6E2881-1A44-45A0-A6B1-399032C78FBF}">
            <xm:f>NOT(ISERROR(SEARCH($AN$680,I335)))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501" operator="containsText" id="{7AA9E9A0-74FE-4810-87C5-36B76E58CEBD}">
            <xm:f>NOT(ISERROR(SEARCH($AN$678,I335)))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502" operator="containsText" id="{93A728D5-DF37-433D-B21A-AD510F7116E3}">
            <xm:f>NOT(ISERROR(SEARCH($AN$679,I335)))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I335:M336</xm:sqref>
        </x14:conditionalFormatting>
        <x14:conditionalFormatting xmlns:xm="http://schemas.microsoft.com/office/excel/2006/main">
          <x14:cfRule type="containsText" priority="2991" operator="containsText" id="{90103CB2-2383-4BCD-ACCC-B704DF9F0413}">
            <xm:f>NOT(ISERROR(SEARCH($AN$704,I341)))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992" operator="containsText" id="{FF849AC7-FB10-454B-AC02-F1B7598F98AE}">
            <xm:f>NOT(ISERROR(SEARCH($AN$693,I341)))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993" operator="containsText" id="{B6FD6E01-C622-4121-99F0-AB5667228588}">
            <xm:f>NOT(ISERROR(SEARCH($AN$692,I341)))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994" operator="containsText" id="{E0BBB3F7-671C-4A21-8138-B4CD18C6CFF7}">
            <xm:f>NOT(ISERROR(SEARCH($AN$691,I341)))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995" operator="containsText" id="{EC716EC3-7F38-4A94-880D-FE2CF0936495}">
            <xm:f>NOT(ISERROR(SEARCH($AN$689,I341)))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996" operator="containsText" id="{D19DB44C-49C8-4B50-828F-F8C402B381B9}">
            <xm:f>NOT(ISERROR(SEARCH($AN$687,I341)))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997" operator="containsText" id="{4C7003C1-1032-44D0-A038-4844F1E79154}">
            <xm:f>NOT(ISERROR(SEARCH($AN$688,I341)))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998" operator="containsText" id="{C3BA43C6-BD8F-43A4-9268-362FD112F993}">
            <xm:f>NOT(ISERROR(SEARCH($AN$686,I341)))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999" operator="containsText" id="{F67DDB76-ACE4-4B63-955B-35C00F6EDFF9}">
            <xm:f>NOT(ISERROR(SEARCH($AN$685,I341)))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000" operator="containsText" id="{20CB7615-7AE0-43E5-8EEE-8F227A77F6A9}">
            <xm:f>NOT(ISERROR(SEARCH($AN$684,I341)))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001" operator="containsText" id="{9012835F-029E-485A-BE2A-EAE6DD778303}">
            <xm:f>NOT(ISERROR(SEARCH($AN$683,I341)))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002" operator="containsText" id="{0C43EDAC-9B8D-4AF2-8218-AB6EA6E0BD26}">
            <xm:f>NOT(ISERROR(SEARCH($AN$682,I341)))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003" operator="containsText" id="{09A12D5A-E2B2-4E48-B2A8-4C6B04274E9B}">
            <xm:f>NOT(ISERROR(SEARCH($AN$681,I341)))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004" operator="containsText" id="{1FF737BF-5652-4BB9-A503-AD7D51ECC2E1}">
            <xm:f>NOT(ISERROR(SEARCH($AN$680,I341)))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005" operator="containsText" id="{CA68C5BF-2377-409A-A62B-6B176DAACD95}">
            <xm:f>NOT(ISERROR(SEARCH($AN$678,I341)))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006" operator="containsText" id="{BB14143D-7970-48DF-98BB-EF45F4555A93}">
            <xm:f>NOT(ISERROR(SEARCH($AN$679,I341)))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I341:M345</xm:sqref>
        </x14:conditionalFormatting>
        <x14:conditionalFormatting xmlns:xm="http://schemas.microsoft.com/office/excel/2006/main">
          <x14:cfRule type="containsText" priority="26053" operator="containsText" id="{E5DB1C3A-5B9F-447B-958F-451B5A48F5CD}">
            <xm:f>NOT(ISERROR(SEARCH($AN$690,I353)))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6054" operator="containsText" id="{7E0E4E56-5F9B-4C2E-B453-2DA06539C423}">
            <xm:f>NOT(ISERROR(SEARCH($AN$704,I353)))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6055" operator="containsText" id="{EA20B7ED-BDA8-4FCD-990C-90BEBA585E7F}">
            <xm:f>NOT(ISERROR(SEARCH($AN$693,I353)))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6056" operator="containsText" id="{AF9875FC-86C3-4786-9479-2052D35BE757}">
            <xm:f>NOT(ISERROR(SEARCH($AN$692,I353)))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6057" operator="containsText" id="{03A6FBAC-2569-42DA-A8BA-C9A2415C5165}">
            <xm:f>NOT(ISERROR(SEARCH($AN$691,I353)))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6058" operator="containsText" id="{A4F1A7D0-8986-462B-8B9B-E027F470E152}">
            <xm:f>NOT(ISERROR(SEARCH($AN$689,I353)))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6059" operator="containsText" id="{0B49EFE8-8A60-4D3D-A8D7-7ACA18A27DFE}">
            <xm:f>NOT(ISERROR(SEARCH($AN$687,I353)))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6060" operator="containsText" id="{6106D11D-CC27-44F4-B567-CFD408780829}">
            <xm:f>NOT(ISERROR(SEARCH($AN$688,I353)))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6061" operator="containsText" id="{981D5CFD-A730-4055-95EE-B39B0F65CE2F}">
            <xm:f>NOT(ISERROR(SEARCH($AN$686,I353)))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062" operator="containsText" id="{2B5A3805-071A-4BD7-A85C-1F8E08CA6215}">
            <xm:f>NOT(ISERROR(SEARCH($AN$685,I353)))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6063" operator="containsText" id="{FADE9581-BEC7-46BD-95AF-F2AEC8DAF541}">
            <xm:f>NOT(ISERROR(SEARCH($AN$684,I353)))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064" operator="containsText" id="{EB3CA19B-8FEC-4947-8373-301E44F24759}">
            <xm:f>NOT(ISERROR(SEARCH($AN$683,I353)))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6065" operator="containsText" id="{55FFD129-8FF0-48D1-BA2E-6C00EA817F37}">
            <xm:f>NOT(ISERROR(SEARCH($AN$682,I353)))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6066" operator="containsText" id="{DE6DF5BA-302D-4346-9DCD-7BBD3AF181A1}">
            <xm:f>NOT(ISERROR(SEARCH($AN$681,I353)))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067" operator="containsText" id="{68DA6291-1FDA-48EE-A27C-2F6B5B3ECF37}">
            <xm:f>NOT(ISERROR(SEARCH($AN$680,I353)))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6068" operator="containsText" id="{3C4A6ACD-72B5-4613-ABA5-B9C6A58EAB41}">
            <xm:f>NOT(ISERROR(SEARCH($AN$678,I353)))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6069" operator="containsText" id="{B36DAD10-9374-43FA-A7F5-D5EE8736AB94}">
            <xm:f>NOT(ISERROR(SEARCH($AN$679,I353)))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I353:M354</xm:sqref>
        </x14:conditionalFormatting>
        <x14:conditionalFormatting xmlns:xm="http://schemas.microsoft.com/office/excel/2006/main">
          <x14:cfRule type="containsText" priority="9357" operator="containsText" id="{D0CA5EC4-174C-4C3E-9EC5-D2FA3830DA05}">
            <xm:f>NOT(ISERROR(SEARCH($AN$688,I428)))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358" operator="containsText" id="{D7446599-E582-4F11-A772-696C818848EA}">
            <xm:f>NOT(ISERROR(SEARCH($AN$686,I428)))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359" operator="containsText" id="{884A7C47-D376-4544-96A9-8B31A823B11B}">
            <xm:f>NOT(ISERROR(SEARCH($AN$685,I428)))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360" operator="containsText" id="{73AA45C3-1AA6-4202-9A85-9E88FA5C4C8A}">
            <xm:f>NOT(ISERROR(SEARCH($AN$684,I428)))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361" operator="containsText" id="{19D73107-4EA5-4F6A-A1FD-27B8EFD7290B}">
            <xm:f>NOT(ISERROR(SEARCH($AN$683,I428)))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362" operator="containsText" id="{6581545B-1A1C-42F1-B3D4-EA5B1AB5A54D}">
            <xm:f>NOT(ISERROR(SEARCH($AN$682,I428)))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363" operator="containsText" id="{F572D40E-CCB9-4427-9D85-6B6679F15DAC}">
            <xm:f>NOT(ISERROR(SEARCH($AN$681,I428)))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364" operator="containsText" id="{537C9081-BD15-4E26-ADE8-5DF17214BDB4}">
            <xm:f>NOT(ISERROR(SEARCH($AN$680,I428)))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365" operator="containsText" id="{134AFC6F-EE93-4AAC-A869-49C685D388E8}">
            <xm:f>NOT(ISERROR(SEARCH($AN$678,I428)))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366" operator="containsText" id="{C417AF96-366A-49BD-A08A-37845554FF7C}">
            <xm:f>NOT(ISERROR(SEARCH($AN$679,I428)))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I428:M430</xm:sqref>
        </x14:conditionalFormatting>
        <x14:conditionalFormatting xmlns:xm="http://schemas.microsoft.com/office/excel/2006/main">
          <x14:cfRule type="containsText" priority="9340" operator="containsText" id="{CB733022-A865-456A-8605-F1F8CB09082C}">
            <xm:f>NOT(ISERROR(SEARCH($AN$688,I431)))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341" operator="containsText" id="{F55FFAA6-E1DA-4D18-A60D-B1E9C9CD57FD}">
            <xm:f>NOT(ISERROR(SEARCH($AN$686,I431)))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342" operator="containsText" id="{3F134CE8-DD2F-479B-80B3-E8CA17024F89}">
            <xm:f>NOT(ISERROR(SEARCH($AN$685,I431)))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343" operator="containsText" id="{CE4CF93A-1C2A-4DB7-BB3C-EAAD5110F65E}">
            <xm:f>NOT(ISERROR(SEARCH($AN$684,I431)))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344" operator="containsText" id="{6DD7A25F-58A9-4108-AD90-4F17ADC08274}">
            <xm:f>NOT(ISERROR(SEARCH($AN$683,I431)))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345" operator="containsText" id="{BA4DD0B0-DE7D-4367-AE48-F03853BC82B7}">
            <xm:f>NOT(ISERROR(SEARCH($AN$682,I431)))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346" operator="containsText" id="{4F30703C-83F1-4763-816D-B71148E1EAF9}">
            <xm:f>NOT(ISERROR(SEARCH($AN$681,I431)))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347" operator="containsText" id="{981D656D-A8AA-4770-976C-A1D12BCDB5B4}">
            <xm:f>NOT(ISERROR(SEARCH($AN$680,I431)))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348" operator="containsText" id="{E0200064-69E8-4D79-85E1-836C7B0CAECD}">
            <xm:f>NOT(ISERROR(SEARCH($AN$678,I431)))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349" operator="containsText" id="{C6BAF350-304E-4EC4-86CC-2BC308034525}">
            <xm:f>NOT(ISERROR(SEARCH($AN$679,I431)))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I431:M432</xm:sqref>
        </x14:conditionalFormatting>
        <x14:conditionalFormatting xmlns:xm="http://schemas.microsoft.com/office/excel/2006/main">
          <x14:cfRule type="containsText" priority="2846" operator="containsText" id="{170BC011-3E34-43AF-A825-E7659CB6A231}">
            <xm:f>NOT(ISERROR(SEARCH($AN$704,I437)))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847" operator="containsText" id="{323D77C8-0C38-4A35-AF7C-0C6CDAF40EAD}">
            <xm:f>NOT(ISERROR(SEARCH($AN$693,I437)))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848" operator="containsText" id="{71CC2BCE-4954-4882-9716-75AA3BC21BF4}">
            <xm:f>NOT(ISERROR(SEARCH($AN$692,I437)))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849" operator="containsText" id="{1B8FDDF9-93F0-4A90-B07E-701C86CD0855}">
            <xm:f>NOT(ISERROR(SEARCH($AN$691,I437)))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850" operator="containsText" id="{B89BA514-E86E-44C1-A605-99AB9D15A5C9}">
            <xm:f>NOT(ISERROR(SEARCH($AN$689,I437)))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I437:M437</xm:sqref>
        </x14:conditionalFormatting>
        <x14:conditionalFormatting xmlns:xm="http://schemas.microsoft.com/office/excel/2006/main">
          <x14:cfRule type="containsText" priority="2957" operator="containsText" id="{48DCBB01-FF09-4AB1-9259-4020F4E3123E}">
            <xm:f>NOT(ISERROR(SEARCH($AN$704,I438)))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958" operator="containsText" id="{A7B8998B-97AA-4302-8DF8-73FE8C057235}">
            <xm:f>NOT(ISERROR(SEARCH($AN$693,I438)))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959" operator="containsText" id="{113FEE46-93A0-4EA6-9E90-7FA01F9700CC}">
            <xm:f>NOT(ISERROR(SEARCH($AN$692,I438)))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960" operator="containsText" id="{3A372751-B5D3-4C38-AEDF-200AD518E9D8}">
            <xm:f>NOT(ISERROR(SEARCH($AN$691,I438)))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961" operator="containsText" id="{771B6EA3-3E32-4491-8EF8-738CA60C003D}">
            <xm:f>NOT(ISERROR(SEARCH($AN$689,I438)))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962" operator="containsText" id="{CB1409A2-4807-4F47-AF4E-D2D26F74EE45}">
            <xm:f>NOT(ISERROR(SEARCH($AN$687,I438)))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963" operator="containsText" id="{904271EE-3A45-4004-8381-2185FAB98AB8}">
            <xm:f>NOT(ISERROR(SEARCH($AN$688,I438)))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964" operator="containsText" id="{257CB535-BC35-48FF-860F-10FA34D0671E}">
            <xm:f>NOT(ISERROR(SEARCH($AN$686,I438)))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965" operator="containsText" id="{952B7D06-FCE9-4BD3-A1F0-09CBEEBD4CCB}">
            <xm:f>NOT(ISERROR(SEARCH($AN$685,I438)))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966" operator="containsText" id="{610026B0-EFC8-4AF7-9DC2-840359BA8415}">
            <xm:f>NOT(ISERROR(SEARCH($AN$684,I438)))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967" operator="containsText" id="{84D13E6F-9087-4605-9151-8893749030C1}">
            <xm:f>NOT(ISERROR(SEARCH($AN$683,I438)))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968" operator="containsText" id="{7133E96C-62B3-4D5F-9705-73BF6D16EC20}">
            <xm:f>NOT(ISERROR(SEARCH($AN$682,I438)))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969" operator="containsText" id="{D06DC959-AFA9-44BF-9930-A80E6C91189D}">
            <xm:f>NOT(ISERROR(SEARCH($AN$681,I438)))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970" operator="containsText" id="{30F61B1F-AF31-40E5-919A-E79262C035DB}">
            <xm:f>NOT(ISERROR(SEARCH($AN$680,I438)))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971" operator="containsText" id="{678E8F0B-C66C-45F1-A5AD-ABC65FD74207}">
            <xm:f>NOT(ISERROR(SEARCH($AN$678,I438)))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972" operator="containsText" id="{E4D96D24-E6A8-468C-B3E8-3DB23B0F73D5}">
            <xm:f>NOT(ISERROR(SEARCH($AN$679,I438)))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I438:M441</xm:sqref>
        </x14:conditionalFormatting>
        <x14:conditionalFormatting xmlns:xm="http://schemas.microsoft.com/office/excel/2006/main">
          <x14:cfRule type="containsText" priority="9384" operator="containsText" id="{5239E8C5-26F5-4286-852C-E5343D3560BB}">
            <xm:f>NOT(ISERROR(SEARCH($AN$690,I449)))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9385" operator="containsText" id="{C77E5899-745F-4951-B3D8-D333668484BC}">
            <xm:f>NOT(ISERROR(SEARCH($AN$704,I449)))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386" operator="containsText" id="{7226E4A8-960D-4C89-B0F5-1B114828CBA7}">
            <xm:f>NOT(ISERROR(SEARCH($AN$693,I449)))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9387" operator="containsText" id="{E1493586-FB8A-4742-AB7C-8C2D4F104CD4}">
            <xm:f>NOT(ISERROR(SEARCH($AN$692,I449)))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388" operator="containsText" id="{18BC6D98-5A22-49F5-A046-0B857C95B6B8}">
            <xm:f>NOT(ISERROR(SEARCH($AN$691,I449)))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9389" operator="containsText" id="{E1A63C4D-5FCF-4E5F-957F-6D275DBE48C0}">
            <xm:f>NOT(ISERROR(SEARCH($AN$689,I449)))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9390" operator="containsText" id="{721AB24F-FD33-4CA8-BDFB-90D834B01F65}">
            <xm:f>NOT(ISERROR(SEARCH($AN$687,I449)))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9391" operator="containsText" id="{50492B28-B06E-4560-9F26-17798E85B301}">
            <xm:f>NOT(ISERROR(SEARCH($AN$688,I449)))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392" operator="containsText" id="{F94690C0-0AAC-4F93-9EF9-4A4A6FB5A0CC}">
            <xm:f>NOT(ISERROR(SEARCH($AN$686,I449)))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393" operator="containsText" id="{2A607659-51E2-496F-87AF-077E4278DD6D}">
            <xm:f>NOT(ISERROR(SEARCH($AN$685,I449)))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394" operator="containsText" id="{28D814C2-965A-4073-B1F9-AF5B1F12698F}">
            <xm:f>NOT(ISERROR(SEARCH($AN$684,I449)))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395" operator="containsText" id="{D20DD9EC-A7FD-4367-ABE0-B755933F711E}">
            <xm:f>NOT(ISERROR(SEARCH($AN$683,I449)))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396" operator="containsText" id="{F1819741-8269-4585-B479-F1EB9CCBD6E6}">
            <xm:f>NOT(ISERROR(SEARCH($AN$682,I449)))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397" operator="containsText" id="{A88209FF-55D6-4314-93C0-4861069C52D9}">
            <xm:f>NOT(ISERROR(SEARCH($AN$681,I449)))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398" operator="containsText" id="{F555593B-5FAF-4A12-88C6-AC05C3E1B5D8}">
            <xm:f>NOT(ISERROR(SEARCH($AN$680,I449)))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399" operator="containsText" id="{D840FCB3-BB76-41C8-8A5D-EC5081242EA0}">
            <xm:f>NOT(ISERROR(SEARCH($AN$678,I449)))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400" operator="containsText" id="{7A19E439-387D-41D7-AB8F-4A87127A1898}">
            <xm:f>NOT(ISERROR(SEARCH($AN$679,I449)))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I449:M450</xm:sqref>
        </x14:conditionalFormatting>
        <x14:conditionalFormatting xmlns:xm="http://schemas.microsoft.com/office/excel/2006/main">
          <x14:cfRule type="containsText" priority="9204" operator="containsText" id="{267B7352-9B2E-44C5-8D40-AE08397CD1DF}">
            <xm:f>NOT(ISERROR(SEARCH($AN$688,I524)))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205" operator="containsText" id="{3027E530-1B2C-4B7B-821D-C9465DCD33A5}">
            <xm:f>NOT(ISERROR(SEARCH($AN$686,I524)))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206" operator="containsText" id="{F83621DE-2783-4B1C-9031-29E84B9C4FEB}">
            <xm:f>NOT(ISERROR(SEARCH($AN$685,I524)))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207" operator="containsText" id="{33E9A037-128A-4B50-BBEF-4B1F7AA48E13}">
            <xm:f>NOT(ISERROR(SEARCH($AN$684,I524)))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208" operator="containsText" id="{A45003BB-030D-4E68-8BCA-6E4E453C93CE}">
            <xm:f>NOT(ISERROR(SEARCH($AN$683,I524)))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209" operator="containsText" id="{6B717B33-731A-48F3-8494-AD7251F944C7}">
            <xm:f>NOT(ISERROR(SEARCH($AN$682,I524)))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210" operator="containsText" id="{B9387EAA-E114-48FA-ADCE-F5D8DC60DE2C}">
            <xm:f>NOT(ISERROR(SEARCH($AN$681,I524)))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211" operator="containsText" id="{996FDDE0-139D-48C7-9368-44D87C67ECE4}">
            <xm:f>NOT(ISERROR(SEARCH($AN$680,I524)))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212" operator="containsText" id="{735C244D-98B7-4A1D-B0DB-A21EC3B27A7D}">
            <xm:f>NOT(ISERROR(SEARCH($AN$678,I524)))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213" operator="containsText" id="{4142406A-8B49-46C0-AD72-7D3DAFF13195}">
            <xm:f>NOT(ISERROR(SEARCH($AN$679,I524)))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I524:M526</xm:sqref>
        </x14:conditionalFormatting>
        <x14:conditionalFormatting xmlns:xm="http://schemas.microsoft.com/office/excel/2006/main">
          <x14:cfRule type="containsText" priority="9187" operator="containsText" id="{91FF20BF-37A2-47D9-946A-15EA3026805F}">
            <xm:f>NOT(ISERROR(SEARCH($AN$688,I527)))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188" operator="containsText" id="{47282050-B32D-4508-BD4D-C832468F5DB7}">
            <xm:f>NOT(ISERROR(SEARCH($AN$686,I527)))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189" operator="containsText" id="{BFC10938-C101-4574-A03A-E285B03EBA70}">
            <xm:f>NOT(ISERROR(SEARCH($AN$685,I527)))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190" operator="containsText" id="{43883596-0CB1-412D-AA27-E24942012B8D}">
            <xm:f>NOT(ISERROR(SEARCH($AN$684,I527)))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191" operator="containsText" id="{6B73BB78-857A-44AF-BABB-F0B9C641774B}">
            <xm:f>NOT(ISERROR(SEARCH($AN$683,I527)))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192" operator="containsText" id="{8F28DABE-0BC9-435E-AAC3-95B7DFB731B9}">
            <xm:f>NOT(ISERROR(SEARCH($AN$682,I527)))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193" operator="containsText" id="{8CE6723F-6045-48B4-8A7A-FF8BD63D26D7}">
            <xm:f>NOT(ISERROR(SEARCH($AN$681,I527)))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194" operator="containsText" id="{50BF4274-BAB9-412B-B23B-8AF201B9D641}">
            <xm:f>NOT(ISERROR(SEARCH($AN$680,I527)))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195" operator="containsText" id="{6F159A70-4DA7-4872-9B0E-18758E1A5102}">
            <xm:f>NOT(ISERROR(SEARCH($AN$678,I527)))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196" operator="containsText" id="{64BB0044-01BF-4BAB-BC37-00027E3318DB}">
            <xm:f>NOT(ISERROR(SEARCH($AN$679,I527)))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I527:M528</xm:sqref>
        </x14:conditionalFormatting>
        <x14:conditionalFormatting xmlns:xm="http://schemas.microsoft.com/office/excel/2006/main">
          <x14:cfRule type="containsText" priority="2786" operator="containsText" id="{4D8C60C0-51ED-4434-A3FA-3077593A7324}">
            <xm:f>NOT(ISERROR(SEARCH($AN$704,I533)))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787" operator="containsText" id="{60ACB101-40A2-4D0B-95DA-D5D23AEB16DA}">
            <xm:f>NOT(ISERROR(SEARCH($AN$693,I533)))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788" operator="containsText" id="{FF397CCC-31E7-4053-B90A-BB22748F7BE6}">
            <xm:f>NOT(ISERROR(SEARCH($AN$692,I533)))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789" operator="containsText" id="{93BE8DED-0807-4E20-A6D9-BFEF35C29B65}">
            <xm:f>NOT(ISERROR(SEARCH($AN$691,I533)))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790" operator="containsText" id="{6EB8240A-0C94-4299-8839-62A58DC3ABB9}">
            <xm:f>NOT(ISERROR(SEARCH($AN$689,I533)))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I533:M533</xm:sqref>
        </x14:conditionalFormatting>
        <x14:conditionalFormatting xmlns:xm="http://schemas.microsoft.com/office/excel/2006/main">
          <x14:cfRule type="containsText" priority="2923" operator="containsText" id="{26D9B70B-5594-416B-9ED6-C2719B750A73}">
            <xm:f>NOT(ISERROR(SEARCH($AN$704,I534)))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924" operator="containsText" id="{AC797CB2-01F0-4749-B9F2-5044F6407D04}">
            <xm:f>NOT(ISERROR(SEARCH($AN$693,I534)))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925" operator="containsText" id="{CB102986-8380-4919-8425-CE7B96CEBD85}">
            <xm:f>NOT(ISERROR(SEARCH($AN$692,I534)))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926" operator="containsText" id="{BDF64A67-4076-404C-B949-35E135F64E41}">
            <xm:f>NOT(ISERROR(SEARCH($AN$691,I534)))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927" operator="containsText" id="{DB1A9F14-73EC-4C2E-B1E6-8733A306DAA9}">
            <xm:f>NOT(ISERROR(SEARCH($AN$689,I534)))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928" operator="containsText" id="{C04383A3-5BCD-415F-A339-C1C807285DAA}">
            <xm:f>NOT(ISERROR(SEARCH($AN$687,I534)))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929" operator="containsText" id="{D64A2F5C-7DF9-4283-96FE-16133ED9B7D3}">
            <xm:f>NOT(ISERROR(SEARCH($AN$688,I534)))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930" operator="containsText" id="{5F3632E8-11E8-4BE0-94C0-88DE3A2687E3}">
            <xm:f>NOT(ISERROR(SEARCH($AN$686,I534)))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931" operator="containsText" id="{161064E6-63AA-4335-A6B4-CD2A388E4C35}">
            <xm:f>NOT(ISERROR(SEARCH($AN$685,I534)))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932" operator="containsText" id="{DF5E7BAC-9E4D-4F82-B7D1-A1AE21F58BF9}">
            <xm:f>NOT(ISERROR(SEARCH($AN$684,I534)))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933" operator="containsText" id="{361CBFA7-17C8-49AC-B849-F4844495797A}">
            <xm:f>NOT(ISERROR(SEARCH($AN$683,I534)))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934" operator="containsText" id="{6FC166AD-9DFC-49BD-82F0-68A275EF4535}">
            <xm:f>NOT(ISERROR(SEARCH($AN$682,I534)))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935" operator="containsText" id="{98436711-78E1-4319-8D87-45B886F52AB2}">
            <xm:f>NOT(ISERROR(SEARCH($AN$681,I534)))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936" operator="containsText" id="{E5DD34F5-E6F6-49DA-A61E-35C82CF952BD}">
            <xm:f>NOT(ISERROR(SEARCH($AN$680,I534)))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937" operator="containsText" id="{1A923D0A-0D19-435F-90DD-62085009C275}">
            <xm:f>NOT(ISERROR(SEARCH($AN$678,I534)))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938" operator="containsText" id="{9C16DE89-712B-4AF8-9CE3-ACB2BD3DE985}">
            <xm:f>NOT(ISERROR(SEARCH($AN$679,I534)))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I534:M537</xm:sqref>
        </x14:conditionalFormatting>
        <x14:conditionalFormatting xmlns:xm="http://schemas.microsoft.com/office/excel/2006/main">
          <x14:cfRule type="containsText" priority="9231" operator="containsText" id="{A069E9E1-61C7-4CB1-8176-0A8F23BB8EE0}">
            <xm:f>NOT(ISERROR(SEARCH($AN$690,I545)))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9232" operator="containsText" id="{13C6B18A-BD5C-4F01-A573-9FDFC83FE987}">
            <xm:f>NOT(ISERROR(SEARCH($AN$704,I545)))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233" operator="containsText" id="{997C496F-ACD3-4171-8926-715A2DC0941E}">
            <xm:f>NOT(ISERROR(SEARCH($AN$693,I545)))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9234" operator="containsText" id="{91699B46-38A7-44D6-8A31-7144780AAF1F}">
            <xm:f>NOT(ISERROR(SEARCH($AN$692,I545)))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235" operator="containsText" id="{63E3BDB1-4DA0-4BE3-8EF2-3F069F801A02}">
            <xm:f>NOT(ISERROR(SEARCH($AN$691,I545)))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9236" operator="containsText" id="{2FCD1327-F5B6-4D34-9B3F-79E933110947}">
            <xm:f>NOT(ISERROR(SEARCH($AN$689,I545)))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9237" operator="containsText" id="{FCDA0733-D7C5-4CEE-A5E5-E862298A5D4F}">
            <xm:f>NOT(ISERROR(SEARCH($AN$687,I545)))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9238" operator="containsText" id="{92E8AE64-5771-4EB7-A323-C73DDCD7B930}">
            <xm:f>NOT(ISERROR(SEARCH($AN$688,I545)))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239" operator="containsText" id="{45814782-C817-4971-9FF2-571240CA2C9A}">
            <xm:f>NOT(ISERROR(SEARCH($AN$686,I545)))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240" operator="containsText" id="{3D0CFEEA-57A7-40AF-894D-BE0076BB27D5}">
            <xm:f>NOT(ISERROR(SEARCH($AN$685,I545)))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241" operator="containsText" id="{05CCA380-6DC3-4307-8C14-879F1B091532}">
            <xm:f>NOT(ISERROR(SEARCH($AN$684,I545)))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242" operator="containsText" id="{D74A074C-FEF3-47D5-809C-CEAF77EB3DB6}">
            <xm:f>NOT(ISERROR(SEARCH($AN$683,I545)))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243" operator="containsText" id="{6360B71A-D270-4287-A5DD-A62DA8C1CF40}">
            <xm:f>NOT(ISERROR(SEARCH($AN$682,I545)))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244" operator="containsText" id="{799D09C6-0F01-4C73-B24B-15C770322212}">
            <xm:f>NOT(ISERROR(SEARCH($AN$681,I545)))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245" operator="containsText" id="{970B643B-7D17-4615-84AA-692E77957FC0}">
            <xm:f>NOT(ISERROR(SEARCH($AN$680,I545)))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246" operator="containsText" id="{1F1B59DC-A37E-498B-B62D-5EC11E420858}">
            <xm:f>NOT(ISERROR(SEARCH($AN$678,I545)))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247" operator="containsText" id="{F6608E72-5461-4037-8B28-BC91CC89B29E}">
            <xm:f>NOT(ISERROR(SEARCH($AN$679,I545)))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I545:M546</xm:sqref>
        </x14:conditionalFormatting>
        <x14:conditionalFormatting xmlns:xm="http://schemas.microsoft.com/office/excel/2006/main">
          <x14:cfRule type="containsText" priority="9051" operator="containsText" id="{6CE5D07E-38FB-475B-B0BC-F4DE94E134E3}">
            <xm:f>NOT(ISERROR(SEARCH($AN$688,I620)))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052" operator="containsText" id="{695B0F15-4E0E-4F23-B145-76B9BB6A3E84}">
            <xm:f>NOT(ISERROR(SEARCH($AN$686,I620)))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053" operator="containsText" id="{73E17585-A206-4F03-8F72-94F4B3B3680F}">
            <xm:f>NOT(ISERROR(SEARCH($AN$685,I620)))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054" operator="containsText" id="{EDEF65DA-4BC2-42DD-8715-C8FAA6664473}">
            <xm:f>NOT(ISERROR(SEARCH($AN$684,I620)))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055" operator="containsText" id="{35604BA9-DF60-415F-B81E-A2C51C1F556B}">
            <xm:f>NOT(ISERROR(SEARCH($AN$683,I620)))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056" operator="containsText" id="{8630669E-24A5-418D-ABDA-55A6CCA986C4}">
            <xm:f>NOT(ISERROR(SEARCH($AN$682,I620)))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057" operator="containsText" id="{979144C0-1486-4E89-A8C9-1AFD63199656}">
            <xm:f>NOT(ISERROR(SEARCH($AN$681,I620)))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058" operator="containsText" id="{AF7B29DE-43EF-4E10-A059-DDC134766BD9}">
            <xm:f>NOT(ISERROR(SEARCH($AN$680,I620)))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059" operator="containsText" id="{725FA092-B6AF-4FF0-9614-12FB7264D70A}">
            <xm:f>NOT(ISERROR(SEARCH($AN$678,I620)))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060" operator="containsText" id="{2213DFCC-E776-4005-8130-8F865FF2B63E}">
            <xm:f>NOT(ISERROR(SEARCH($AN$679,I620)))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I620:M622</xm:sqref>
        </x14:conditionalFormatting>
        <x14:conditionalFormatting xmlns:xm="http://schemas.microsoft.com/office/excel/2006/main">
          <x14:cfRule type="containsText" priority="9034" operator="containsText" id="{0E8D9906-E5CE-4D0D-ABD5-5E3238F3CFBF}">
            <xm:f>NOT(ISERROR(SEARCH($AN$688,I623)))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035" operator="containsText" id="{00F5EEE5-1B14-4094-971C-4EA2275CE781}">
            <xm:f>NOT(ISERROR(SEARCH($AN$686,I623)))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036" operator="containsText" id="{6641F6A0-7277-4DDD-A475-F02ECF2F3A0D}">
            <xm:f>NOT(ISERROR(SEARCH($AN$685,I623)))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037" operator="containsText" id="{2A5D4F37-4EB4-4844-8D03-D6ED05353EDF}">
            <xm:f>NOT(ISERROR(SEARCH($AN$684,I623)))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038" operator="containsText" id="{3A3D5C15-6080-4D8F-9FD3-88A35EBDB418}">
            <xm:f>NOT(ISERROR(SEARCH($AN$683,I623)))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039" operator="containsText" id="{30A69BE3-3D7D-4CB5-B9F8-F00457515CA9}">
            <xm:f>NOT(ISERROR(SEARCH($AN$682,I623)))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040" operator="containsText" id="{703A7756-4956-42D8-81B2-BF2F32F7571A}">
            <xm:f>NOT(ISERROR(SEARCH($AN$681,I623)))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041" operator="containsText" id="{CB13190F-C9DE-4ED7-A96E-6BF1B1736EAA}">
            <xm:f>NOT(ISERROR(SEARCH($AN$680,I623)))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042" operator="containsText" id="{CDED84D3-CDE0-421C-B344-54660F5EA241}">
            <xm:f>NOT(ISERROR(SEARCH($AN$678,I623)))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043" operator="containsText" id="{EAB532BB-9B15-495D-BDDC-FEC909AA542C}">
            <xm:f>NOT(ISERROR(SEARCH($AN$679,I623)))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I623:M624</xm:sqref>
        </x14:conditionalFormatting>
        <x14:conditionalFormatting xmlns:xm="http://schemas.microsoft.com/office/excel/2006/main">
          <x14:cfRule type="containsText" priority="2726" operator="containsText" id="{4B33DC42-6865-4E7B-BB71-02BFC056B526}">
            <xm:f>NOT(ISERROR(SEARCH($AN$704,I629)))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727" operator="containsText" id="{676F1703-81EB-445E-B9B7-17647005E756}">
            <xm:f>NOT(ISERROR(SEARCH($AN$693,I629)))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728" operator="containsText" id="{95828D80-2A95-4E02-A6CE-5E317005633C}">
            <xm:f>NOT(ISERROR(SEARCH($AN$692,I629)))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729" operator="containsText" id="{DE9CF435-4ECE-48B6-90FD-B513B973117E}">
            <xm:f>NOT(ISERROR(SEARCH($AN$691,I629)))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730" operator="containsText" id="{1E6C7CEE-B9EB-4B13-B83C-7432EFF844F8}">
            <xm:f>NOT(ISERROR(SEARCH($AN$689,I629)))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I629:M629</xm:sqref>
        </x14:conditionalFormatting>
        <x14:conditionalFormatting xmlns:xm="http://schemas.microsoft.com/office/excel/2006/main">
          <x14:cfRule type="containsText" priority="3246" operator="containsText" id="{09E5DB3B-F3F4-478C-959E-DF4ADC80A6B2}">
            <xm:f>NOT(ISERROR(SEARCH($AN$704,I630)))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247" operator="containsText" id="{9B5F892D-2908-43A8-8577-8ADB0B55E3C2}">
            <xm:f>NOT(ISERROR(SEARCH($AN$693,I630)))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248" operator="containsText" id="{B96A3126-A0DB-4586-9644-1374313C2CAB}">
            <xm:f>NOT(ISERROR(SEARCH($AN$692,I630)))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249" operator="containsText" id="{F3591E8D-0946-4E1E-A6BC-26762FE6FF7C}">
            <xm:f>NOT(ISERROR(SEARCH($AN$691,I630)))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250" operator="containsText" id="{3B77CF92-114D-4DDC-BF69-B2CFF54D600B}">
            <xm:f>NOT(ISERROR(SEARCH($AN$689,I630)))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251" operator="containsText" id="{C1C44608-47F6-4916-8CCF-802B44FB4754}">
            <xm:f>NOT(ISERROR(SEARCH($AN$687,I630)))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252" operator="containsText" id="{28D1578E-3112-4B34-9077-1960791B9D7F}">
            <xm:f>NOT(ISERROR(SEARCH($AN$688,I630)))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253" operator="containsText" id="{B995F2DC-1877-4BD6-ADFC-580BC36EC4A8}">
            <xm:f>NOT(ISERROR(SEARCH($AN$686,I630)))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254" operator="containsText" id="{A9B68CC9-658A-48C3-8D76-196B32EA9ED6}">
            <xm:f>NOT(ISERROR(SEARCH($AN$685,I630)))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255" operator="containsText" id="{BE877DF7-C7B4-47C0-AE53-5C7DC9FAC7E5}">
            <xm:f>NOT(ISERROR(SEARCH($AN$684,I630)))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256" operator="containsText" id="{91F1102D-3D5B-4188-AF5C-53D0FCD67D7C}">
            <xm:f>NOT(ISERROR(SEARCH($AN$683,I630)))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257" operator="containsText" id="{BBE053EA-188F-4839-8FC1-EB0CC7FA16A6}">
            <xm:f>NOT(ISERROR(SEARCH($AN$682,I630)))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258" operator="containsText" id="{0D0E49F4-15ED-4FD0-8A55-F781811004AD}">
            <xm:f>NOT(ISERROR(SEARCH($AN$681,I630)))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259" operator="containsText" id="{70CA31C5-FEE5-400B-B54F-DCB4334DCDB8}">
            <xm:f>NOT(ISERROR(SEARCH($AN$680,I630)))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260" operator="containsText" id="{74222D5F-317E-40AE-98F4-11C06D885B07}">
            <xm:f>NOT(ISERROR(SEARCH($AN$678,I630)))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261" operator="containsText" id="{FBC24F9A-068B-48F2-A4FC-8D6C52889E4B}">
            <xm:f>NOT(ISERROR(SEARCH($AN$679,I630)))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I630:M633</xm:sqref>
        </x14:conditionalFormatting>
        <x14:conditionalFormatting xmlns:xm="http://schemas.microsoft.com/office/excel/2006/main">
          <x14:cfRule type="containsText" priority="9078" operator="containsText" id="{E9C3C174-4BA1-4466-8981-CFDD818F3C08}">
            <xm:f>NOT(ISERROR(SEARCH($AN$690,I641)))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9079" operator="containsText" id="{2E8DF090-5F0E-4832-924A-871F610F780E}">
            <xm:f>NOT(ISERROR(SEARCH($AN$704,I641)))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080" operator="containsText" id="{D465CD0A-7EE2-43CA-9CB4-A2B9C5A2D376}">
            <xm:f>NOT(ISERROR(SEARCH($AN$693,I641)))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9081" operator="containsText" id="{1734E42F-C914-4824-9096-717AE26326B4}">
            <xm:f>NOT(ISERROR(SEARCH($AN$692,I641)))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082" operator="containsText" id="{80901140-170B-4386-95B2-AE7C14D0E26F}">
            <xm:f>NOT(ISERROR(SEARCH($AN$691,I641)))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9083" operator="containsText" id="{3D6912BE-D3BA-410D-AA88-E243FEFDF91A}">
            <xm:f>NOT(ISERROR(SEARCH($AN$689,I641)))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9084" operator="containsText" id="{B51DD6EE-FAEA-430E-9994-8D9B8CB662A0}">
            <xm:f>NOT(ISERROR(SEARCH($AN$687,I641)))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9085" operator="containsText" id="{C4368FA2-20E7-4ECD-9E36-610E0743CC14}">
            <xm:f>NOT(ISERROR(SEARCH($AN$688,I641)))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086" operator="containsText" id="{89A93ACA-CF4B-46BB-87F8-7994B00ADB45}">
            <xm:f>NOT(ISERROR(SEARCH($AN$686,I641)))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087" operator="containsText" id="{ADBC85ED-8D91-427B-B03C-9C9D1AE623A1}">
            <xm:f>NOT(ISERROR(SEARCH($AN$685,I641)))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088" operator="containsText" id="{D6E742B5-10DD-4CF6-856C-01FFE3229BAC}">
            <xm:f>NOT(ISERROR(SEARCH($AN$684,I641)))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089" operator="containsText" id="{768E8289-C348-4ADA-A3B8-D6E438B40ED5}">
            <xm:f>NOT(ISERROR(SEARCH($AN$683,I641)))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090" operator="containsText" id="{CAB90E21-7AB4-4E93-BA42-E59EA30F6D1E}">
            <xm:f>NOT(ISERROR(SEARCH($AN$682,I641)))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091" operator="containsText" id="{2C9186A1-6EBA-4B30-8BCA-9CE56CBA685C}">
            <xm:f>NOT(ISERROR(SEARCH($AN$681,I641)))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092" operator="containsText" id="{92605273-63CD-463A-8415-9057CD7CBFF3}">
            <xm:f>NOT(ISERROR(SEARCH($AN$680,I641)))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093" operator="containsText" id="{42B2D24A-7095-4F47-A3FB-F68B1C039D0C}">
            <xm:f>NOT(ISERROR(SEARCH($AN$678,I641)))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094" operator="containsText" id="{9B261AAE-59F9-4575-8F76-7FC6F85CB0A6}">
            <xm:f>NOT(ISERROR(SEARCH($AN$679,I641)))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I641:M642</xm:sqref>
        </x14:conditionalFormatting>
        <x14:conditionalFormatting xmlns:xm="http://schemas.microsoft.com/office/excel/2006/main">
          <x14:cfRule type="containsText" priority="8898" operator="containsText" id="{22A0706E-A137-4AA9-9FEE-AEC7C140386F}">
            <xm:f>NOT(ISERROR(SEARCH($AN$688,I716)))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8899" operator="containsText" id="{D710FE83-4829-4498-905C-429E30E81195}">
            <xm:f>NOT(ISERROR(SEARCH($AN$686,I716)))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900" operator="containsText" id="{EDF12474-89A1-40E8-B1B1-8A38C9CCCF20}">
            <xm:f>NOT(ISERROR(SEARCH($AN$685,I716)))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8901" operator="containsText" id="{263AB3E4-3215-43F3-9AF8-3F207AE631C8}">
            <xm:f>NOT(ISERROR(SEARCH($AN$684,I716)))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902" operator="containsText" id="{4D5A1E6C-03F3-4C56-A4F6-3D41ABF8CBC0}">
            <xm:f>NOT(ISERROR(SEARCH($AN$683,I716)))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8903" operator="containsText" id="{162C888D-6FBE-4D78-9542-25A993A32728}">
            <xm:f>NOT(ISERROR(SEARCH($AN$682,I716)))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8904" operator="containsText" id="{E856E3B1-40E5-483F-BE60-4B56D3B2A933}">
            <xm:f>NOT(ISERROR(SEARCH($AN$681,I716)))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8905" operator="containsText" id="{8AFD5AE6-40A9-4834-951A-354DADA55664}">
            <xm:f>NOT(ISERROR(SEARCH($AN$680,I716)))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8906" operator="containsText" id="{A83F7F88-9B6A-420E-8890-3A6CBCC951F7}">
            <xm:f>NOT(ISERROR(SEARCH($AN$678,I716)))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8907" operator="containsText" id="{97D49BB6-DC89-4FA4-98A5-43DFBC8E858C}">
            <xm:f>NOT(ISERROR(SEARCH($AN$679,I716)))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I716:M718</xm:sqref>
        </x14:conditionalFormatting>
        <x14:conditionalFormatting xmlns:xm="http://schemas.microsoft.com/office/excel/2006/main">
          <x14:cfRule type="containsText" priority="8881" operator="containsText" id="{B27EC8A9-70AD-4701-A1F5-400CFBD36312}">
            <xm:f>NOT(ISERROR(SEARCH($AN$688,I719)))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8882" operator="containsText" id="{47EACC4A-9CB8-4845-825B-58D1F6087F5E}">
            <xm:f>NOT(ISERROR(SEARCH($AN$686,I719)))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883" operator="containsText" id="{4983BCEB-8429-4D29-8A67-20A761564FBA}">
            <xm:f>NOT(ISERROR(SEARCH($AN$685,I719)))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8884" operator="containsText" id="{4F7A1D8C-17AD-4504-B998-099BD14C3E81}">
            <xm:f>NOT(ISERROR(SEARCH($AN$684,I719)))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885" operator="containsText" id="{9A4CF7B7-1994-4BD1-9068-BE07E91E669B}">
            <xm:f>NOT(ISERROR(SEARCH($AN$683,I719)))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8886" operator="containsText" id="{6736142A-52E7-45BB-BA7A-1C8E8A4812C5}">
            <xm:f>NOT(ISERROR(SEARCH($AN$682,I719)))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8887" operator="containsText" id="{375F25B2-C897-4E5A-99ED-F958E865FB33}">
            <xm:f>NOT(ISERROR(SEARCH($AN$681,I719)))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8888" operator="containsText" id="{A86CE74B-EDC2-4F11-A441-5216C38EE4D4}">
            <xm:f>NOT(ISERROR(SEARCH($AN$680,I719)))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8889" operator="containsText" id="{8A591AC9-FDC3-4657-BFA5-EC8F50FCF692}">
            <xm:f>NOT(ISERROR(SEARCH($AN$678,I719)))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8890" operator="containsText" id="{1C78B86F-2BEA-4AA4-A63F-BF868F9029D9}">
            <xm:f>NOT(ISERROR(SEARCH($AN$679,I719)))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I719:M720</xm:sqref>
        </x14:conditionalFormatting>
        <x14:conditionalFormatting xmlns:xm="http://schemas.microsoft.com/office/excel/2006/main">
          <x14:cfRule type="containsText" priority="2666" operator="containsText" id="{02BB4466-8815-4CB2-BEE5-EC0CB8AEB445}">
            <xm:f>NOT(ISERROR(SEARCH($AN$704,I725)))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667" operator="containsText" id="{01F27762-6A56-4B5B-9EAC-B2BB2F93B79A}">
            <xm:f>NOT(ISERROR(SEARCH($AN$693,I725)))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668" operator="containsText" id="{90AD5768-AB0F-4D14-AAF4-90BC164A8732}">
            <xm:f>NOT(ISERROR(SEARCH($AN$692,I725)))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669" operator="containsText" id="{010B05AD-410A-4666-99C0-FE013881A575}">
            <xm:f>NOT(ISERROR(SEARCH($AN$691,I725)))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670" operator="containsText" id="{F29B5F0C-5E81-42E5-B584-DCDAEB68FEAD}">
            <xm:f>NOT(ISERROR(SEARCH($AN$689,I725)))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I725:M725</xm:sqref>
        </x14:conditionalFormatting>
        <x14:conditionalFormatting xmlns:xm="http://schemas.microsoft.com/office/excel/2006/main">
          <x14:cfRule type="containsText" priority="3195" operator="containsText" id="{86B23A48-607F-43FC-8267-611AA25B0AF3}">
            <xm:f>NOT(ISERROR(SEARCH($AN$704,I726)))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196" operator="containsText" id="{86C5A15A-565D-41EF-BDEB-05BCF9F9671B}">
            <xm:f>NOT(ISERROR(SEARCH($AN$693,I726)))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197" operator="containsText" id="{CFAD3682-705A-499B-8D2A-DEFE1CFB4395}">
            <xm:f>NOT(ISERROR(SEARCH($AN$692,I726)))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198" operator="containsText" id="{DFE2E669-AA75-4BCA-BD42-D2DEE391AEB8}">
            <xm:f>NOT(ISERROR(SEARCH($AN$691,I726)))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199" operator="containsText" id="{74AB9945-EE7A-4AFA-8F4B-4B8C829C1F9D}">
            <xm:f>NOT(ISERROR(SEARCH($AN$689,I726)))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200" operator="containsText" id="{12817CC7-2F28-4757-8EE6-5CC047354619}">
            <xm:f>NOT(ISERROR(SEARCH($AN$687,I726)))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201" operator="containsText" id="{9F313B78-5714-4BF6-B992-28986D3289C6}">
            <xm:f>NOT(ISERROR(SEARCH($AN$688,I726)))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202" operator="containsText" id="{18A7CECE-39BB-40EC-9025-D3B2F76F88FF}">
            <xm:f>NOT(ISERROR(SEARCH($AN$686,I726)))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203" operator="containsText" id="{51264E6F-AD52-4CF4-84F7-C662F93D683B}">
            <xm:f>NOT(ISERROR(SEARCH($AN$685,I726)))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204" operator="containsText" id="{9EF0EA2D-0881-4AD0-AC1C-DB2824F1B8FB}">
            <xm:f>NOT(ISERROR(SEARCH($AN$684,I726)))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205" operator="containsText" id="{BDC15E93-F3F6-41CA-9DC7-AD7295BA5047}">
            <xm:f>NOT(ISERROR(SEARCH($AN$683,I726)))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206" operator="containsText" id="{BBCC8D81-CD39-400D-9A60-2F144FEDAEC1}">
            <xm:f>NOT(ISERROR(SEARCH($AN$682,I726)))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207" operator="containsText" id="{8DC3E9BB-3BEA-4843-9EB1-5E298BC03449}">
            <xm:f>NOT(ISERROR(SEARCH($AN$681,I726)))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208" operator="containsText" id="{8963DB4F-CA24-430C-8BBB-FEF0538EC194}">
            <xm:f>NOT(ISERROR(SEARCH($AN$680,I726)))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209" operator="containsText" id="{2B1803FA-F934-4B3B-9071-F760B11732B5}">
            <xm:f>NOT(ISERROR(SEARCH($AN$678,I726)))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210" operator="containsText" id="{F94A1F02-5FDE-4B55-A7E6-74AB2F1BDD3E}">
            <xm:f>NOT(ISERROR(SEARCH($AN$679,I726)))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I726:M729</xm:sqref>
        </x14:conditionalFormatting>
        <x14:conditionalFormatting xmlns:xm="http://schemas.microsoft.com/office/excel/2006/main">
          <x14:cfRule type="containsText" priority="8830" operator="containsText" id="{7C051D07-B124-499A-857E-A4DCB9883814}">
            <xm:f>NOT(ISERROR(SEARCH($AN$688,I731)))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8831" operator="containsText" id="{9D0DF8C9-49D8-4049-8963-C33BB7844820}">
            <xm:f>NOT(ISERROR(SEARCH($AN$686,I731)))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832" operator="containsText" id="{549E2AB9-FA86-4EF1-9E00-73AEF91F78F0}">
            <xm:f>NOT(ISERROR(SEARCH($AN$685,I731)))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8833" operator="containsText" id="{F4F513FA-4413-42D7-AC37-46588FD486CC}">
            <xm:f>NOT(ISERROR(SEARCH($AN$684,I731)))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834" operator="containsText" id="{4E8B9CA0-6A34-4ABA-A1B3-12B7E52B4F78}">
            <xm:f>NOT(ISERROR(SEARCH($AN$683,I731)))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8835" operator="containsText" id="{320E83E9-5B16-4161-8303-1A04A9726CD7}">
            <xm:f>NOT(ISERROR(SEARCH($AN$682,I731)))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8836" operator="containsText" id="{5FC82C5D-AF66-454D-9EF8-0AB9FA61C3B6}">
            <xm:f>NOT(ISERROR(SEARCH($AN$681,I731)))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8837" operator="containsText" id="{F2BDDD1F-98F2-4831-B36A-E1D507F7D809}">
            <xm:f>NOT(ISERROR(SEARCH($AN$680,I731)))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8838" operator="containsText" id="{06907B70-A7D3-4220-9BEC-A524702E70A7}">
            <xm:f>NOT(ISERROR(SEARCH($AN$678,I731)))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8839" operator="containsText" id="{618E83F0-155E-4037-B667-380791EC7201}">
            <xm:f>NOT(ISERROR(SEARCH($AN$679,I731)))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I731:M731</xm:sqref>
        </x14:conditionalFormatting>
        <x14:conditionalFormatting xmlns:xm="http://schemas.microsoft.com/office/excel/2006/main">
          <x14:cfRule type="containsText" priority="8925" operator="containsText" id="{9720B6B0-99A2-4D4A-90C2-65A19C7E17BD}">
            <xm:f>NOT(ISERROR(SEARCH($AN$690,I737)))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8926" operator="containsText" id="{A33623BD-5C19-4EA0-A332-2D89BCE71164}">
            <xm:f>NOT(ISERROR(SEARCH($AN$704,I737)))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8927" operator="containsText" id="{FB922EA1-E8EE-4AFB-B5B8-0A3518CDD6C2}">
            <xm:f>NOT(ISERROR(SEARCH($AN$693,I737)))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8928" operator="containsText" id="{9EE37213-D4CB-4481-BC0B-4DE8A56DF130}">
            <xm:f>NOT(ISERROR(SEARCH($AN$692,I737)))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929" operator="containsText" id="{AFED4362-B3D4-4012-991F-F89743892BB1}">
            <xm:f>NOT(ISERROR(SEARCH($AN$691,I737)))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8930" operator="containsText" id="{DF53AD95-90F2-4101-8965-9CF65E9CDC38}">
            <xm:f>NOT(ISERROR(SEARCH($AN$689,I737)))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8931" operator="containsText" id="{2E6E1E89-34AC-4108-B1A5-58E8CF710407}">
            <xm:f>NOT(ISERROR(SEARCH($AN$687,I737)))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8932" operator="containsText" id="{1D8D986F-A5AA-451A-8A45-0AC49E9EB4B6}">
            <xm:f>NOT(ISERROR(SEARCH($AN$688,I737)))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8933" operator="containsText" id="{D37E5798-A49F-4608-947F-65F3A4431B81}">
            <xm:f>NOT(ISERROR(SEARCH($AN$686,I737)))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934" operator="containsText" id="{F8239FE6-FED0-4561-9D12-BDAE8805FB87}">
            <xm:f>NOT(ISERROR(SEARCH($AN$685,I737)))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8935" operator="containsText" id="{AB55E320-AC6D-468D-A2B7-6C52BFE9B127}">
            <xm:f>NOT(ISERROR(SEARCH($AN$684,I737)))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936" operator="containsText" id="{6A1191DB-110F-4D46-8634-54F7ECF99305}">
            <xm:f>NOT(ISERROR(SEARCH($AN$683,I737)))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8937" operator="containsText" id="{81351FA5-23DB-41DD-9BF9-80658E5EECD6}">
            <xm:f>NOT(ISERROR(SEARCH($AN$682,I737)))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8938" operator="containsText" id="{2C013014-8B9E-47B0-80C2-CE828805BF86}">
            <xm:f>NOT(ISERROR(SEARCH($AN$681,I737)))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8939" operator="containsText" id="{5340A7B6-A5CE-4676-A619-B1A3A340110E}">
            <xm:f>NOT(ISERROR(SEARCH($AN$680,I737)))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8940" operator="containsText" id="{D73786D5-84A5-4E6C-9242-356DCFF2DBAC}">
            <xm:f>NOT(ISERROR(SEARCH($AN$678,I737)))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8941" operator="containsText" id="{AF824B1A-9445-4DAC-A9C5-AC43517588F3}">
            <xm:f>NOT(ISERROR(SEARCH($AN$679,I737)))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I737:M738</xm:sqref>
        </x14:conditionalFormatting>
        <x14:conditionalFormatting xmlns:xm="http://schemas.microsoft.com/office/excel/2006/main">
          <x14:cfRule type="containsText" priority="2611" operator="containsText" id="{0B245F64-8D0B-4211-8EB4-0E4FE0896A14}">
            <xm:f>NOT(ISERROR(SEARCH($AN$687,J53)))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612" operator="containsText" id="{DEE2CDF7-10AF-47AA-8102-2792AEF56926}">
            <xm:f>NOT(ISERROR(SEARCH($AN$688,J53)))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613" operator="containsText" id="{54D090EB-D5F8-4411-B646-6A1DF0C7501D}">
            <xm:f>NOT(ISERROR(SEARCH($AN$686,J53)))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14" operator="containsText" id="{0995D14C-8DFA-459A-A05B-DFFD894662DE}">
            <xm:f>NOT(ISERROR(SEARCH($AN$685,J53)))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615" operator="containsText" id="{A8DFF575-0453-4AA2-AEFE-86FE68D4BACA}">
            <xm:f>NOT(ISERROR(SEARCH($AN$684,J53)))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16" operator="containsText" id="{D0CF3890-8E74-40D2-A26D-A010F722D408}">
            <xm:f>NOT(ISERROR(SEARCH($AN$683,J53)))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617" operator="containsText" id="{47D634AA-3845-441D-A838-E13EF553B9DF}">
            <xm:f>NOT(ISERROR(SEARCH($AN$682,J53)))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618" operator="containsText" id="{65F831F6-0C16-4FE7-9948-95ED4CFA760D}">
            <xm:f>NOT(ISERROR(SEARCH($AN$681,J53)))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19" operator="containsText" id="{3AED8302-C820-486B-A6EE-86D145ADEB52}">
            <xm:f>NOT(ISERROR(SEARCH($AN$680,J53)))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620" operator="containsText" id="{E4CD5C12-288C-4CFF-9E6B-A7726A426841}">
            <xm:f>NOT(ISERROR(SEARCH($AN$678,J53)))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621" operator="containsText" id="{81A966C4-5046-46C4-8F9C-BCA31AC5C89A}">
            <xm:f>NOT(ISERROR(SEARCH($AN$679,J53)))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J53</xm:sqref>
        </x14:conditionalFormatting>
        <x14:conditionalFormatting xmlns:xm="http://schemas.microsoft.com/office/excel/2006/main">
          <x14:cfRule type="containsText" priority="2551" operator="containsText" id="{E1752BDF-5E52-4D93-99AD-BCA6AF04A239}">
            <xm:f>NOT(ISERROR(SEARCH($AN$687,J149)))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552" operator="containsText" id="{1C089226-B639-414B-ACE2-A9FEC1BA67FF}">
            <xm:f>NOT(ISERROR(SEARCH($AN$688,J149)))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553" operator="containsText" id="{A8A4F8A9-1A52-48CB-A1E4-B3F851588F34}">
            <xm:f>NOT(ISERROR(SEARCH($AN$686,J149)))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54" operator="containsText" id="{30519C3C-6E10-4AF4-800B-0103434FB564}">
            <xm:f>NOT(ISERROR(SEARCH($AN$685,J149)))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555" operator="containsText" id="{05CF8E36-CC27-4A69-BB72-CB4E7858A918}">
            <xm:f>NOT(ISERROR(SEARCH($AN$684,J149)))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56" operator="containsText" id="{AA3C6B87-1094-48A4-BE67-E74C9A323958}">
            <xm:f>NOT(ISERROR(SEARCH($AN$683,J149)))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557" operator="containsText" id="{747C938D-A591-4CBB-90C0-3CA0F651219E}">
            <xm:f>NOT(ISERROR(SEARCH($AN$682,J149)))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558" operator="containsText" id="{D0384C19-190C-460A-9630-07F7981BB72D}">
            <xm:f>NOT(ISERROR(SEARCH($AN$681,J149)))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559" operator="containsText" id="{43D90D18-1025-426C-BA83-D764456670A8}">
            <xm:f>NOT(ISERROR(SEARCH($AN$680,J149)))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560" operator="containsText" id="{9F203A0A-9EE2-4F5E-8BC3-84EB21FFE694}">
            <xm:f>NOT(ISERROR(SEARCH($AN$678,J149)))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561" operator="containsText" id="{6B104F28-0678-4698-8690-F20B762244FC}">
            <xm:f>NOT(ISERROR(SEARCH($AN$679,J149)))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J149</xm:sqref>
        </x14:conditionalFormatting>
        <x14:conditionalFormatting xmlns:xm="http://schemas.microsoft.com/office/excel/2006/main">
          <x14:cfRule type="containsText" priority="2851" operator="containsText" id="{4467790B-C5A8-450D-A932-6FF93DB1906A}">
            <xm:f>NOT(ISERROR(SEARCH($AN$687,J437)))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852" operator="containsText" id="{BA71D312-434E-4FFD-A3F7-E5F9C1595CDB}">
            <xm:f>NOT(ISERROR(SEARCH($AN$688,J437)))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853" operator="containsText" id="{DD25BB85-FC1E-42BA-A0B5-068B8E16ACFC}">
            <xm:f>NOT(ISERROR(SEARCH($AN$686,J437)))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54" operator="containsText" id="{6419E1E2-1B9B-450B-8567-7F3C66AE4324}">
            <xm:f>NOT(ISERROR(SEARCH($AN$685,J437)))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855" operator="containsText" id="{FBA83F5A-2415-44AB-BDBA-BB618164BBE6}">
            <xm:f>NOT(ISERROR(SEARCH($AN$684,J437)))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56" operator="containsText" id="{7F49BE29-C70E-4C72-8694-CF5BF15B18BA}">
            <xm:f>NOT(ISERROR(SEARCH($AN$683,J437)))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857" operator="containsText" id="{26B96C61-D38B-48FB-AF1D-2EC54977D25C}">
            <xm:f>NOT(ISERROR(SEARCH($AN$682,J437)))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858" operator="containsText" id="{C0E46658-7427-4309-AECD-A8FBD02A95FD}">
            <xm:f>NOT(ISERROR(SEARCH($AN$681,J437)))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859" operator="containsText" id="{8C84B4FC-5E24-4F0B-B4EE-C33E472EB5FF}">
            <xm:f>NOT(ISERROR(SEARCH($AN$680,J437)))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860" operator="containsText" id="{34F90AE4-549D-47A3-9347-B5973D6C98D8}">
            <xm:f>NOT(ISERROR(SEARCH($AN$678,J437)))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861" operator="containsText" id="{B2D854E1-BC67-4A23-A939-5DD1E1F36C18}">
            <xm:f>NOT(ISERROR(SEARCH($AN$679,J437)))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J437</xm:sqref>
        </x14:conditionalFormatting>
        <x14:conditionalFormatting xmlns:xm="http://schemas.microsoft.com/office/excel/2006/main">
          <x14:cfRule type="containsText" priority="2791" operator="containsText" id="{6B6E046E-4E99-4033-9B14-873B975F8258}">
            <xm:f>NOT(ISERROR(SEARCH($AN$687,J533)))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792" operator="containsText" id="{C0A1C6F0-EE36-4DA5-82A3-884C2E26950F}">
            <xm:f>NOT(ISERROR(SEARCH($AN$688,J533)))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793" operator="containsText" id="{92F37921-7DA0-47C6-BFA0-8CD51A771522}">
            <xm:f>NOT(ISERROR(SEARCH($AN$686,J533)))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94" operator="containsText" id="{0E9473C8-789D-4FE5-95AF-7C67E0A5E25C}">
            <xm:f>NOT(ISERROR(SEARCH($AN$685,J533)))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795" operator="containsText" id="{AF0031AE-BA29-41D9-9B68-9E6037DEAF49}">
            <xm:f>NOT(ISERROR(SEARCH($AN$684,J533)))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96" operator="containsText" id="{1A377B04-D5A8-457B-A387-FB82C16A5B2B}">
            <xm:f>NOT(ISERROR(SEARCH($AN$683,J533)))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797" operator="containsText" id="{8B5622C7-0350-41C1-B333-1352E5D4E644}">
            <xm:f>NOT(ISERROR(SEARCH($AN$682,J533)))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798" operator="containsText" id="{019C80C6-1220-4CE7-A6F6-91D3F51F44A7}">
            <xm:f>NOT(ISERROR(SEARCH($AN$681,J533)))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799" operator="containsText" id="{96291D13-DAEC-4810-8C11-B17F3A410FFC}">
            <xm:f>NOT(ISERROR(SEARCH($AN$680,J533)))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800" operator="containsText" id="{36622A82-5CCF-4188-A6F0-532DA6B615F8}">
            <xm:f>NOT(ISERROR(SEARCH($AN$678,J533)))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801" operator="containsText" id="{7F6E233A-7B45-4E4C-A77B-C9CE16A539C2}">
            <xm:f>NOT(ISERROR(SEARCH($AN$679,J533)))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J533</xm:sqref>
        </x14:conditionalFormatting>
        <x14:conditionalFormatting xmlns:xm="http://schemas.microsoft.com/office/excel/2006/main">
          <x14:cfRule type="containsText" priority="2731" operator="containsText" id="{32493206-A920-48F5-B106-53BF1B757353}">
            <xm:f>NOT(ISERROR(SEARCH($AN$687,J629)))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732" operator="containsText" id="{B0AE4950-A540-46E2-8537-88B6807ABAFF}">
            <xm:f>NOT(ISERROR(SEARCH($AN$688,J629)))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733" operator="containsText" id="{369A3F91-248D-493F-9828-2CB714E5C3E9}">
            <xm:f>NOT(ISERROR(SEARCH($AN$686,J629)))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34" operator="containsText" id="{5D875AC5-6081-405F-B706-A404FB34B8A7}">
            <xm:f>NOT(ISERROR(SEARCH($AN$685,J629)))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735" operator="containsText" id="{3D6DA0D7-010C-43B2-813C-B7A7C1BAFBD3}">
            <xm:f>NOT(ISERROR(SEARCH($AN$684,J629)))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36" operator="containsText" id="{CDD820D2-4A29-475C-A7FA-ACBB7E5300D9}">
            <xm:f>NOT(ISERROR(SEARCH($AN$683,J629)))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737" operator="containsText" id="{15FD3571-6F1E-4C06-B47E-EB3935547B73}">
            <xm:f>NOT(ISERROR(SEARCH($AN$682,J629)))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738" operator="containsText" id="{4FA0C167-45D6-4D22-B783-3CF98B8E88A1}">
            <xm:f>NOT(ISERROR(SEARCH($AN$681,J629)))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739" operator="containsText" id="{82350803-7867-4452-B073-771A35950778}">
            <xm:f>NOT(ISERROR(SEARCH($AN$680,J629)))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740" operator="containsText" id="{9E29C19F-E9EF-4CC3-AEF6-E1624398539F}">
            <xm:f>NOT(ISERROR(SEARCH($AN$678,J629)))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741" operator="containsText" id="{CF3A553A-105D-4F65-B304-6B426E31056C}">
            <xm:f>NOT(ISERROR(SEARCH($AN$679,J629)))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J629</xm:sqref>
        </x14:conditionalFormatting>
        <x14:conditionalFormatting xmlns:xm="http://schemas.microsoft.com/office/excel/2006/main">
          <x14:cfRule type="containsText" priority="2671" operator="containsText" id="{A17F34AA-7401-4B44-A4BE-2742A16A6529}">
            <xm:f>NOT(ISERROR(SEARCH($AN$687,J725)))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672" operator="containsText" id="{2DA51761-44F2-432F-8C84-780DB1B95ADC}">
            <xm:f>NOT(ISERROR(SEARCH($AN$688,J725)))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673" operator="containsText" id="{F8531E2D-9D5B-427B-AF87-5BC15A536116}">
            <xm:f>NOT(ISERROR(SEARCH($AN$686,J725)))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74" operator="containsText" id="{ED2916E5-A46F-4698-97F7-FBAF100961C0}">
            <xm:f>NOT(ISERROR(SEARCH($AN$685,J725)))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675" operator="containsText" id="{687781D5-16EF-4E62-BADF-EB1B4E91C1D0}">
            <xm:f>NOT(ISERROR(SEARCH($AN$684,J725)))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76" operator="containsText" id="{FDD8831D-C004-44B4-9B1D-F5B2B9A451B9}">
            <xm:f>NOT(ISERROR(SEARCH($AN$683,J725)))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677" operator="containsText" id="{F5F6D87D-DD7C-47FD-A8FA-A74C79A4A8F0}">
            <xm:f>NOT(ISERROR(SEARCH($AN$682,J725)))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678" operator="containsText" id="{86148362-2B60-4797-B4D1-FB5889BA7B66}">
            <xm:f>NOT(ISERROR(SEARCH($AN$681,J725)))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79" operator="containsText" id="{3F0CD82F-084B-408A-9AB5-A11FF1D12CD3}">
            <xm:f>NOT(ISERROR(SEARCH($AN$680,J725)))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680" operator="containsText" id="{7F478B1D-4EBD-4CBB-8D00-BF1D3222AEFC}">
            <xm:f>NOT(ISERROR(SEARCH($AN$678,J725)))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681" operator="containsText" id="{380026B9-26F4-4BB1-91FC-331A0ED52499}">
            <xm:f>NOT(ISERROR(SEARCH($AN$679,J725)))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J725</xm:sqref>
        </x14:conditionalFormatting>
        <x14:conditionalFormatting xmlns:xm="http://schemas.microsoft.com/office/excel/2006/main">
          <x14:cfRule type="containsText" priority="2655" operator="containsText" id="{3D0F43DF-E008-45A4-AA69-818B610CFABD}">
            <xm:f>NOT(ISERROR(SEARCH($AN$688,K53)))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656" operator="containsText" id="{36CB5341-4BAA-480C-B3AE-2FDEBD8114FC}">
            <xm:f>NOT(ISERROR(SEARCH($AN$686,K53)))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57" operator="containsText" id="{9FFCE570-3260-4D85-B57D-858FCC87AABC}">
            <xm:f>NOT(ISERROR(SEARCH($AN$685,K53)))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658" operator="containsText" id="{940D4543-C396-418E-A9F2-50BC36910264}">
            <xm:f>NOT(ISERROR(SEARCH($AN$684,K53)))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59" operator="containsText" id="{6B2ACF37-C07A-4EB7-8F57-9127E7D06CB5}">
            <xm:f>NOT(ISERROR(SEARCH($AN$683,K53)))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660" operator="containsText" id="{3788CB85-75F2-4096-AED9-56A120B71A14}">
            <xm:f>NOT(ISERROR(SEARCH($AN$682,K53)))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661" operator="containsText" id="{C3CCB5EE-BA1C-40A8-B66E-01E2AC32334F}">
            <xm:f>NOT(ISERROR(SEARCH($AN$681,K53)))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62" operator="containsText" id="{8ED1D124-C2EA-4767-9A7F-87462AE0D101}">
            <xm:f>NOT(ISERROR(SEARCH($AN$680,K53)))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663" operator="containsText" id="{24F2D85C-A6CB-4C8D-A81B-32C66A2556F7}">
            <xm:f>NOT(ISERROR(SEARCH($AN$678,K53)))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664" operator="containsText" id="{AA1CD8E6-7B06-47F5-BB81-E52818ED302D}">
            <xm:f>NOT(ISERROR(SEARCH($AN$679,K53)))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K53</xm:sqref>
        </x14:conditionalFormatting>
        <x14:conditionalFormatting xmlns:xm="http://schemas.microsoft.com/office/excel/2006/main">
          <x14:cfRule type="containsText" priority="2595" operator="containsText" id="{76095A1F-442D-499B-B274-EDEC37C86DE1}">
            <xm:f>NOT(ISERROR(SEARCH($AN$688,K149)))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596" operator="containsText" id="{BB8C80C6-AF34-4C95-B076-33D69E838A54}">
            <xm:f>NOT(ISERROR(SEARCH($AN$686,K149)))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97" operator="containsText" id="{5E4E979E-8C42-4199-A3D3-01F41FF52763}">
            <xm:f>NOT(ISERROR(SEARCH($AN$685,K149)))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598" operator="containsText" id="{5C128C80-26F3-4F9C-9315-E1FFC62960E3}">
            <xm:f>NOT(ISERROR(SEARCH($AN$684,K149)))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99" operator="containsText" id="{995A5DDE-537A-496B-A5AA-546C9B93634F}">
            <xm:f>NOT(ISERROR(SEARCH($AN$683,K149)))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600" operator="containsText" id="{E0A2FE28-A3E5-4260-B7BA-0771A479DBCD}">
            <xm:f>NOT(ISERROR(SEARCH($AN$682,K149)))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601" operator="containsText" id="{4D7DB4E0-E865-45FA-B535-F99A9C2EE4DC}">
            <xm:f>NOT(ISERROR(SEARCH($AN$681,K149)))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02" operator="containsText" id="{42C9DADF-053B-47B9-975E-C0249000A112}">
            <xm:f>NOT(ISERROR(SEARCH($AN$680,K149)))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603" operator="containsText" id="{ECDAA9D0-C15D-44EE-A5BD-54CAE66F5D93}">
            <xm:f>NOT(ISERROR(SEARCH($AN$678,K149)))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604" operator="containsText" id="{CAD9F632-406F-46A0-9BE4-73608E04D13F}">
            <xm:f>NOT(ISERROR(SEARCH($AN$679,K149)))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K149</xm:sqref>
        </x14:conditionalFormatting>
        <x14:conditionalFormatting xmlns:xm="http://schemas.microsoft.com/office/excel/2006/main">
          <x14:cfRule type="containsText" priority="2895" operator="containsText" id="{01E785FD-424A-4DCC-80D5-C6E4A517B05F}">
            <xm:f>NOT(ISERROR(SEARCH($AN$688,K437)))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896" operator="containsText" id="{296B492E-F946-4C00-9DA7-3C2EA4894BBC}">
            <xm:f>NOT(ISERROR(SEARCH($AN$686,K437)))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97" operator="containsText" id="{E2016939-5365-44FC-8BBE-D1E6D826A0FE}">
            <xm:f>NOT(ISERROR(SEARCH($AN$685,K437)))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898" operator="containsText" id="{30811D98-1363-41DD-BFBB-AD2ABF4C655D}">
            <xm:f>NOT(ISERROR(SEARCH($AN$684,K437)))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99" operator="containsText" id="{BE5F649A-9532-483F-A136-33AB89D313BD}">
            <xm:f>NOT(ISERROR(SEARCH($AN$683,K437)))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900" operator="containsText" id="{3C566630-106C-4933-9A85-60880B24A109}">
            <xm:f>NOT(ISERROR(SEARCH($AN$682,K437)))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901" operator="containsText" id="{5B4C899A-0C69-4605-A2D5-0D8D94D16229}">
            <xm:f>NOT(ISERROR(SEARCH($AN$681,K437)))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902" operator="containsText" id="{E4C816F7-3BB8-4F61-98D6-5F2E1DA68E44}">
            <xm:f>NOT(ISERROR(SEARCH($AN$680,K437)))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903" operator="containsText" id="{FB62DCA3-1E45-4081-A3AC-B9AB781DF546}">
            <xm:f>NOT(ISERROR(SEARCH($AN$678,K437)))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904" operator="containsText" id="{A4059566-523B-4B13-B4C5-C3B61E2E2652}">
            <xm:f>NOT(ISERROR(SEARCH($AN$679,K437)))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K437</xm:sqref>
        </x14:conditionalFormatting>
        <x14:conditionalFormatting xmlns:xm="http://schemas.microsoft.com/office/excel/2006/main">
          <x14:cfRule type="containsText" priority="2835" operator="containsText" id="{7BB86794-2C16-479F-9D06-58ADAECAA7A8}">
            <xm:f>NOT(ISERROR(SEARCH($AN$688,K533)))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836" operator="containsText" id="{60DEE21D-1E6C-4548-A996-EAC6CD57354D}">
            <xm:f>NOT(ISERROR(SEARCH($AN$686,K533)))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37" operator="containsText" id="{D78378F1-5705-4BB9-A90C-A60122C6040E}">
            <xm:f>NOT(ISERROR(SEARCH($AN$685,K533)))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838" operator="containsText" id="{E3389230-EBD5-4E26-AA17-6841CCA2B632}">
            <xm:f>NOT(ISERROR(SEARCH($AN$684,K533)))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39" operator="containsText" id="{6AE9C19A-C552-4FDD-A717-741418E9EA25}">
            <xm:f>NOT(ISERROR(SEARCH($AN$683,K533)))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840" operator="containsText" id="{74758EEB-9F84-4961-ABA8-6F72F6D8C65C}">
            <xm:f>NOT(ISERROR(SEARCH($AN$682,K533)))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841" operator="containsText" id="{A62C0BE6-C65D-455A-891F-A663F41D56EB}">
            <xm:f>NOT(ISERROR(SEARCH($AN$681,K533)))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842" operator="containsText" id="{9A45221F-450B-48D0-B372-244692D725BC}">
            <xm:f>NOT(ISERROR(SEARCH($AN$680,K533)))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843" operator="containsText" id="{DA92E137-9984-4B7D-B9E5-442174671AD9}">
            <xm:f>NOT(ISERROR(SEARCH($AN$678,K533)))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844" operator="containsText" id="{AC805887-F21D-4CE2-88F1-FBE965DC8172}">
            <xm:f>NOT(ISERROR(SEARCH($AN$679,K533)))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K533</xm:sqref>
        </x14:conditionalFormatting>
        <x14:conditionalFormatting xmlns:xm="http://schemas.microsoft.com/office/excel/2006/main">
          <x14:cfRule type="containsText" priority="2775" operator="containsText" id="{FC5799CE-6058-4870-A4D1-7AAB81CB8FBA}">
            <xm:f>NOT(ISERROR(SEARCH($AN$688,K629)))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776" operator="containsText" id="{D6F35C22-B8CB-4463-829C-C2F20174E254}">
            <xm:f>NOT(ISERROR(SEARCH($AN$686,K629)))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77" operator="containsText" id="{63B2B1CC-38A9-4FB9-B00F-AC3779C18744}">
            <xm:f>NOT(ISERROR(SEARCH($AN$685,K629)))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778" operator="containsText" id="{60C656E0-1510-471D-A86B-0C2F0B4B6524}">
            <xm:f>NOT(ISERROR(SEARCH($AN$684,K629)))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79" operator="containsText" id="{585C0699-F5B7-4AC3-A506-F0A13AC117BC}">
            <xm:f>NOT(ISERROR(SEARCH($AN$683,K629)))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780" operator="containsText" id="{F8395E2F-82F5-49E8-8882-C2A0DFBE3B09}">
            <xm:f>NOT(ISERROR(SEARCH($AN$682,K629)))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781" operator="containsText" id="{401DD80B-C6A0-426B-9DF8-25C861C8CFAF}">
            <xm:f>NOT(ISERROR(SEARCH($AN$681,K629)))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782" operator="containsText" id="{B07599C7-5C8B-4D9E-9548-72C6DF5EC952}">
            <xm:f>NOT(ISERROR(SEARCH($AN$680,K629)))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783" operator="containsText" id="{74444281-EEF6-4DE5-B10B-60DB036EF46E}">
            <xm:f>NOT(ISERROR(SEARCH($AN$678,K629)))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784" operator="containsText" id="{371318E9-187B-4FAE-8530-2861F6BC02AB}">
            <xm:f>NOT(ISERROR(SEARCH($AN$679,K629)))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K629</xm:sqref>
        </x14:conditionalFormatting>
        <x14:conditionalFormatting xmlns:xm="http://schemas.microsoft.com/office/excel/2006/main">
          <x14:cfRule type="containsText" priority="2715" operator="containsText" id="{408E1603-11CF-4DCD-97DD-6354858E1487}">
            <xm:f>NOT(ISERROR(SEARCH($AN$688,K725)))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716" operator="containsText" id="{848ED1F5-9703-415B-84E3-30126EEF60D1}">
            <xm:f>NOT(ISERROR(SEARCH($AN$686,K725)))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17" operator="containsText" id="{6212A396-8F0A-4B89-8E30-C2C76984B4A7}">
            <xm:f>NOT(ISERROR(SEARCH($AN$685,K725)))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718" operator="containsText" id="{67F368EC-C5A8-40D3-9102-65CDC81943CD}">
            <xm:f>NOT(ISERROR(SEARCH($AN$684,K725)))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19" operator="containsText" id="{A1B37370-FA59-4B9D-AEAB-0F49D1D764CD}">
            <xm:f>NOT(ISERROR(SEARCH($AN$683,K725)))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720" operator="containsText" id="{765CC743-8566-4D27-9352-28F9137B7FE9}">
            <xm:f>NOT(ISERROR(SEARCH($AN$682,K725)))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721" operator="containsText" id="{BBF6F8F6-1EF1-4CF8-AFD1-8C2D06E5B949}">
            <xm:f>NOT(ISERROR(SEARCH($AN$681,K725)))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722" operator="containsText" id="{7AAB859F-E264-436F-9464-36CF3BD8FD0F}">
            <xm:f>NOT(ISERROR(SEARCH($AN$680,K725)))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723" operator="containsText" id="{2B552CA0-4C3D-4F17-A200-CF6668F3F0F0}">
            <xm:f>NOT(ISERROR(SEARCH($AN$678,K725)))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724" operator="containsText" id="{A806D5AD-C546-477A-9848-589E5633B22B}">
            <xm:f>NOT(ISERROR(SEARCH($AN$679,K725)))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K725</xm:sqref>
        </x14:conditionalFormatting>
        <x14:conditionalFormatting xmlns:xm="http://schemas.microsoft.com/office/excel/2006/main">
          <x14:cfRule type="containsText" priority="2644" operator="containsText" id="{AED22244-E241-4741-AC79-97B111D7F50E}">
            <xm:f>NOT(ISERROR(SEARCH($AN$687,K53)))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K53:L53</xm:sqref>
        </x14:conditionalFormatting>
        <x14:conditionalFormatting xmlns:xm="http://schemas.microsoft.com/office/excel/2006/main">
          <x14:cfRule type="containsText" priority="2584" operator="containsText" id="{46DCC778-C7DA-4B92-82D5-B3D1FCA49AD9}">
            <xm:f>NOT(ISERROR(SEARCH($AN$687,K149)))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K149:L149</xm:sqref>
        </x14:conditionalFormatting>
        <x14:conditionalFormatting xmlns:xm="http://schemas.microsoft.com/office/excel/2006/main">
          <x14:cfRule type="containsText" priority="2884" operator="containsText" id="{70BE6FE5-AB22-4D05-917E-F18B8BA87979}">
            <xm:f>NOT(ISERROR(SEARCH($AN$687,K437)))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K437:L437</xm:sqref>
        </x14:conditionalFormatting>
        <x14:conditionalFormatting xmlns:xm="http://schemas.microsoft.com/office/excel/2006/main">
          <x14:cfRule type="containsText" priority="2824" operator="containsText" id="{D7DF2106-9C4B-49DB-AE04-7D7C1B83AD04}">
            <xm:f>NOT(ISERROR(SEARCH($AN$687,K533)))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K533:L533</xm:sqref>
        </x14:conditionalFormatting>
        <x14:conditionalFormatting xmlns:xm="http://schemas.microsoft.com/office/excel/2006/main">
          <x14:cfRule type="containsText" priority="2764" operator="containsText" id="{7F916E40-2D8E-44C2-82F4-FD44B98F9077}">
            <xm:f>NOT(ISERROR(SEARCH($AN$687,K629)))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K629:L629</xm:sqref>
        </x14:conditionalFormatting>
        <x14:conditionalFormatting xmlns:xm="http://schemas.microsoft.com/office/excel/2006/main">
          <x14:cfRule type="containsText" priority="2704" operator="containsText" id="{D51995A5-C0FE-4AF7-9051-76354C351ABD}">
            <xm:f>NOT(ISERROR(SEARCH($AN$687,K725)))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K725:L725</xm:sqref>
        </x14:conditionalFormatting>
        <x14:conditionalFormatting xmlns:xm="http://schemas.microsoft.com/office/excel/2006/main">
          <x14:cfRule type="containsText" priority="2645" operator="containsText" id="{5258E22F-94A0-472F-A7B6-B398D0A7335A}">
            <xm:f>NOT(ISERROR(SEARCH($AN$688,L53)))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646" operator="containsText" id="{1ADAE39B-86C6-4BE1-93E9-6D7375887819}">
            <xm:f>NOT(ISERROR(SEARCH($AN$686,L53)))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47" operator="containsText" id="{6419131E-C679-4962-8D66-7D7383AC06D1}">
            <xm:f>NOT(ISERROR(SEARCH($AN$685,L53)))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648" operator="containsText" id="{6FCE25E8-D3D3-4DBE-8837-5049793FF8FB}">
            <xm:f>NOT(ISERROR(SEARCH($AN$684,L53)))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49" operator="containsText" id="{72214D7D-9656-44DA-A0D0-6F302D5B1CDC}">
            <xm:f>NOT(ISERROR(SEARCH($AN$683,L53)))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650" operator="containsText" id="{CC4E6013-97AF-420D-BC2E-9DA0337B6876}">
            <xm:f>NOT(ISERROR(SEARCH($AN$682,L53)))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651" operator="containsText" id="{95CAD1E6-E375-47D9-86EE-A3140211A874}">
            <xm:f>NOT(ISERROR(SEARCH($AN$681,L53)))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52" operator="containsText" id="{FF54EA94-DF8E-493A-BF08-B0D4934A16EC}">
            <xm:f>NOT(ISERROR(SEARCH($AN$680,L53)))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653" operator="containsText" id="{48D1C484-85D1-401C-8344-E2E4B055B32F}">
            <xm:f>NOT(ISERROR(SEARCH($AN$678,L53)))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654" operator="containsText" id="{629C4B63-73BB-4ABB-BBA7-F7AB7B1A1D38}">
            <xm:f>NOT(ISERROR(SEARCH($AN$679,L53)))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L53</xm:sqref>
        </x14:conditionalFormatting>
        <x14:conditionalFormatting xmlns:xm="http://schemas.microsoft.com/office/excel/2006/main">
          <x14:cfRule type="containsText" priority="2585" operator="containsText" id="{F3B24725-E8FA-469D-9A79-2BF32C84BEBE}">
            <xm:f>NOT(ISERROR(SEARCH($AN$688,L149)))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586" operator="containsText" id="{3C7104AA-CF47-427A-9C0E-07EE88383798}">
            <xm:f>NOT(ISERROR(SEARCH($AN$686,L149)))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87" operator="containsText" id="{92B464F4-6D0F-46AA-B19C-EFD18C6EC07C}">
            <xm:f>NOT(ISERROR(SEARCH($AN$685,L149)))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588" operator="containsText" id="{BCD5DC76-5B3E-48BA-BFA5-600007EE9D69}">
            <xm:f>NOT(ISERROR(SEARCH($AN$684,L149)))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89" operator="containsText" id="{262D6CFA-609E-41A0-ADB5-A664673F1715}">
            <xm:f>NOT(ISERROR(SEARCH($AN$683,L149)))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590" operator="containsText" id="{39F3B32C-23FA-467D-B004-F2381AB91F76}">
            <xm:f>NOT(ISERROR(SEARCH($AN$682,L149)))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591" operator="containsText" id="{161280DF-D1F9-40A7-A6C1-A2B4F90ECC41}">
            <xm:f>NOT(ISERROR(SEARCH($AN$681,L149)))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592" operator="containsText" id="{DECADD4A-3E49-496D-8441-B89260192160}">
            <xm:f>NOT(ISERROR(SEARCH($AN$680,L149)))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593" operator="containsText" id="{EE189845-7F55-4BFC-87E7-A4AAFCCC1047}">
            <xm:f>NOT(ISERROR(SEARCH($AN$678,L149)))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594" operator="containsText" id="{0FE8719B-C64E-4C24-ACDD-79216E49D41C}">
            <xm:f>NOT(ISERROR(SEARCH($AN$679,L149)))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L149</xm:sqref>
        </x14:conditionalFormatting>
        <x14:conditionalFormatting xmlns:xm="http://schemas.microsoft.com/office/excel/2006/main">
          <x14:cfRule type="containsText" priority="2885" operator="containsText" id="{0A435564-2466-494E-84B5-35D5960BF787}">
            <xm:f>NOT(ISERROR(SEARCH($AN$688,L437)))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886" operator="containsText" id="{3F1BD771-5356-4AE2-B1AA-5716737C1DB3}">
            <xm:f>NOT(ISERROR(SEARCH($AN$686,L437)))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87" operator="containsText" id="{20732950-B090-4F05-A85B-F0E29EB61AB7}">
            <xm:f>NOT(ISERROR(SEARCH($AN$685,L437)))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888" operator="containsText" id="{3793711E-5468-4095-8BD9-F90D795DE346}">
            <xm:f>NOT(ISERROR(SEARCH($AN$684,L437)))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89" operator="containsText" id="{B2C56A47-E6DD-498A-A26D-1424BA0AEE69}">
            <xm:f>NOT(ISERROR(SEARCH($AN$683,L437)))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890" operator="containsText" id="{83825742-E6C1-49C7-BCB1-5E7CD2750943}">
            <xm:f>NOT(ISERROR(SEARCH($AN$682,L437)))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891" operator="containsText" id="{2FECFE0D-ED97-485F-AC5E-9BF4E09D7421}">
            <xm:f>NOT(ISERROR(SEARCH($AN$681,L437)))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892" operator="containsText" id="{9FDA768E-0AA9-48EB-83FD-38C4E8D356D2}">
            <xm:f>NOT(ISERROR(SEARCH($AN$680,L437)))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893" operator="containsText" id="{D287A058-62EB-444E-9AD6-AE14A0C90506}">
            <xm:f>NOT(ISERROR(SEARCH($AN$678,L437)))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894" operator="containsText" id="{2DDD6B58-367B-424B-A4F3-468614065AAB}">
            <xm:f>NOT(ISERROR(SEARCH($AN$679,L437)))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L437</xm:sqref>
        </x14:conditionalFormatting>
        <x14:conditionalFormatting xmlns:xm="http://schemas.microsoft.com/office/excel/2006/main">
          <x14:cfRule type="containsText" priority="2825" operator="containsText" id="{9BB6360E-10DD-4DAE-8433-5085A926303D}">
            <xm:f>NOT(ISERROR(SEARCH($AN$688,L533)))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826" operator="containsText" id="{A3A3B5F9-D38D-4C5D-9051-079564B221AE}">
            <xm:f>NOT(ISERROR(SEARCH($AN$686,L533)))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27" operator="containsText" id="{E659AEB3-12AE-4F50-AAC2-C3679C706F3C}">
            <xm:f>NOT(ISERROR(SEARCH($AN$685,L533)))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828" operator="containsText" id="{C42BB033-1D6B-49F4-BA0E-D9A22A8C1DF9}">
            <xm:f>NOT(ISERROR(SEARCH($AN$684,L533)))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29" operator="containsText" id="{DB8E3C67-D967-48CA-9797-DD45D9FF9D51}">
            <xm:f>NOT(ISERROR(SEARCH($AN$683,L533)))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830" operator="containsText" id="{1A133C7D-B2B8-42F1-9010-299AA201D856}">
            <xm:f>NOT(ISERROR(SEARCH($AN$682,L533)))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831" operator="containsText" id="{CC058001-3082-4A84-9ABF-45F24AADAD71}">
            <xm:f>NOT(ISERROR(SEARCH($AN$681,L533)))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832" operator="containsText" id="{985307B6-F018-4508-BDA9-411884CFFA09}">
            <xm:f>NOT(ISERROR(SEARCH($AN$680,L533)))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833" operator="containsText" id="{BE4DE3EA-5118-4707-B6CD-BEDACC3A55F2}">
            <xm:f>NOT(ISERROR(SEARCH($AN$678,L533)))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834" operator="containsText" id="{0C4F8536-AAC6-4C12-98D8-D02549154F5E}">
            <xm:f>NOT(ISERROR(SEARCH($AN$679,L533)))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L533</xm:sqref>
        </x14:conditionalFormatting>
        <x14:conditionalFormatting xmlns:xm="http://schemas.microsoft.com/office/excel/2006/main">
          <x14:cfRule type="containsText" priority="2765" operator="containsText" id="{AA756D5E-45AA-4F1C-BE15-73A73329E3E4}">
            <xm:f>NOT(ISERROR(SEARCH($AN$688,L629)))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766" operator="containsText" id="{05D6559B-C68D-4D4D-9002-D069971853C2}">
            <xm:f>NOT(ISERROR(SEARCH($AN$686,L629)))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67" operator="containsText" id="{4CED0C37-9A63-4398-AF4C-02FA14293FE7}">
            <xm:f>NOT(ISERROR(SEARCH($AN$685,L629)))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768" operator="containsText" id="{94E5BD63-17F3-48B1-8A79-D56D43FA317E}">
            <xm:f>NOT(ISERROR(SEARCH($AN$684,L629)))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69" operator="containsText" id="{4F6A36B0-FF0E-4BA2-8765-32D4640D38A6}">
            <xm:f>NOT(ISERROR(SEARCH($AN$683,L629)))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770" operator="containsText" id="{FBD13B5F-04B2-4AE2-837C-0259D0932DAC}">
            <xm:f>NOT(ISERROR(SEARCH($AN$682,L629)))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771" operator="containsText" id="{477D4C2E-099F-4C33-8646-DE00C255BD3B}">
            <xm:f>NOT(ISERROR(SEARCH($AN$681,L629)))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772" operator="containsText" id="{6C06EC3F-323C-4E92-9069-D6E10D95B91E}">
            <xm:f>NOT(ISERROR(SEARCH($AN$680,L629)))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773" operator="containsText" id="{A1BE920C-F862-44EF-A37A-3F0945E45AAB}">
            <xm:f>NOT(ISERROR(SEARCH($AN$678,L629)))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774" operator="containsText" id="{A2C69DCB-EA0C-490F-9BCD-D0932C39DB5A}">
            <xm:f>NOT(ISERROR(SEARCH($AN$679,L629)))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L629</xm:sqref>
        </x14:conditionalFormatting>
        <x14:conditionalFormatting xmlns:xm="http://schemas.microsoft.com/office/excel/2006/main">
          <x14:cfRule type="containsText" priority="2705" operator="containsText" id="{77F4882C-203C-47C8-9484-62F3BF4503B9}">
            <xm:f>NOT(ISERROR(SEARCH($AN$688,L725)))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706" operator="containsText" id="{D7519AFF-B573-4693-8A58-6D08A4E6F93A}">
            <xm:f>NOT(ISERROR(SEARCH($AN$686,L725)))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07" operator="containsText" id="{85104247-8534-478E-86A3-2E4A32127B54}">
            <xm:f>NOT(ISERROR(SEARCH($AN$685,L725)))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708" operator="containsText" id="{C17A46A6-A5D4-421A-9ACE-DC9CCFD28AF9}">
            <xm:f>NOT(ISERROR(SEARCH($AN$684,L725)))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09" operator="containsText" id="{B6413823-224C-4BA7-BC30-6966A4112E42}">
            <xm:f>NOT(ISERROR(SEARCH($AN$683,L725)))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710" operator="containsText" id="{4E402C80-E5A3-416A-A2C5-4B4CDB0CED9C}">
            <xm:f>NOT(ISERROR(SEARCH($AN$682,L725)))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711" operator="containsText" id="{AFEF7310-630D-49A8-B8C9-17C199AD738A}">
            <xm:f>NOT(ISERROR(SEARCH($AN$681,L725)))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712" operator="containsText" id="{87BD68E2-CA14-41C7-A325-2D8A200135F6}">
            <xm:f>NOT(ISERROR(SEARCH($AN$680,L725)))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713" operator="containsText" id="{CE5CB92D-C471-4227-A32C-3148AC3E3219}">
            <xm:f>NOT(ISERROR(SEARCH($AN$678,L725)))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714" operator="containsText" id="{4EDCF7D0-EBA1-4E79-A563-B7A3B646B1B2}">
            <xm:f>NOT(ISERROR(SEARCH($AN$679,L725)))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L725</xm:sqref>
        </x14:conditionalFormatting>
        <x14:conditionalFormatting xmlns:xm="http://schemas.microsoft.com/office/excel/2006/main">
          <x14:cfRule type="containsText" priority="2633" operator="containsText" id="{491AF331-9CB3-432F-A4AB-645539AE12F9}">
            <xm:f>NOT(ISERROR(SEARCH($AN$687,M53)))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634" operator="containsText" id="{A457718B-F2F2-42BA-A5BD-A90FB910324F}">
            <xm:f>NOT(ISERROR(SEARCH($AN$688,M53)))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635" operator="containsText" id="{4C80C954-9059-40AE-AFA5-18A1547F2CAA}">
            <xm:f>NOT(ISERROR(SEARCH($AN$686,M53)))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36" operator="containsText" id="{8733DE42-7449-4E2D-AF73-6D387842D434}">
            <xm:f>NOT(ISERROR(SEARCH($AN$685,M53)))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637" operator="containsText" id="{466EA0ED-1177-41BF-A3ED-EA054AF982B3}">
            <xm:f>NOT(ISERROR(SEARCH($AN$684,M53)))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38" operator="containsText" id="{F727B894-1C46-432C-BF1B-02C483388F97}">
            <xm:f>NOT(ISERROR(SEARCH($AN$683,M53)))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639" operator="containsText" id="{F4F88648-F2E4-4351-B4EA-9C140137EEE2}">
            <xm:f>NOT(ISERROR(SEARCH($AN$682,M53)))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640" operator="containsText" id="{539B7404-13B9-48EB-B2EB-AD8F11BBEA36}">
            <xm:f>NOT(ISERROR(SEARCH($AN$681,M53)))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41" operator="containsText" id="{20D8931A-34C9-4D44-852B-42079C71F4CB}">
            <xm:f>NOT(ISERROR(SEARCH($AN$680,M53)))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642" operator="containsText" id="{D2B3921D-1BBA-4753-A935-87A0845A12A9}">
            <xm:f>NOT(ISERROR(SEARCH($AN$678,M53)))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643" operator="containsText" id="{4E2DE947-429F-4345-B30B-5774C56E2221}">
            <xm:f>NOT(ISERROR(SEARCH($AN$679,M53)))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M53</xm:sqref>
        </x14:conditionalFormatting>
        <x14:conditionalFormatting xmlns:xm="http://schemas.microsoft.com/office/excel/2006/main">
          <x14:cfRule type="containsText" priority="2573" operator="containsText" id="{009E2A7E-7785-456F-ADE2-A4ECCE6FDBD8}">
            <xm:f>NOT(ISERROR(SEARCH($AN$687,M149)))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574" operator="containsText" id="{79210EF8-89F6-44FA-B908-6575B4278AAA}">
            <xm:f>NOT(ISERROR(SEARCH($AN$688,M149)))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575" operator="containsText" id="{404FDC17-167B-4631-BB4A-C7EEFEFD6988}">
            <xm:f>NOT(ISERROR(SEARCH($AN$686,M149)))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76" operator="containsText" id="{C5156EE9-1C7F-4868-B5AD-E3B90F9D7AFB}">
            <xm:f>NOT(ISERROR(SEARCH($AN$685,M149)))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577" operator="containsText" id="{55BE47BC-D1F3-440F-9263-2D63A37AFEDD}">
            <xm:f>NOT(ISERROR(SEARCH($AN$684,M149)))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78" operator="containsText" id="{65FEF4B0-826D-4DE4-BEF3-9B2C78ED4E48}">
            <xm:f>NOT(ISERROR(SEARCH($AN$683,M149)))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579" operator="containsText" id="{3BF19983-FD2D-47BC-AA79-6BE39724F158}">
            <xm:f>NOT(ISERROR(SEARCH($AN$682,M149)))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580" operator="containsText" id="{45246467-EB53-4644-B394-D5CD16AB80BB}">
            <xm:f>NOT(ISERROR(SEARCH($AN$681,M149)))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581" operator="containsText" id="{83A5D610-DC1B-4B9F-988C-2E28E2ADA789}">
            <xm:f>NOT(ISERROR(SEARCH($AN$680,M149)))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582" operator="containsText" id="{AB7FE830-E85B-4889-9F17-4093D6793CE2}">
            <xm:f>NOT(ISERROR(SEARCH($AN$678,M149)))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583" operator="containsText" id="{08AD9B44-3ADC-47FD-8229-0E527B23FF38}">
            <xm:f>NOT(ISERROR(SEARCH($AN$679,M149)))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M149</xm:sqref>
        </x14:conditionalFormatting>
        <x14:conditionalFormatting xmlns:xm="http://schemas.microsoft.com/office/excel/2006/main">
          <x14:cfRule type="containsText" priority="2873" operator="containsText" id="{186F8818-3F3A-48AD-AF52-5F6AD1CF2EA4}">
            <xm:f>NOT(ISERROR(SEARCH($AN$687,M437)))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874" operator="containsText" id="{3CE29182-6D75-4B8B-8AB8-4F6491C2F09D}">
            <xm:f>NOT(ISERROR(SEARCH($AN$688,M437)))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875" operator="containsText" id="{C9CE9ED3-DF5A-4810-B989-4538A64F4FE1}">
            <xm:f>NOT(ISERROR(SEARCH($AN$686,M437)))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76" operator="containsText" id="{09387FAA-155D-4B40-A348-A81E64D2E1D1}">
            <xm:f>NOT(ISERROR(SEARCH($AN$685,M437)))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877" operator="containsText" id="{BFBD4498-C382-4E3C-BAAF-C63235039D9C}">
            <xm:f>NOT(ISERROR(SEARCH($AN$684,M437)))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78" operator="containsText" id="{654DEB3C-DF70-40FA-AEA7-8D45AB8C663F}">
            <xm:f>NOT(ISERROR(SEARCH($AN$683,M437)))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879" operator="containsText" id="{1AD251D5-B83F-4C0D-BB98-5EBF65370D36}">
            <xm:f>NOT(ISERROR(SEARCH($AN$682,M437)))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880" operator="containsText" id="{E1358B94-DD5A-406E-A5E8-8F140B026E31}">
            <xm:f>NOT(ISERROR(SEARCH($AN$681,M437)))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881" operator="containsText" id="{95B60144-3EB2-464F-991E-D55EDA0D2403}">
            <xm:f>NOT(ISERROR(SEARCH($AN$680,M437)))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882" operator="containsText" id="{15F1410E-A94D-43EE-9F66-6FB995EF2B84}">
            <xm:f>NOT(ISERROR(SEARCH($AN$678,M437)))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883" operator="containsText" id="{72039569-989E-4A0C-8EC8-D5DC823DFC3B}">
            <xm:f>NOT(ISERROR(SEARCH($AN$679,M437)))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M437</xm:sqref>
        </x14:conditionalFormatting>
        <x14:conditionalFormatting xmlns:xm="http://schemas.microsoft.com/office/excel/2006/main">
          <x14:cfRule type="containsText" priority="2813" operator="containsText" id="{CAB8E190-5B50-4A55-99E6-BB7C8732C5E5}">
            <xm:f>NOT(ISERROR(SEARCH($AN$687,M533)))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814" operator="containsText" id="{A5D6579B-18DB-44CF-9C89-2B8562588218}">
            <xm:f>NOT(ISERROR(SEARCH($AN$688,M533)))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815" operator="containsText" id="{561D5C1D-7954-4D6A-AC05-E3A72CEC5E8C}">
            <xm:f>NOT(ISERROR(SEARCH($AN$686,M533)))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16" operator="containsText" id="{22EB0C52-32B9-4795-AF1E-7992F1FF229E}">
            <xm:f>NOT(ISERROR(SEARCH($AN$685,M533)))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817" operator="containsText" id="{87B6D477-E39D-483E-8F82-3E839416FCAC}">
            <xm:f>NOT(ISERROR(SEARCH($AN$684,M533)))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18" operator="containsText" id="{A77852C4-948C-4E6A-9FA3-34BBD5C3DEBA}">
            <xm:f>NOT(ISERROR(SEARCH($AN$683,M533)))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819" operator="containsText" id="{99FE6986-2931-4F18-B697-CBB6C26FFB49}">
            <xm:f>NOT(ISERROR(SEARCH($AN$682,M533)))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820" operator="containsText" id="{B93FE5CB-ECB2-4DBA-8E54-5B4BD86BED65}">
            <xm:f>NOT(ISERROR(SEARCH($AN$681,M533)))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821" operator="containsText" id="{AB8DD0F4-51D3-4233-A7C0-BAD9DEFC8134}">
            <xm:f>NOT(ISERROR(SEARCH($AN$680,M533)))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822" operator="containsText" id="{9ED8ED37-81D6-4D18-B20F-C1AACD4821B4}">
            <xm:f>NOT(ISERROR(SEARCH($AN$678,M533)))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823" operator="containsText" id="{599CA8DE-C7F0-4F75-8751-5AE780A265F7}">
            <xm:f>NOT(ISERROR(SEARCH($AN$679,M533)))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M533</xm:sqref>
        </x14:conditionalFormatting>
        <x14:conditionalFormatting xmlns:xm="http://schemas.microsoft.com/office/excel/2006/main">
          <x14:cfRule type="containsText" priority="2753" operator="containsText" id="{26948733-7FD5-4DD9-BE28-1069FBB6F718}">
            <xm:f>NOT(ISERROR(SEARCH($AN$687,M629)))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754" operator="containsText" id="{11B429EA-C101-4051-9EBE-0D2511A36D86}">
            <xm:f>NOT(ISERROR(SEARCH($AN$688,M629)))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755" operator="containsText" id="{1F346CE2-574F-411D-8C13-BD3BFB3081A1}">
            <xm:f>NOT(ISERROR(SEARCH($AN$686,M629)))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56" operator="containsText" id="{F73D2DCE-DBFB-435D-9CBD-2172D4F59AE5}">
            <xm:f>NOT(ISERROR(SEARCH($AN$685,M629)))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757" operator="containsText" id="{B78987F8-A162-4A33-8D66-33F5B810C678}">
            <xm:f>NOT(ISERROR(SEARCH($AN$684,M629)))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58" operator="containsText" id="{7193EE6A-CBA3-440E-9E1F-C19A849A1663}">
            <xm:f>NOT(ISERROR(SEARCH($AN$683,M629)))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759" operator="containsText" id="{3C638A36-EB96-4B0D-8E4B-550514F7F31D}">
            <xm:f>NOT(ISERROR(SEARCH($AN$682,M629)))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760" operator="containsText" id="{3DD15437-9AEA-4AE0-B043-3C496C9DF817}">
            <xm:f>NOT(ISERROR(SEARCH($AN$681,M629)))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761" operator="containsText" id="{F48F0C42-3736-4375-ABB1-946D19BC4472}">
            <xm:f>NOT(ISERROR(SEARCH($AN$680,M629)))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762" operator="containsText" id="{011FDDCB-FCBD-4F94-A859-592A1B71E617}">
            <xm:f>NOT(ISERROR(SEARCH($AN$678,M629)))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763" operator="containsText" id="{1100C54F-AD58-4400-9C8C-B5E134443FB5}">
            <xm:f>NOT(ISERROR(SEARCH($AN$679,M629)))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M629</xm:sqref>
        </x14:conditionalFormatting>
        <x14:conditionalFormatting xmlns:xm="http://schemas.microsoft.com/office/excel/2006/main">
          <x14:cfRule type="containsText" priority="2693" operator="containsText" id="{E7EDF246-3BA3-4BFC-814B-77CE82B65AAF}">
            <xm:f>NOT(ISERROR(SEARCH($AN$687,M725)))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694" operator="containsText" id="{D7A84C95-3492-4B5D-8964-30BF5077E061}">
            <xm:f>NOT(ISERROR(SEARCH($AN$688,M725)))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695" operator="containsText" id="{ED4F95DA-0698-41CA-86E7-8F2A682AEA59}">
            <xm:f>NOT(ISERROR(SEARCH($AN$686,M725)))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96" operator="containsText" id="{C018A3CB-18CC-40C5-8C25-5038C6A2771E}">
            <xm:f>NOT(ISERROR(SEARCH($AN$685,M725)))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697" operator="containsText" id="{A5CAA0BB-1A7A-47C4-83C9-F176F408BBE2}">
            <xm:f>NOT(ISERROR(SEARCH($AN$684,M725)))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98" operator="containsText" id="{5B2BDC60-6E79-4687-AD4D-6878AFEA3970}">
            <xm:f>NOT(ISERROR(SEARCH($AN$683,M725)))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699" operator="containsText" id="{134434F8-1705-4133-A486-B262D391E915}">
            <xm:f>NOT(ISERROR(SEARCH($AN$682,M725)))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700" operator="containsText" id="{ABB63E0C-15DB-43DA-961C-FF7F5320234B}">
            <xm:f>NOT(ISERROR(SEARCH($AN$681,M725)))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701" operator="containsText" id="{ABA0931E-68C4-4794-BA42-FA7FF0165D78}">
            <xm:f>NOT(ISERROR(SEARCH($AN$680,M725)))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702" operator="containsText" id="{805D44C1-9265-4721-B51E-53CC96AB0235}">
            <xm:f>NOT(ISERROR(SEARCH($AN$678,M725)))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703" operator="containsText" id="{7770B32D-6AA9-48CD-95ED-72E13D9815BC}">
            <xm:f>NOT(ISERROR(SEARCH($AN$679,M725)))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M725</xm:sqref>
        </x14:conditionalFormatting>
        <x14:conditionalFormatting xmlns:xm="http://schemas.microsoft.com/office/excel/2006/main">
          <x14:cfRule type="containsText" priority="22646" operator="containsText" id="{D0C4F6AD-D200-48F9-8D21-58968C51F144}">
            <xm:f>NOT(ISERROR(SEARCH($AN$690,N52)))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647" operator="containsText" id="{17F00219-4D04-4881-A6B8-E786F547305C}">
            <xm:f>NOT(ISERROR(SEARCH($AN$704,N52)))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648" operator="containsText" id="{97361777-066A-4EB1-9935-6D2692BD543D}">
            <xm:f>NOT(ISERROR(SEARCH($AN$693,N52)))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649" operator="containsText" id="{942400D1-FFF3-482F-AFE5-ABF81BEC87DE}">
            <xm:f>NOT(ISERROR(SEARCH($AN$692,N52)))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650" operator="containsText" id="{7892343C-E39D-4676-8372-403E32BA74FB}">
            <xm:f>NOT(ISERROR(SEARCH($AN$691,N52)))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651" operator="containsText" id="{4F7922F5-7615-4B31-A62A-229ACB8F1A3C}">
            <xm:f>NOT(ISERROR(SEARCH($AN$689,N52)))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652" operator="containsText" id="{FC69863C-7C4F-4E86-B421-65F4C6129FEE}">
            <xm:f>NOT(ISERROR(SEARCH($AN$687,N52)))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653" operator="containsText" id="{9C767B37-714F-4216-9382-366C8F9460D9}">
            <xm:f>NOT(ISERROR(SEARCH($AN$688,N52)))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654" operator="containsText" id="{7A11823F-A075-4252-ADC1-C1C4EE6636DC}">
            <xm:f>NOT(ISERROR(SEARCH($AN$686,N52)))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655" operator="containsText" id="{75A514B0-59CB-4DA9-8D65-65F79810414F}">
            <xm:f>NOT(ISERROR(SEARCH($AN$685,N52)))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656" operator="containsText" id="{F712DB53-2810-47C0-B1E3-99235A802BB8}">
            <xm:f>NOT(ISERROR(SEARCH($AN$684,N52)))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657" operator="containsText" id="{EF2A2B91-D5C1-4D14-B740-514A083DC469}">
            <xm:f>NOT(ISERROR(SEARCH($AN$683,N52)))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658" operator="containsText" id="{0E11610D-31F1-4B6E-9B7E-2C66A44C6A99}">
            <xm:f>NOT(ISERROR(SEARCH($AN$682,N52)))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659" operator="containsText" id="{79D58DED-8595-4233-8370-4CC963D584AB}">
            <xm:f>NOT(ISERROR(SEARCH($AN$681,N52)))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660" operator="containsText" id="{C920230A-4071-4448-96A8-81472C058877}">
            <xm:f>NOT(ISERROR(SEARCH($AN$680,N52)))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661" operator="containsText" id="{36E5EE1C-5A67-4A56-A98A-8EE57E2E8263}">
            <xm:f>NOT(ISERROR(SEARCH($AN$678,N52)))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662" operator="containsText" id="{F8D9399F-7259-4374-8971-BC662D953121}">
            <xm:f>NOT(ISERROR(SEARCH($AN$679,N52)))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N52:P55</xm:sqref>
        </x14:conditionalFormatting>
        <x14:conditionalFormatting xmlns:xm="http://schemas.microsoft.com/office/excel/2006/main">
          <x14:cfRule type="containsText" priority="22236" operator="containsText" id="{2363876E-C6D9-46A4-A4A1-4DB1A512ACAC}">
            <xm:f>NOT(ISERROR(SEARCH($AN$690,N148)))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237" operator="containsText" id="{2AA0A3E6-B441-4BF8-84F0-4AD6C71BCF6B}">
            <xm:f>NOT(ISERROR(SEARCH($AN$704,N148)))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238" operator="containsText" id="{020BE0AA-D6D4-4AB5-A6D7-86416BB1031F}">
            <xm:f>NOT(ISERROR(SEARCH($AN$693,N148)))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239" operator="containsText" id="{F830D5A3-F89E-4474-B62D-5384FBAA7EC2}">
            <xm:f>NOT(ISERROR(SEARCH($AN$692,N148)))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240" operator="containsText" id="{3C036D2B-433F-4D69-B849-3736AB1DFD5E}">
            <xm:f>NOT(ISERROR(SEARCH($AN$691,N148)))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241" operator="containsText" id="{86D58473-9F20-42CD-A470-22C8A1742181}">
            <xm:f>NOT(ISERROR(SEARCH($AN$689,N148)))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242" operator="containsText" id="{A41B30C6-7B7D-412F-BC1E-DF397011E3D8}">
            <xm:f>NOT(ISERROR(SEARCH($AN$687,N148)))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243" operator="containsText" id="{386E100C-6AD2-43B9-862B-C6286EA6401E}">
            <xm:f>NOT(ISERROR(SEARCH($AN$688,N148)))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244" operator="containsText" id="{3C98A08D-DC7E-48A0-B0BE-7DFA5437BB51}">
            <xm:f>NOT(ISERROR(SEARCH($AN$686,N148)))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245" operator="containsText" id="{554291E6-C53D-436E-AF61-4FD025F9CDB1}">
            <xm:f>NOT(ISERROR(SEARCH($AN$685,N148)))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246" operator="containsText" id="{3EB3C1B8-3868-4F66-8A9B-B91812EF9ADC}">
            <xm:f>NOT(ISERROR(SEARCH($AN$684,N148)))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247" operator="containsText" id="{03EEEBE6-E829-437B-AD5B-90FC35757B9F}">
            <xm:f>NOT(ISERROR(SEARCH($AN$683,N148)))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248" operator="containsText" id="{FD9F7850-0915-4AEB-900F-F7B239017F49}">
            <xm:f>NOT(ISERROR(SEARCH($AN$682,N148)))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249" operator="containsText" id="{5454CAFF-A050-44BB-8C0E-E68712BF55B5}">
            <xm:f>NOT(ISERROR(SEARCH($AN$681,N148)))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250" operator="containsText" id="{9A9EEFB5-FC72-4E89-B5A4-4A30D6400040}">
            <xm:f>NOT(ISERROR(SEARCH($AN$680,N148)))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251" operator="containsText" id="{B157B6B1-FAC2-476D-8C38-6127851D47E3}">
            <xm:f>NOT(ISERROR(SEARCH($AN$678,N148)))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252" operator="containsText" id="{8694EC1F-1B07-4083-99AA-8875254AF24F}">
            <xm:f>NOT(ISERROR(SEARCH($AN$679,N148)))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N148:P151</xm:sqref>
        </x14:conditionalFormatting>
        <x14:conditionalFormatting xmlns:xm="http://schemas.microsoft.com/office/excel/2006/main">
          <x14:cfRule type="containsText" priority="21826" operator="containsText" id="{E140578D-D043-4F63-B55B-CA587BE232EA}">
            <xm:f>NOT(ISERROR(SEARCH($AN$690,N244)))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1827" operator="containsText" id="{54A484A0-7E7D-4FB7-9478-75F86BE9C1D9}">
            <xm:f>NOT(ISERROR(SEARCH($AN$704,N244)))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1828" operator="containsText" id="{B1F687D6-4CA0-4AEC-BD65-E1DB88B2ACC4}">
            <xm:f>NOT(ISERROR(SEARCH($AN$693,N244)))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1829" operator="containsText" id="{1BE47354-3BAC-4812-BFDF-2749B69C99E8}">
            <xm:f>NOT(ISERROR(SEARCH($AN$692,N244)))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830" operator="containsText" id="{81594155-5223-4E36-B16B-A137A58C08AB}">
            <xm:f>NOT(ISERROR(SEARCH($AN$691,N244)))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1831" operator="containsText" id="{22722615-24F0-4D91-B57F-9768265EDCB5}">
            <xm:f>NOT(ISERROR(SEARCH($AN$689,N244)))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1832" operator="containsText" id="{4396CAE0-ACF8-4712-A39B-4E56EF594A23}">
            <xm:f>NOT(ISERROR(SEARCH($AN$687,N244)))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833" operator="containsText" id="{98233B69-1665-42E3-92F0-AD91575B7C74}">
            <xm:f>NOT(ISERROR(SEARCH($AN$688,N244)))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834" operator="containsText" id="{A39C3DDD-44B4-4144-8CBE-B4CCFCCCA928}">
            <xm:f>NOT(ISERROR(SEARCH($AN$686,N244)))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835" operator="containsText" id="{C6B258A8-A5AA-4CA3-8584-54679A44597D}">
            <xm:f>NOT(ISERROR(SEARCH($AN$685,N244)))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836" operator="containsText" id="{244DA986-6E05-4871-A890-5C3B8AFFD885}">
            <xm:f>NOT(ISERROR(SEARCH($AN$684,N244)))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837" operator="containsText" id="{8D98A844-7105-4C4A-B85D-EA5531D448E9}">
            <xm:f>NOT(ISERROR(SEARCH($AN$683,N244)))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838" operator="containsText" id="{44F76472-2B9C-4EFF-ADD0-F601253F475C}">
            <xm:f>NOT(ISERROR(SEARCH($AN$682,N244)))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1839" operator="containsText" id="{28A387B6-CAD7-4270-9672-0348666E8045}">
            <xm:f>NOT(ISERROR(SEARCH($AN$681,N244)))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840" operator="containsText" id="{CFA03D96-BB7D-486A-9F4D-3B2A9A642673}">
            <xm:f>NOT(ISERROR(SEARCH($AN$680,N244)))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841" operator="containsText" id="{61E194CF-CBCF-4493-99C8-22D6727A093E}">
            <xm:f>NOT(ISERROR(SEARCH($AN$678,N244)))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842" operator="containsText" id="{5FECDBB5-1A4D-41D9-8E2E-EAB9A2AF1322}">
            <xm:f>NOT(ISERROR(SEARCH($AN$679,N244)))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N244:P247</xm:sqref>
        </x14:conditionalFormatting>
        <x14:conditionalFormatting xmlns:xm="http://schemas.microsoft.com/office/excel/2006/main">
          <x14:cfRule type="containsText" priority="24286" operator="containsText" id="{C7A47931-218D-4220-88C6-D89EED2374A0}">
            <xm:f>NOT(ISERROR(SEARCH($AN$690,N436)))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4287" operator="containsText" id="{DDBEF3F3-A1E7-4E49-AC88-2009B781101F}">
            <xm:f>NOT(ISERROR(SEARCH($AN$704,N436)))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4288" operator="containsText" id="{39B3044F-4484-4E45-AF09-7E3B619314B5}">
            <xm:f>NOT(ISERROR(SEARCH($AN$693,N436)))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4289" operator="containsText" id="{5F426F83-A842-40B9-AB8E-BAB46B76EE09}">
            <xm:f>NOT(ISERROR(SEARCH($AN$692,N436)))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4290" operator="containsText" id="{1E3E4F63-A9C5-4010-B180-D0F4A14D4345}">
            <xm:f>NOT(ISERROR(SEARCH($AN$691,N436)))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4291" operator="containsText" id="{CBFF4A82-BC61-4EB4-8A92-B422C7621BB5}">
            <xm:f>NOT(ISERROR(SEARCH($AN$689,N436)))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4292" operator="containsText" id="{128D77B3-5DB3-4B0A-800E-B40BF2B9492C}">
            <xm:f>NOT(ISERROR(SEARCH($AN$687,N436)))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4293" operator="containsText" id="{DB66A21B-2FFC-4815-BF1E-5A763258C6B9}">
            <xm:f>NOT(ISERROR(SEARCH($AN$688,N436)))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4294" operator="containsText" id="{1DDE23A2-0A4E-4F2E-814B-464946221FDD}">
            <xm:f>NOT(ISERROR(SEARCH($AN$686,N436)))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295" operator="containsText" id="{2285A5ED-0F4C-49D1-9BE9-BACA8E1D7D80}">
            <xm:f>NOT(ISERROR(SEARCH($AN$685,N436)))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4296" operator="containsText" id="{9AB6E5FC-48C5-48D6-875F-EF466FB71CBA}">
            <xm:f>NOT(ISERROR(SEARCH($AN$684,N436)))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297" operator="containsText" id="{2AC5072A-72D1-416A-A927-1716651442AB}">
            <xm:f>NOT(ISERROR(SEARCH($AN$683,N436)))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4298" operator="containsText" id="{D2CCB4B6-26B0-4B77-A808-98FEFD8A5B5B}">
            <xm:f>NOT(ISERROR(SEARCH($AN$682,N436)))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4299" operator="containsText" id="{82AAC11F-A3E5-4B12-9198-306210DECF69}">
            <xm:f>NOT(ISERROR(SEARCH($AN$681,N436)))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4300" operator="containsText" id="{F7F35E65-D0D3-4173-A6AA-1D83FB6486D4}">
            <xm:f>NOT(ISERROR(SEARCH($AN$680,N436)))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4301" operator="containsText" id="{AAB9AC75-363C-44A6-A2EE-3C47DAED1EAB}">
            <xm:f>NOT(ISERROR(SEARCH($AN$678,N436)))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4302" operator="containsText" id="{5DBDB277-1FC0-4FA2-A439-685003E40355}">
            <xm:f>NOT(ISERROR(SEARCH($AN$679,N436)))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N436:P439</xm:sqref>
        </x14:conditionalFormatting>
        <x14:conditionalFormatting xmlns:xm="http://schemas.microsoft.com/office/excel/2006/main">
          <x14:cfRule type="containsText" priority="24244" operator="containsText" id="{5E2EB309-79CF-429E-B19C-419ED5ADC765}">
            <xm:f>NOT(ISERROR(SEARCH($AN$681,H442)))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N442:P450 H451:P477</xm:sqref>
        </x14:conditionalFormatting>
        <x14:conditionalFormatting xmlns:xm="http://schemas.microsoft.com/office/excel/2006/main">
          <x14:cfRule type="containsText" priority="23876" operator="containsText" id="{4A495F15-FB68-4D72-A043-ABE3D2569750}">
            <xm:f>NOT(ISERROR(SEARCH($AN$690,N532)))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3877" operator="containsText" id="{09F1758A-3CBF-49AD-8F99-778C111C44DE}">
            <xm:f>NOT(ISERROR(SEARCH($AN$704,N532)))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3878" operator="containsText" id="{8C6C4826-DB00-4640-B1C9-FD9F8E0D0DF6}">
            <xm:f>NOT(ISERROR(SEARCH($AN$693,N532)))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3879" operator="containsText" id="{9777D724-D9F7-4329-A31E-4AAB30B23C9F}">
            <xm:f>NOT(ISERROR(SEARCH($AN$692,N532)))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3880" operator="containsText" id="{09486A2D-3672-405F-B688-BF15D52ED262}">
            <xm:f>NOT(ISERROR(SEARCH($AN$691,N532)))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3881" operator="containsText" id="{1E838D6F-EE16-4631-85DE-D8A542643C58}">
            <xm:f>NOT(ISERROR(SEARCH($AN$689,N532)))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882" operator="containsText" id="{E71E3C1A-720E-4477-AC31-520CD1DD6B6C}">
            <xm:f>NOT(ISERROR(SEARCH($AN$687,N532)))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883" operator="containsText" id="{37EB5EA2-8621-4C27-8BAE-99EE4E200724}">
            <xm:f>NOT(ISERROR(SEARCH($AN$688,N532)))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884" operator="containsText" id="{FD1A16E9-358B-434E-BD5F-453D039854C4}">
            <xm:f>NOT(ISERROR(SEARCH($AN$686,N532)))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885" operator="containsText" id="{98C51F2B-8BE5-46BF-9663-70F07A976865}">
            <xm:f>NOT(ISERROR(SEARCH($AN$685,N532)))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886" operator="containsText" id="{D64CCC45-C778-4FDA-9175-7998A882D999}">
            <xm:f>NOT(ISERROR(SEARCH($AN$684,N532)))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887" operator="containsText" id="{15348951-B79F-4C83-A843-F58F1FB17384}">
            <xm:f>NOT(ISERROR(SEARCH($AN$683,N532)))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888" operator="containsText" id="{1B011B61-47BE-408F-970A-263DF78000BE}">
            <xm:f>NOT(ISERROR(SEARCH($AN$682,N532)))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889" operator="containsText" id="{7A6883EA-D32B-4293-AED3-ED8CB3546CDF}">
            <xm:f>NOT(ISERROR(SEARCH($AN$681,N532)))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890" operator="containsText" id="{D2B52DEF-14DB-4314-A859-9ED04A3C10D2}">
            <xm:f>NOT(ISERROR(SEARCH($AN$680,N532)))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891" operator="containsText" id="{1DCC7685-EA86-4F22-B639-4BEF9AC83340}">
            <xm:f>NOT(ISERROR(SEARCH($AN$678,N532)))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892" operator="containsText" id="{F38633AB-43A9-4521-B5D1-8465FC3FF00A}">
            <xm:f>NOT(ISERROR(SEARCH($AN$679,N532)))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N532:P535</xm:sqref>
        </x14:conditionalFormatting>
        <x14:conditionalFormatting xmlns:xm="http://schemas.microsoft.com/office/excel/2006/main">
          <x14:cfRule type="containsText" priority="23834" operator="containsText" id="{4866F4BB-40F4-4224-B918-17AD94FFBB47}">
            <xm:f>NOT(ISERROR(SEARCH($AN$681,H538)))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N538:P546 H547:P573</xm:sqref>
        </x14:conditionalFormatting>
        <x14:conditionalFormatting xmlns:xm="http://schemas.microsoft.com/office/excel/2006/main">
          <x14:cfRule type="containsText" priority="23466" operator="containsText" id="{7EA596DC-75CF-4B51-A355-E77386081C53}">
            <xm:f>NOT(ISERROR(SEARCH($AN$690,N628)))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3467" operator="containsText" id="{605BAA51-E4A3-40AA-93C5-53010BDEB13D}">
            <xm:f>NOT(ISERROR(SEARCH($AN$704,N628)))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3468" operator="containsText" id="{A5FC6026-7933-479F-83AC-2C6DE1152DAC}">
            <xm:f>NOT(ISERROR(SEARCH($AN$693,N628)))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3469" operator="containsText" id="{F33C3D70-C68A-44C3-9D91-C41E3FDBB7F3}">
            <xm:f>NOT(ISERROR(SEARCH($AN$692,N628)))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3470" operator="containsText" id="{8BB61178-59B0-44DB-82EA-2D45C4389A49}">
            <xm:f>NOT(ISERROR(SEARCH($AN$691,N628)))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3471" operator="containsText" id="{73E82468-BE7E-406F-AF4B-16ADE6B6088D}">
            <xm:f>NOT(ISERROR(SEARCH($AN$689,N628)))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472" operator="containsText" id="{F4A3A263-7F55-48F7-B467-B1A5B9F7A70A}">
            <xm:f>NOT(ISERROR(SEARCH($AN$687,N628)))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473" operator="containsText" id="{006EFA2E-8A9C-49E3-A4B7-557254B9CD18}">
            <xm:f>NOT(ISERROR(SEARCH($AN$688,N628)))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474" operator="containsText" id="{9FEB2E31-E001-4B89-AD07-13AAF9ABCDF4}">
            <xm:f>NOT(ISERROR(SEARCH($AN$686,N628)))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475" operator="containsText" id="{7C8D83EF-3CB3-435E-A629-75382C7618B6}">
            <xm:f>NOT(ISERROR(SEARCH($AN$685,N628)))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476" operator="containsText" id="{D5E7BC41-A813-4919-AE69-02AD6EF8CD94}">
            <xm:f>NOT(ISERROR(SEARCH($AN$684,N628)))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477" operator="containsText" id="{E012CA86-D2CA-461A-82B6-6E247B73B1C9}">
            <xm:f>NOT(ISERROR(SEARCH($AN$683,N628)))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478" operator="containsText" id="{E46C8C6B-F947-42B9-BE68-5949BC5B29DA}">
            <xm:f>NOT(ISERROR(SEARCH($AN$682,N628)))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479" operator="containsText" id="{BB1C8110-E9A7-463C-8ED3-DDAD073BB75C}">
            <xm:f>NOT(ISERROR(SEARCH($AN$681,N628)))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480" operator="containsText" id="{1D7C76C9-2BF8-412D-AD2E-E8142370DD9C}">
            <xm:f>NOT(ISERROR(SEARCH($AN$680,N628)))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481" operator="containsText" id="{DEE8D5C8-F366-4340-BE51-9C6516471443}">
            <xm:f>NOT(ISERROR(SEARCH($AN$678,N628)))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482" operator="containsText" id="{A9686EFB-B466-4BF2-B5DD-A7C5188A4178}">
            <xm:f>NOT(ISERROR(SEARCH($AN$679,N628)))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N628:P631</xm:sqref>
        </x14:conditionalFormatting>
        <x14:conditionalFormatting xmlns:xm="http://schemas.microsoft.com/office/excel/2006/main">
          <x14:cfRule type="containsText" priority="23424" operator="containsText" id="{49AC2006-DAC1-4FCD-A364-230EEFABB391}">
            <xm:f>NOT(ISERROR(SEARCH($AN$681,H634)))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N634:P642 H643:P669</xm:sqref>
        </x14:conditionalFormatting>
        <x14:conditionalFormatting xmlns:xm="http://schemas.microsoft.com/office/excel/2006/main">
          <x14:cfRule type="containsText" priority="23056" operator="containsText" id="{0E7317E4-121C-4377-A498-0A9D4CE816E2}">
            <xm:f>NOT(ISERROR(SEARCH($AN$690,N724)))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3057" operator="containsText" id="{FD0B7F9D-5CC9-4CF6-91B4-D69169D1F3A3}">
            <xm:f>NOT(ISERROR(SEARCH($AN$704,N724)))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3058" operator="containsText" id="{15E2B247-81E1-4735-941B-0B3DF940A285}">
            <xm:f>NOT(ISERROR(SEARCH($AN$693,N724)))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3059" operator="containsText" id="{BDB4B692-104F-458A-AFB5-7586AEB478CC}">
            <xm:f>NOT(ISERROR(SEARCH($AN$692,N724)))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3060" operator="containsText" id="{F78F37B1-79EF-48F0-8F14-6835480A5D64}">
            <xm:f>NOT(ISERROR(SEARCH($AN$691,N724)))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3061" operator="containsText" id="{FBF4E26D-4EF3-492F-B0CE-30DD907B5603}">
            <xm:f>NOT(ISERROR(SEARCH($AN$689,N724)))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062" operator="containsText" id="{CA137778-E1FF-48CA-A6BF-FB1211B37B6F}">
            <xm:f>NOT(ISERROR(SEARCH($AN$687,N724)))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063" operator="containsText" id="{052AB313-76EB-4BD6-B6DA-C313F935DFBC}">
            <xm:f>NOT(ISERROR(SEARCH($AN$688,N724)))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064" operator="containsText" id="{D3A5FA92-7686-4B7B-A137-79E267C398B3}">
            <xm:f>NOT(ISERROR(SEARCH($AN$686,N724)))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065" operator="containsText" id="{9BBF2434-EE93-4FFD-B506-41636171E0BF}">
            <xm:f>NOT(ISERROR(SEARCH($AN$685,N724)))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066" operator="containsText" id="{F77EAA13-E84F-4B3E-A141-D155FF618B4F}">
            <xm:f>NOT(ISERROR(SEARCH($AN$684,N724)))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067" operator="containsText" id="{D99C550B-CB5D-427E-8502-ED87A811670E}">
            <xm:f>NOT(ISERROR(SEARCH($AN$683,N724)))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068" operator="containsText" id="{50DF468E-FFEE-4584-841A-0620A9070849}">
            <xm:f>NOT(ISERROR(SEARCH($AN$682,N724)))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069" operator="containsText" id="{91A36895-2154-46BC-AD3B-AB63F22F59BA}">
            <xm:f>NOT(ISERROR(SEARCH($AN$681,N724)))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070" operator="containsText" id="{A9E5D315-BCFF-44BC-8989-82706A6D2614}">
            <xm:f>NOT(ISERROR(SEARCH($AN$680,N724)))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071" operator="containsText" id="{A3A5D208-F6E9-497B-AB93-41066FA8B02A}">
            <xm:f>NOT(ISERROR(SEARCH($AN$678,N724)))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072" operator="containsText" id="{16C17B64-BE7C-40BF-BE66-742C1CFBD0C8}">
            <xm:f>NOT(ISERROR(SEARCH($AN$679,N724)))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N724:P727</xm:sqref>
        </x14:conditionalFormatting>
        <x14:conditionalFormatting xmlns:xm="http://schemas.microsoft.com/office/excel/2006/main">
          <x14:cfRule type="containsText" priority="23001" operator="containsText" id="{5E4622E8-1664-4344-8179-225399C36083}">
            <xm:f>NOT(ISERROR(SEARCH($AN$690,H730)))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3002" operator="containsText" id="{7FFE5A78-DAE2-43FC-AF13-FC5394EA6F04}">
            <xm:f>NOT(ISERROR(SEARCH($AN$704,H730)))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3003" operator="containsText" id="{8936A132-4571-4311-B1EF-6ABB8F97F3F8}">
            <xm:f>NOT(ISERROR(SEARCH($AN$693,H730)))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3004" operator="containsText" id="{729B2B5C-C7DB-40F2-974A-A780A7F78012}">
            <xm:f>NOT(ISERROR(SEARCH($AN$692,H730)))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3005" operator="containsText" id="{55BD9C87-2EB5-4170-B05D-FE5842C8B0C9}">
            <xm:f>NOT(ISERROR(SEARCH($AN$691,H730)))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3006" operator="containsText" id="{0266160C-5422-41FD-BACA-EBEDDB57BE2F}">
            <xm:f>NOT(ISERROR(SEARCH($AN$689,H730)))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007" operator="containsText" id="{A8B26414-9CDB-4344-BCB2-1CB9C8D74D2F}">
            <xm:f>NOT(ISERROR(SEARCH($AN$687,H730)))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014" operator="containsText" id="{4B7F0FB7-6784-47E0-A311-D384421D0E6A}">
            <xm:f>NOT(ISERROR(SEARCH($AN$681,H730)))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N730:P738 H739:P765</xm:sqref>
        </x14:conditionalFormatting>
        <x14:conditionalFormatting xmlns:xm="http://schemas.microsoft.com/office/excel/2006/main">
          <x14:cfRule type="containsText" priority="5304" operator="containsText" id="{C6CDBE56-7192-45C5-8B32-6F0C8ACEBD52}">
            <xm:f>NOT(ISERROR(SEARCH($AN$690,N56)))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305" operator="containsText" id="{2D3EE94C-FCAB-4C01-901C-4817FC7E00FA}">
            <xm:f>NOT(ISERROR(SEARCH($AN$704,N56)))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610" operator="containsText" id="{5E12F59B-99C7-430E-953D-549F85CAEE80}">
            <xm:f>NOT(ISERROR(SEARCH($AN$693,N56)))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611" operator="containsText" id="{A9F9D811-FA22-44C1-BE06-7252F606F9F6}">
            <xm:f>NOT(ISERROR(SEARCH($AN$692,N56)))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612" operator="containsText" id="{A5A4EB51-645C-4FF4-9240-E4129D995327}">
            <xm:f>NOT(ISERROR(SEARCH($AN$691,N56)))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613" operator="containsText" id="{B3340D3C-9EA8-43C7-BFA7-3BEB3EE8FA51}">
            <xm:f>NOT(ISERROR(SEARCH($AN$689,N56)))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614" operator="containsText" id="{D8312C87-78D0-4812-8967-B4DDCF5A5C4E}">
            <xm:f>NOT(ISERROR(SEARCH($AN$687,N56)))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615" operator="containsText" id="{18710DC8-A19C-4D09-B7FC-056F825B4109}">
            <xm:f>NOT(ISERROR(SEARCH($AN$688,N56)))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616" operator="containsText" id="{5D6463D6-8FF4-489E-8F88-EB23D2B15219}">
            <xm:f>NOT(ISERROR(SEARCH($AN$686,N56)))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617" operator="containsText" id="{7E3156FE-54DE-4091-8875-C62DAEA9A0F1}">
            <xm:f>NOT(ISERROR(SEARCH($AN$685,N56)))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618" operator="containsText" id="{96463F4B-8FE4-4B5C-A991-09CAE6E02374}">
            <xm:f>NOT(ISERROR(SEARCH($AN$684,N56)))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619" operator="containsText" id="{8E2D5578-F5B7-4199-A9B3-A5E56C08C5D3}">
            <xm:f>NOT(ISERROR(SEARCH($AN$683,N56)))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620" operator="containsText" id="{B343D017-C4F9-43A9-8FDF-A6E283976947}">
            <xm:f>NOT(ISERROR(SEARCH($AN$682,N56)))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621" operator="containsText" id="{CF1C0643-32E5-4D63-8D7B-CB72225FC5DD}">
            <xm:f>NOT(ISERROR(SEARCH($AN$681,N56)))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622" operator="containsText" id="{41455E76-15ED-4DF5-A759-B4F625E946E0}">
            <xm:f>NOT(ISERROR(SEARCH($AN$680,N56)))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623" operator="containsText" id="{45F7360B-E627-4452-903C-CF187C48BBAA}">
            <xm:f>NOT(ISERROR(SEARCH($AN$678,N56)))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624" operator="containsText" id="{F3F7C553-7AB3-4574-A562-011539BBD9E8}">
            <xm:f>NOT(ISERROR(SEARCH($AN$679,N56)))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N56:U57</xm:sqref>
        </x14:conditionalFormatting>
        <x14:conditionalFormatting xmlns:xm="http://schemas.microsoft.com/office/excel/2006/main">
          <x14:cfRule type="containsText" priority="5393" operator="containsText" id="{53C57FEA-6913-40EC-8BFF-9ECBBB4C2C61}">
            <xm:f>NOT(ISERROR(SEARCH($AN$690,N152)))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394" operator="containsText" id="{6F449F95-414A-4E93-B4A7-2CC61D0825B6}">
            <xm:f>NOT(ISERROR(SEARCH($AN$704,N152)))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200" operator="containsText" id="{58420238-C558-42C6-95B3-613539B2B93D}">
            <xm:f>NOT(ISERROR(SEARCH($AN$693,N152)))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201" operator="containsText" id="{AAD46658-1E11-4D97-BC22-356CB0E6F81F}">
            <xm:f>NOT(ISERROR(SEARCH($AN$692,N152)))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202" operator="containsText" id="{45B7BDC9-84C3-44A2-A93D-D69A55709954}">
            <xm:f>NOT(ISERROR(SEARCH($AN$691,N152)))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203" operator="containsText" id="{3319F050-A3A5-430B-B7E9-FB0767471791}">
            <xm:f>NOT(ISERROR(SEARCH($AN$689,N152)))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204" operator="containsText" id="{2C61109F-4250-4E24-B807-04554835A5AF}">
            <xm:f>NOT(ISERROR(SEARCH($AN$687,N152)))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205" operator="containsText" id="{5B672010-4597-432D-A764-ECE66E8A8929}">
            <xm:f>NOT(ISERROR(SEARCH($AN$688,N152)))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206" operator="containsText" id="{0546BB5E-63E8-4EAA-BBF1-A4D905255765}">
            <xm:f>NOT(ISERROR(SEARCH($AN$686,N152)))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207" operator="containsText" id="{C8EDEE3D-B9B0-4630-BDEE-997A7B9C7C9A}">
            <xm:f>NOT(ISERROR(SEARCH($AN$685,N152)))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208" operator="containsText" id="{6581035A-9541-45CB-AFB5-39F5F2BED3CC}">
            <xm:f>NOT(ISERROR(SEARCH($AN$684,N152)))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209" operator="containsText" id="{48FD5440-C84A-494F-9F96-52086837E4C7}">
            <xm:f>NOT(ISERROR(SEARCH($AN$683,N152)))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210" operator="containsText" id="{DFB651FA-1A9C-484B-9F07-DECFD7875137}">
            <xm:f>NOT(ISERROR(SEARCH($AN$682,N152)))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211" operator="containsText" id="{44B02D2D-56AE-4764-A308-7FBFE5A8A024}">
            <xm:f>NOT(ISERROR(SEARCH($AN$681,N152)))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212" operator="containsText" id="{FBF87806-4F26-4373-B785-CFA855146143}">
            <xm:f>NOT(ISERROR(SEARCH($AN$680,N152)))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213" operator="containsText" id="{2B86069F-B6F6-47BF-81AB-8AFA5FBB1B65}">
            <xm:f>NOT(ISERROR(SEARCH($AN$678,N152)))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214" operator="containsText" id="{A1EF9D15-2D52-4AF7-988B-656C6E7ECC18}">
            <xm:f>NOT(ISERROR(SEARCH($AN$679,N152)))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N152:U153</xm:sqref>
        </x14:conditionalFormatting>
        <x14:conditionalFormatting xmlns:xm="http://schemas.microsoft.com/office/excel/2006/main">
          <x14:cfRule type="containsText" priority="5482" operator="containsText" id="{FF10CBA6-617C-4008-90E1-2A7B60EB9650}">
            <xm:f>NOT(ISERROR(SEARCH($AN$690,N248)))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483" operator="containsText" id="{5172F941-C3FC-492D-823E-C012ED25E461}">
            <xm:f>NOT(ISERROR(SEARCH($AN$704,N248)))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1790" operator="containsText" id="{5BA9B47D-1DA8-41DB-9522-2D6E661EDC59}">
            <xm:f>NOT(ISERROR(SEARCH($AN$693,N248)))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1791" operator="containsText" id="{98525F8D-34B4-4F1C-8F38-66BA3586B3DF}">
            <xm:f>NOT(ISERROR(SEARCH($AN$692,N248)))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792" operator="containsText" id="{A2C0F57C-D231-4143-8140-348E76EFCCE5}">
            <xm:f>NOT(ISERROR(SEARCH($AN$691,N248)))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1793" operator="containsText" id="{7931FF62-5C42-492E-B71F-8ABE9FE9BB82}">
            <xm:f>NOT(ISERROR(SEARCH($AN$689,N248)))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1794" operator="containsText" id="{33FCA4CB-5A4E-4C14-BA5D-BC3EDC7C8A2A}">
            <xm:f>NOT(ISERROR(SEARCH($AN$687,N248)))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795" operator="containsText" id="{58E97F77-318F-4F4D-B611-7DCCCF297063}">
            <xm:f>NOT(ISERROR(SEARCH($AN$688,N248)))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796" operator="containsText" id="{1C6A7350-EA34-4D70-9AEC-64F219D01F6F}">
            <xm:f>NOT(ISERROR(SEARCH($AN$686,N248)))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797" operator="containsText" id="{72AB1D8D-B6E3-42E1-BBB5-194B3F41407B}">
            <xm:f>NOT(ISERROR(SEARCH($AN$685,N248)))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798" operator="containsText" id="{914649BE-8594-428E-A121-A7EDD3B73651}">
            <xm:f>NOT(ISERROR(SEARCH($AN$684,N248)))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799" operator="containsText" id="{E7C6665D-97EB-4829-8388-4B26AD76FFBE}">
            <xm:f>NOT(ISERROR(SEARCH($AN$683,N248)))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800" operator="containsText" id="{546CF6CF-3E5B-40AA-9506-56A63D8A54B5}">
            <xm:f>NOT(ISERROR(SEARCH($AN$682,N248)))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1801" operator="containsText" id="{71D108B7-526B-4286-9D5B-0385C8EF1632}">
            <xm:f>NOT(ISERROR(SEARCH($AN$681,N248)))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802" operator="containsText" id="{8C08A1B0-42D2-4F61-80DD-ACAAC1409776}">
            <xm:f>NOT(ISERROR(SEARCH($AN$680,N248)))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803" operator="containsText" id="{DA6C7005-AF2F-41B4-9CD4-C801FCCBF738}">
            <xm:f>NOT(ISERROR(SEARCH($AN$678,N248)))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804" operator="containsText" id="{05B192C4-3263-485B-8B6C-DB67968A92CE}">
            <xm:f>NOT(ISERROR(SEARCH($AN$679,N248)))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N248:U249</xm:sqref>
        </x14:conditionalFormatting>
        <x14:conditionalFormatting xmlns:xm="http://schemas.microsoft.com/office/excel/2006/main">
          <x14:cfRule type="containsText" priority="9452" operator="containsText" id="{F830070D-D883-4195-866F-D30495147A5A}">
            <xm:f>NOT(ISERROR(SEARCH($AN$690,N344)))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9453" operator="containsText" id="{1DEEB97E-BEAE-403D-943A-D9F05294A06D}">
            <xm:f>NOT(ISERROR(SEARCH($AN$704,N344)))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454" operator="containsText" id="{8B0204E0-7763-48CC-9F9E-FB9239296CAF}">
            <xm:f>NOT(ISERROR(SEARCH($AN$693,N344)))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9455" operator="containsText" id="{F3A38CF2-EEE0-4FE5-8BD0-654C4F1F629D}">
            <xm:f>NOT(ISERROR(SEARCH($AN$692,N344)))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456" operator="containsText" id="{ED61D1F6-094D-4006-99F8-B473CA6B4E16}">
            <xm:f>NOT(ISERROR(SEARCH($AN$691,N344)))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m:sqref>N344:U345</xm:sqref>
        </x14:conditionalFormatting>
        <x14:conditionalFormatting xmlns:xm="http://schemas.microsoft.com/office/excel/2006/main">
          <x14:cfRule type="containsText" priority="9299" operator="containsText" id="{D9F106FF-AA49-46E6-BEDF-DF600F58C3A1}">
            <xm:f>NOT(ISERROR(SEARCH($AN$690,N440)))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9300" operator="containsText" id="{371D72EE-9B33-46AC-9F8B-ABA28BE3B882}">
            <xm:f>NOT(ISERROR(SEARCH($AN$704,N440)))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301" operator="containsText" id="{BF0AFF99-0413-479A-8DF3-59358E77BDED}">
            <xm:f>NOT(ISERROR(SEARCH($AN$693,N440)))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9302" operator="containsText" id="{BD8F62CA-8877-43D7-BB06-32C365C2710C}">
            <xm:f>NOT(ISERROR(SEARCH($AN$692,N440)))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303" operator="containsText" id="{B6B3DA0D-40B6-41BA-A2EE-F920173897CB}">
            <xm:f>NOT(ISERROR(SEARCH($AN$691,N440)))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9304" operator="containsText" id="{D620D8A8-7BD3-47EF-909C-4002D0306BDF}">
            <xm:f>NOT(ISERROR(SEARCH($AN$689,N440)))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4254" operator="containsText" id="{E523CB26-886D-4911-BD7B-6DFD67311223}">
            <xm:f>NOT(ISERROR(SEARCH($AN$687,N440)))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4255" operator="containsText" id="{FF0608F2-42C0-473D-B35D-DE4158F47122}">
            <xm:f>NOT(ISERROR(SEARCH($AN$688,N440)))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4256" operator="containsText" id="{8A679616-42DF-4C7B-A9DD-17234B121B53}">
            <xm:f>NOT(ISERROR(SEARCH($AN$686,N440)))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257" operator="containsText" id="{6539E16E-05C3-4D65-9E75-40FDE6FFCC83}">
            <xm:f>NOT(ISERROR(SEARCH($AN$685,N440)))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4258" operator="containsText" id="{D94F40A1-216F-46EA-BD53-794C4F5BFE9C}">
            <xm:f>NOT(ISERROR(SEARCH($AN$684,N440)))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259" operator="containsText" id="{E9882ADA-8FED-467E-88C8-5EBBA3B8B22E}">
            <xm:f>NOT(ISERROR(SEARCH($AN$683,N440)))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4260" operator="containsText" id="{2F3FD682-98BE-491C-A56A-18EC5BB6F126}">
            <xm:f>NOT(ISERROR(SEARCH($AN$682,N440)))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4261" operator="containsText" id="{C29DB355-22C6-45BD-94A9-EEBD5B329A2F}">
            <xm:f>NOT(ISERROR(SEARCH($AN$681,N440)))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4262" operator="containsText" id="{B0D15D14-DD54-4D28-88EC-5ADF3C55E243}">
            <xm:f>NOT(ISERROR(SEARCH($AN$680,N440)))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4263" operator="containsText" id="{D9F337B8-DAF2-4871-BFEA-D7C5AEFA3446}">
            <xm:f>NOT(ISERROR(SEARCH($AN$678,N440)))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4264" operator="containsText" id="{16E5CDE8-54ED-4E8A-9167-C8264FB7AE03}">
            <xm:f>NOT(ISERROR(SEARCH($AN$679,N440)))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N440:U441</xm:sqref>
        </x14:conditionalFormatting>
        <x14:conditionalFormatting xmlns:xm="http://schemas.microsoft.com/office/excel/2006/main">
          <x14:cfRule type="containsText" priority="9146" operator="containsText" id="{3CA8DCE0-0886-4868-8F18-BDDEBEB299C1}">
            <xm:f>NOT(ISERROR(SEARCH($AN$690,N536)))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9147" operator="containsText" id="{8F0E202F-D961-4DF6-A6B2-B1A020A5E6F1}">
            <xm:f>NOT(ISERROR(SEARCH($AN$704,N536)))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148" operator="containsText" id="{EE549755-9D2F-46E8-B5AB-07C812D3C135}">
            <xm:f>NOT(ISERROR(SEARCH($AN$693,N536)))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9149" operator="containsText" id="{01EA76D9-74A9-426B-A97C-CED3D5590A83}">
            <xm:f>NOT(ISERROR(SEARCH($AN$692,N536)))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150" operator="containsText" id="{C72D070F-D260-4C04-B4AE-940999897FD4}">
            <xm:f>NOT(ISERROR(SEARCH($AN$691,N536)))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9151" operator="containsText" id="{0DECD7C4-01BF-4220-A283-B27310C89D24}">
            <xm:f>NOT(ISERROR(SEARCH($AN$689,N536)))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844" operator="containsText" id="{ABEC27DD-2DF9-4249-894E-F440FECD25E3}">
            <xm:f>NOT(ISERROR(SEARCH($AN$687,N536)))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845" operator="containsText" id="{5E29ADC2-54BB-4807-9435-C71013A193A9}">
            <xm:f>NOT(ISERROR(SEARCH($AN$688,N536)))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846" operator="containsText" id="{8D564B67-EAD9-478B-B33C-4E41023073C4}">
            <xm:f>NOT(ISERROR(SEARCH($AN$686,N536)))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847" operator="containsText" id="{05B06C8B-4B40-4295-92EE-A2BCD8F00205}">
            <xm:f>NOT(ISERROR(SEARCH($AN$685,N536)))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848" operator="containsText" id="{43BA10A3-BFA6-400B-AC76-751CD81E2C26}">
            <xm:f>NOT(ISERROR(SEARCH($AN$684,N536)))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849" operator="containsText" id="{5212AFE3-5F80-4DD2-BA1E-7CC16C369899}">
            <xm:f>NOT(ISERROR(SEARCH($AN$683,N536)))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850" operator="containsText" id="{72F953DD-029A-4F7C-845C-BB8B13FAE129}">
            <xm:f>NOT(ISERROR(SEARCH($AN$682,N536)))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851" operator="containsText" id="{A9BB117A-DCC7-4F6F-9BA2-ADB6B3B175B0}">
            <xm:f>NOT(ISERROR(SEARCH($AN$681,N536)))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852" operator="containsText" id="{4D1C8582-D9A7-420E-9A41-ADCD6E7FAC25}">
            <xm:f>NOT(ISERROR(SEARCH($AN$680,N536)))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853" operator="containsText" id="{DCDBB0AF-9FC3-4E76-A289-A7E63565D3AF}">
            <xm:f>NOT(ISERROR(SEARCH($AN$678,N536)))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854" operator="containsText" id="{FCD1B32E-96AD-4D7B-96BD-AE67488C5BC1}">
            <xm:f>NOT(ISERROR(SEARCH($AN$679,N536)))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N536:U537</xm:sqref>
        </x14:conditionalFormatting>
        <x14:conditionalFormatting xmlns:xm="http://schemas.microsoft.com/office/excel/2006/main">
          <x14:cfRule type="containsText" priority="8993" operator="containsText" id="{32B2A4F6-60A4-4106-8036-AEE1536A0E19}">
            <xm:f>NOT(ISERROR(SEARCH($AN$690,N632)))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8994" operator="containsText" id="{725BBF12-47DA-4781-8837-30AE2E4BE41D}">
            <xm:f>NOT(ISERROR(SEARCH($AN$704,N632)))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8995" operator="containsText" id="{C08C8376-6D53-451E-B8AD-0F7DEFEA58BF}">
            <xm:f>NOT(ISERROR(SEARCH($AN$693,N632)))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8996" operator="containsText" id="{D301EB0C-A795-466C-BFCC-CB1B4D17E424}">
            <xm:f>NOT(ISERROR(SEARCH($AN$692,N632)))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997" operator="containsText" id="{11802CC1-AAAC-4F07-95AD-363F94CB8E05}">
            <xm:f>NOT(ISERROR(SEARCH($AN$691,N632)))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8998" operator="containsText" id="{3EA65DEE-C1BF-4E39-9A68-D2759FFD5F4B}">
            <xm:f>NOT(ISERROR(SEARCH($AN$689,N632)))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434" operator="containsText" id="{EF15057E-8CF7-47E4-8617-889E66BA14FB}">
            <xm:f>NOT(ISERROR(SEARCH($AN$687,N632)))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435" operator="containsText" id="{0F31E8B8-268E-49A5-9E12-36C13011241D}">
            <xm:f>NOT(ISERROR(SEARCH($AN$688,N632)))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436" operator="containsText" id="{3740A629-8EAC-4103-B424-482746FC5B5B}">
            <xm:f>NOT(ISERROR(SEARCH($AN$686,N632)))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437" operator="containsText" id="{08461013-1897-48EF-A18E-FDFAD1142308}">
            <xm:f>NOT(ISERROR(SEARCH($AN$685,N632)))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438" operator="containsText" id="{7A257AF7-9E4C-4714-B1E0-7FEF53E7E16B}">
            <xm:f>NOT(ISERROR(SEARCH($AN$684,N632)))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439" operator="containsText" id="{03D85DF3-043F-4B46-B314-4FF5F558BED5}">
            <xm:f>NOT(ISERROR(SEARCH($AN$683,N632)))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440" operator="containsText" id="{8F27FE79-0D82-4FCF-B09E-63502B9D91DB}">
            <xm:f>NOT(ISERROR(SEARCH($AN$682,N632)))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441" operator="containsText" id="{04A882BA-4127-4E12-BEAD-2696B2DBAADE}">
            <xm:f>NOT(ISERROR(SEARCH($AN$681,N632)))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442" operator="containsText" id="{C44BBBEB-0567-43FA-8326-68B40F3E70EB}">
            <xm:f>NOT(ISERROR(SEARCH($AN$680,N632)))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443" operator="containsText" id="{ADD56F36-039B-4E02-9933-04056DE3550F}">
            <xm:f>NOT(ISERROR(SEARCH($AN$678,N632)))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444" operator="containsText" id="{CDBDC3F0-48F1-468C-B8A9-0DB48A46EB5D}">
            <xm:f>NOT(ISERROR(SEARCH($AN$679,N632)))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N632:U633</xm:sqref>
        </x14:conditionalFormatting>
        <x14:conditionalFormatting xmlns:xm="http://schemas.microsoft.com/office/excel/2006/main">
          <x14:cfRule type="containsText" priority="8840" operator="containsText" id="{C2E1E083-61D1-447C-9817-E24E1B7A7DCF}">
            <xm:f>NOT(ISERROR(SEARCH($AN$690,N728)))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8841" operator="containsText" id="{7012D34E-18D5-4B59-8F6E-6BE88AF13F21}">
            <xm:f>NOT(ISERROR(SEARCH($AN$704,N728)))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8842" operator="containsText" id="{0E39A582-3DF2-470E-BBC9-D777E3A70E48}">
            <xm:f>NOT(ISERROR(SEARCH($AN$693,N728)))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8843" operator="containsText" id="{2B8EECAD-95BC-4753-B153-673FAEB82E4C}">
            <xm:f>NOT(ISERROR(SEARCH($AN$692,N728)))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844" operator="containsText" id="{C308DAB5-594C-4498-823C-F5883B6ACE37}">
            <xm:f>NOT(ISERROR(SEARCH($AN$691,N728)))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8845" operator="containsText" id="{B6DCCD33-2563-4BBB-B6F6-7FB0C6A5E87A}">
            <xm:f>NOT(ISERROR(SEARCH($AN$689,N728)))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024" operator="containsText" id="{CB68AE8B-8605-4FE2-ACEA-7E64BD3F98EB}">
            <xm:f>NOT(ISERROR(SEARCH($AN$687,N728)))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025" operator="containsText" id="{C40A5789-AF99-4AE0-BFE2-609D3566EC62}">
            <xm:f>NOT(ISERROR(SEARCH($AN$688,N728)))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026" operator="containsText" id="{8CAD34EF-B3D7-421C-A8C9-C74BB9670369}">
            <xm:f>NOT(ISERROR(SEARCH($AN$686,N728)))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027" operator="containsText" id="{911C8802-E491-4775-BC45-344834B44B2E}">
            <xm:f>NOT(ISERROR(SEARCH($AN$685,N728)))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028" operator="containsText" id="{1EC05AC4-CBAE-4265-9352-0BA5A9140A11}">
            <xm:f>NOT(ISERROR(SEARCH($AN$684,N728)))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029" operator="containsText" id="{D0AFD811-8AD5-4502-A4D0-9A45EC0573CA}">
            <xm:f>NOT(ISERROR(SEARCH($AN$683,N728)))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030" operator="containsText" id="{516E7BF8-747D-45DF-BEBF-F7519B4B2FBB}">
            <xm:f>NOT(ISERROR(SEARCH($AN$682,N728)))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031" operator="containsText" id="{517D2DE3-C063-44F0-B846-5A55BE182DCD}">
            <xm:f>NOT(ISERROR(SEARCH($AN$681,N728)))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032" operator="containsText" id="{C4922BFF-277D-4463-8256-DF5466399F20}">
            <xm:f>NOT(ISERROR(SEARCH($AN$680,N728)))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033" operator="containsText" id="{FC8A3491-2962-4816-8A51-EDF650E271B5}">
            <xm:f>NOT(ISERROR(SEARCH($AN$678,N728)))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034" operator="containsText" id="{F5C14E58-A474-425A-951E-7F4994DA9C29}">
            <xm:f>NOT(ISERROR(SEARCH($AN$679,N728)))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N728:U729</xm:sqref>
        </x14:conditionalFormatting>
        <x14:conditionalFormatting xmlns:xm="http://schemas.microsoft.com/office/excel/2006/main">
          <x14:cfRule type="containsText" priority="21389" operator="containsText" id="{2E98FBD5-A667-4AC1-B8AD-AF4A1ABFD949}">
            <xm:f>NOT(ISERROR(SEARCH($AN$688,H3)))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m:sqref>N41:AK51 H38:AK40 H33:X37 AD33:AF37 H3:AK32</xm:sqref>
        </x14:conditionalFormatting>
        <x14:conditionalFormatting xmlns:xm="http://schemas.microsoft.com/office/excel/2006/main">
          <x14:cfRule type="containsText" priority="16266" operator="containsText" id="{EC6DB4E1-4F6D-47B8-B45F-13112B10EC50}">
            <xm:f>NOT(ISERROR(SEARCH($AN$693,H195)))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N233:AK243 H195:AK224 H230:AK232</xm:sqref>
        </x14:conditionalFormatting>
        <x14:conditionalFormatting xmlns:xm="http://schemas.microsoft.com/office/excel/2006/main">
          <x14:cfRule type="containsText" priority="16264" operator="containsText" id="{45FDF245-6180-40A2-9A16-96C3337CB1F9}">
            <xm:f>NOT(ISERROR(SEARCH($AN$690,N233)))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6265" operator="containsText" id="{C6876A27-8D6F-4D91-B07C-90A56604350E}">
            <xm:f>NOT(ISERROR(SEARCH($AN$704,N233)))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m:sqref>N233:AK243</xm:sqref>
        </x14:conditionalFormatting>
        <x14:conditionalFormatting xmlns:xm="http://schemas.microsoft.com/office/excel/2006/main">
          <x14:cfRule type="containsText" priority="22540" operator="containsText" id="{0C3FB1C1-F24F-4AEA-8043-6F67EF8341B4}">
            <xm:f>NOT(ISERROR(SEARCH($AN$690,Q65)))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541" operator="containsText" id="{69B32D2D-B78B-4877-8544-9C9C4425403B}">
            <xm:f>NOT(ISERROR(SEARCH($AN$704,Q65)))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542" operator="containsText" id="{75DFCA9B-E0E9-4212-A198-9C0B3C2617F3}">
            <xm:f>NOT(ISERROR(SEARCH($AN$693,Q65)))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543" operator="containsText" id="{1751EE85-5844-4EB0-9392-9959996E9CE6}">
            <xm:f>NOT(ISERROR(SEARCH($AN$692,Q65)))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544" operator="containsText" id="{04E0EC55-DF86-4C78-9357-3A329754F0D1}">
            <xm:f>NOT(ISERROR(SEARCH($AN$691,Q65)))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545" operator="containsText" id="{4086699B-E8FE-404D-A47B-390C9692AED5}">
            <xm:f>NOT(ISERROR(SEARCH($AN$689,Q65)))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546" operator="containsText" id="{60A6F58F-A03D-4EC9-860C-F4D77E9E644E}">
            <xm:f>NOT(ISERROR(SEARCH($AN$687,Q65)))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547" operator="containsText" id="{C591A03E-C5B0-4007-BEFF-228688578BD4}">
            <xm:f>NOT(ISERROR(SEARCH($AN$688,Q65)))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548" operator="containsText" id="{0960A788-DB48-4F15-B11A-995B51BE8982}">
            <xm:f>NOT(ISERROR(SEARCH($AN$686,Q65)))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549" operator="containsText" id="{F08D91B7-E832-4E4D-BDB2-B3AFEA668700}">
            <xm:f>NOT(ISERROR(SEARCH($AN$685,Q65)))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550" operator="containsText" id="{88C55FD7-75F8-4D9B-BD60-04D19DC9AF97}">
            <xm:f>NOT(ISERROR(SEARCH($AN$684,Q65)))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551" operator="containsText" id="{20CF3BA6-D055-405F-9456-1B6E314976AF}">
            <xm:f>NOT(ISERROR(SEARCH($AN$683,Q65)))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552" operator="containsText" id="{C9974EC7-EE74-4268-A815-E76EB2AD7034}">
            <xm:f>NOT(ISERROR(SEARCH($AN$682,Q65)))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553" operator="containsText" id="{63BFB522-6CD9-49D1-88B2-90538F97B033}">
            <xm:f>NOT(ISERROR(SEARCH($AN$681,Q65)))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554" operator="containsText" id="{5C83A98E-4B98-4108-91FD-73E6B4855101}">
            <xm:f>NOT(ISERROR(SEARCH($AN$680,Q65)))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555" operator="containsText" id="{11DA8628-0C4C-4392-B541-9417D2562FB9}">
            <xm:f>NOT(ISERROR(SEARCH($AN$678,Q65)))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556" operator="containsText" id="{1589F1A9-A0F6-4A74-94F0-EE29E86AE4F0}">
            <xm:f>NOT(ISERROR(SEARCH($AN$679,Q65)))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Q65:U66</xm:sqref>
        </x14:conditionalFormatting>
        <x14:conditionalFormatting xmlns:xm="http://schemas.microsoft.com/office/excel/2006/main">
          <x14:cfRule type="containsText" priority="22130" operator="containsText" id="{52C3AB3B-7350-4C68-93EE-199B747769DA}">
            <xm:f>NOT(ISERROR(SEARCH($AN$690,Q161)))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131" operator="containsText" id="{46EF44B0-AFDA-4971-BAFB-5481E5E70211}">
            <xm:f>NOT(ISERROR(SEARCH($AN$704,Q161)))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132" operator="containsText" id="{8893E62B-77BB-4507-9E98-495052064F33}">
            <xm:f>NOT(ISERROR(SEARCH($AN$693,Q161)))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133" operator="containsText" id="{F0323429-42A7-4F0E-9414-BE0CE2B5E7F9}">
            <xm:f>NOT(ISERROR(SEARCH($AN$692,Q161)))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134" operator="containsText" id="{81E76CB3-7495-43FE-8081-D8370B109605}">
            <xm:f>NOT(ISERROR(SEARCH($AN$691,Q161)))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135" operator="containsText" id="{CC19603C-5B68-486F-8EF9-C9E26EBFA90A}">
            <xm:f>NOT(ISERROR(SEARCH($AN$689,Q161)))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136" operator="containsText" id="{FE1557CE-CDCB-4A12-A9A0-49ADBBBEF97E}">
            <xm:f>NOT(ISERROR(SEARCH($AN$687,Q161)))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137" operator="containsText" id="{97E663AF-C83C-474B-803D-025427BDF0BD}">
            <xm:f>NOT(ISERROR(SEARCH($AN$688,Q161)))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138" operator="containsText" id="{C3F06DE5-0AB6-4292-93F7-350BFD74DBA6}">
            <xm:f>NOT(ISERROR(SEARCH($AN$686,Q161)))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139" operator="containsText" id="{3D9CB535-D5F1-434F-B924-A885CC99E328}">
            <xm:f>NOT(ISERROR(SEARCH($AN$685,Q161)))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140" operator="containsText" id="{744D27A1-0E8B-4430-A51A-448BE038F416}">
            <xm:f>NOT(ISERROR(SEARCH($AN$684,Q161)))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141" operator="containsText" id="{EC0CA0DD-93D7-4834-B69E-8A68BDE4C9C3}">
            <xm:f>NOT(ISERROR(SEARCH($AN$683,Q161)))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142" operator="containsText" id="{75C312E1-7502-412B-A739-C0B043703EB2}">
            <xm:f>NOT(ISERROR(SEARCH($AN$682,Q161)))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143" operator="containsText" id="{E98A8952-E52C-4D38-A58C-F2014325B9B1}">
            <xm:f>NOT(ISERROR(SEARCH($AN$681,Q161)))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144" operator="containsText" id="{9C5A9A58-289B-4D94-8BEA-306983456CC8}">
            <xm:f>NOT(ISERROR(SEARCH($AN$680,Q161)))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145" operator="containsText" id="{DE3B066E-3AAF-42EA-81C5-044D4FFC76A7}">
            <xm:f>NOT(ISERROR(SEARCH($AN$678,Q161)))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146" operator="containsText" id="{42180539-757C-44FB-A959-D17AE8232F1F}">
            <xm:f>NOT(ISERROR(SEARCH($AN$679,Q161)))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Q161:U162</xm:sqref>
        </x14:conditionalFormatting>
        <x14:conditionalFormatting xmlns:xm="http://schemas.microsoft.com/office/excel/2006/main">
          <x14:cfRule type="containsText" priority="21720" operator="containsText" id="{9B50D529-6785-4C4A-B7FD-FCBA36BFA035}">
            <xm:f>NOT(ISERROR(SEARCH($AN$690,Q257)))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1721" operator="containsText" id="{1BE2459B-7445-445A-9619-464E7DDF5BD5}">
            <xm:f>NOT(ISERROR(SEARCH($AN$704,Q257)))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1722" operator="containsText" id="{B3390F04-5E6F-485E-9BAA-AB8560934C5C}">
            <xm:f>NOT(ISERROR(SEARCH($AN$693,Q257)))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1723" operator="containsText" id="{332F4FE7-67FD-4C19-97E8-EEDAD0409486}">
            <xm:f>NOT(ISERROR(SEARCH($AN$692,Q257)))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724" operator="containsText" id="{D4B4D192-7FFC-4EC0-8E57-DB9E37174A0A}">
            <xm:f>NOT(ISERROR(SEARCH($AN$691,Q257)))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1725" operator="containsText" id="{89F62199-23FF-4285-833B-A41E7FF958EF}">
            <xm:f>NOT(ISERROR(SEARCH($AN$689,Q257)))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1726" operator="containsText" id="{1C658E59-0BCD-4442-8BCC-D634EB4221E7}">
            <xm:f>NOT(ISERROR(SEARCH($AN$687,Q257)))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727" operator="containsText" id="{0F663DBD-C80C-49BA-A394-FFB597242C65}">
            <xm:f>NOT(ISERROR(SEARCH($AN$688,Q257)))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728" operator="containsText" id="{3A1D02B4-A48C-424A-AF6F-3C53E1B67FF8}">
            <xm:f>NOT(ISERROR(SEARCH($AN$686,Q257)))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729" operator="containsText" id="{6EA92BFF-C380-49C5-BDAE-6ED3C1D8EFCB}">
            <xm:f>NOT(ISERROR(SEARCH($AN$685,Q257)))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730" operator="containsText" id="{7E0B6F6C-A88E-4B42-85EC-1152F29B5793}">
            <xm:f>NOT(ISERROR(SEARCH($AN$684,Q257)))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731" operator="containsText" id="{17456C9D-2B30-47E5-9FC1-A66D53408401}">
            <xm:f>NOT(ISERROR(SEARCH($AN$683,Q257)))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732" operator="containsText" id="{79B2FCAB-BB81-43B9-9EE8-6A07505C0FE5}">
            <xm:f>NOT(ISERROR(SEARCH($AN$682,Q257)))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1733" operator="containsText" id="{B1A473F1-9AD3-4CAB-AC58-6F6660C123BF}">
            <xm:f>NOT(ISERROR(SEARCH($AN$681,Q257)))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734" operator="containsText" id="{98F987DB-60AC-4C74-8B51-FC4C57F63F50}">
            <xm:f>NOT(ISERROR(SEARCH($AN$680,Q257)))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735" operator="containsText" id="{62A28250-4A2F-4615-94AE-B055BE80A54F}">
            <xm:f>NOT(ISERROR(SEARCH($AN$678,Q257)))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736" operator="containsText" id="{D1404201-2714-4CB3-9E88-515ED9A49D21}">
            <xm:f>NOT(ISERROR(SEARCH($AN$679,Q257)))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Q257:U258</xm:sqref>
        </x14:conditionalFormatting>
        <x14:conditionalFormatting xmlns:xm="http://schemas.microsoft.com/office/excel/2006/main">
          <x14:cfRule type="containsText" priority="26019" operator="containsText" id="{3A3A3F4B-4B4A-4DA5-8A90-A612F96C6506}">
            <xm:f>NOT(ISERROR(SEARCH($AN$690,Q353)))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6020" operator="containsText" id="{DBC0579C-28CE-4406-9D83-B9F837A3A470}">
            <xm:f>NOT(ISERROR(SEARCH($AN$704,Q353)))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6021" operator="containsText" id="{174AFDA7-1F9C-4367-B1D5-FAAFA8EB6AFE}">
            <xm:f>NOT(ISERROR(SEARCH($AN$693,Q353)))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6022" operator="containsText" id="{95C697A3-9945-4B90-A3E0-7B0FD66B28BD}">
            <xm:f>NOT(ISERROR(SEARCH($AN$692,Q353)))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6023" operator="containsText" id="{1201FF3B-47C6-482B-BD9F-2D9F680D9791}">
            <xm:f>NOT(ISERROR(SEARCH($AN$691,Q353)))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6024" operator="containsText" id="{997849DD-CC3F-44F3-937E-0CAA0A8A571C}">
            <xm:f>NOT(ISERROR(SEARCH($AN$689,Q353)))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6025" operator="containsText" id="{4148455D-07F0-4A6B-9A3E-E8F63DFCEFF7}">
            <xm:f>NOT(ISERROR(SEARCH($AN$687,Q353)))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6026" operator="containsText" id="{6ACE4131-05A1-48B9-AB1F-71411F700648}">
            <xm:f>NOT(ISERROR(SEARCH($AN$688,Q353)))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6027" operator="containsText" id="{CD6D5889-2CCC-482E-8CDF-E64DFBA5D226}">
            <xm:f>NOT(ISERROR(SEARCH($AN$686,Q353)))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028" operator="containsText" id="{C28445D8-4B9B-4CD9-8E1C-D888C4463AE9}">
            <xm:f>NOT(ISERROR(SEARCH($AN$685,Q353)))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6029" operator="containsText" id="{46BA9D20-5FE7-47BF-8B4F-6308D1882A51}">
            <xm:f>NOT(ISERROR(SEARCH($AN$684,Q353)))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030" operator="containsText" id="{F0FC335C-2537-4F3D-B164-35E233907683}">
            <xm:f>NOT(ISERROR(SEARCH($AN$683,Q353)))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6031" operator="containsText" id="{AA6623A8-7568-4664-81EF-A61EF4C052A9}">
            <xm:f>NOT(ISERROR(SEARCH($AN$682,Q353)))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6032" operator="containsText" id="{56910FB2-B183-4ECE-87DE-8ABAF5E5BA5B}">
            <xm:f>NOT(ISERROR(SEARCH($AN$681,Q353)))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033" operator="containsText" id="{A3D7F894-8D51-45E5-966F-56F48D5B0B93}">
            <xm:f>NOT(ISERROR(SEARCH($AN$680,Q353)))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6034" operator="containsText" id="{5BDD2C53-8CD3-4329-B38E-F92702E60BBF}">
            <xm:f>NOT(ISERROR(SEARCH($AN$678,Q353)))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6035" operator="containsText" id="{4A8D64FD-5E82-48C3-A17F-5238D17A1883}">
            <xm:f>NOT(ISERROR(SEARCH($AN$679,Q353)))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Q353:U354</xm:sqref>
        </x14:conditionalFormatting>
        <x14:conditionalFormatting xmlns:xm="http://schemas.microsoft.com/office/excel/2006/main">
          <x14:cfRule type="containsText" priority="24180" operator="containsText" id="{A3137FA7-5EFE-4C19-BDCD-8FB40CE5DD51}">
            <xm:f>NOT(ISERROR(SEARCH($AN$690,Q449)))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4181" operator="containsText" id="{4B523B6C-084E-4039-AD91-954CB3BDAEF7}">
            <xm:f>NOT(ISERROR(SEARCH($AN$704,Q449)))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4182" operator="containsText" id="{5F12E9D0-A48C-4C54-BB04-9321A6B99EB4}">
            <xm:f>NOT(ISERROR(SEARCH($AN$693,Q449)))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4183" operator="containsText" id="{2692AA8F-1B59-4889-9E73-532FF835479D}">
            <xm:f>NOT(ISERROR(SEARCH($AN$692,Q449)))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4184" operator="containsText" id="{A850F604-2539-42ED-8645-3ED0C64E24BA}">
            <xm:f>NOT(ISERROR(SEARCH($AN$691,Q449)))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4185" operator="containsText" id="{F858C666-ABD6-4ED5-A4FB-34D4F74340DC}">
            <xm:f>NOT(ISERROR(SEARCH($AN$689,Q449)))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4186" operator="containsText" id="{A70FB1B7-A1B3-4D08-947C-38E23C0DEE0E}">
            <xm:f>NOT(ISERROR(SEARCH($AN$687,Q449)))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4187" operator="containsText" id="{F9A4375D-5711-47CB-9C5F-3F286A94AB56}">
            <xm:f>NOT(ISERROR(SEARCH($AN$688,Q449)))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4188" operator="containsText" id="{9B1930BE-DBB1-431B-B8A9-BAAAD52F5C6B}">
            <xm:f>NOT(ISERROR(SEARCH($AN$686,Q449)))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189" operator="containsText" id="{526567FB-A612-4FD0-953D-EA8D36EAA49A}">
            <xm:f>NOT(ISERROR(SEARCH($AN$685,Q449)))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4190" operator="containsText" id="{7AABA5ED-E082-4E65-A48D-C694F867A145}">
            <xm:f>NOT(ISERROR(SEARCH($AN$684,Q449)))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191" operator="containsText" id="{EC6366E0-3EDB-418B-87E5-753640668572}">
            <xm:f>NOT(ISERROR(SEARCH($AN$683,Q449)))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4192" operator="containsText" id="{EF84B178-367D-40A2-B0C9-98E1C6107A21}">
            <xm:f>NOT(ISERROR(SEARCH($AN$682,Q449)))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4193" operator="containsText" id="{769241F6-FFD6-47C9-93D2-362F72A2D498}">
            <xm:f>NOT(ISERROR(SEARCH($AN$681,Q449)))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4194" operator="containsText" id="{B92A89C7-07A1-4247-8352-3C5B0E248C05}">
            <xm:f>NOT(ISERROR(SEARCH($AN$680,Q449)))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4195" operator="containsText" id="{22B6FDFA-9833-4111-B079-90E9F965822C}">
            <xm:f>NOT(ISERROR(SEARCH($AN$678,Q449)))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4196" operator="containsText" id="{93CB0B33-6B75-4946-99FD-2857F21235E9}">
            <xm:f>NOT(ISERROR(SEARCH($AN$679,Q449)))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Q449:U450</xm:sqref>
        </x14:conditionalFormatting>
        <x14:conditionalFormatting xmlns:xm="http://schemas.microsoft.com/office/excel/2006/main">
          <x14:cfRule type="containsText" priority="23770" operator="containsText" id="{04B5FB72-B2BF-474F-8150-52F5D728D6D7}">
            <xm:f>NOT(ISERROR(SEARCH($AN$690,Q545)))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3771" operator="containsText" id="{C0418A6C-94B8-49F1-80C3-68436C06142B}">
            <xm:f>NOT(ISERROR(SEARCH($AN$704,Q545)))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3772" operator="containsText" id="{4A9EB5D4-9D33-4F2D-947B-1310C7CA9DF6}">
            <xm:f>NOT(ISERROR(SEARCH($AN$693,Q545)))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3773" operator="containsText" id="{68E5747F-F2DE-46CE-B4BA-78A7B9BE3CFE}">
            <xm:f>NOT(ISERROR(SEARCH($AN$692,Q545)))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3774" operator="containsText" id="{D187E9F1-8D3D-4209-A64B-E5F74336D163}">
            <xm:f>NOT(ISERROR(SEARCH($AN$691,Q545)))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3775" operator="containsText" id="{6899CFD9-79F0-4BCC-9A0D-4F7217ABF110}">
            <xm:f>NOT(ISERROR(SEARCH($AN$689,Q545)))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776" operator="containsText" id="{BB6D86D9-9D8A-408B-9194-27F16A68DB80}">
            <xm:f>NOT(ISERROR(SEARCH($AN$687,Q545)))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777" operator="containsText" id="{6296ED4E-1999-4621-B25D-76AB04F0ED7C}">
            <xm:f>NOT(ISERROR(SEARCH($AN$688,Q545)))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778" operator="containsText" id="{23A72EF1-691E-4ED4-8667-E373599FE7B5}">
            <xm:f>NOT(ISERROR(SEARCH($AN$686,Q545)))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779" operator="containsText" id="{08419A61-EBD7-49F3-B3E3-A927798B925F}">
            <xm:f>NOT(ISERROR(SEARCH($AN$685,Q545)))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780" operator="containsText" id="{0A613643-45A3-408F-9F21-D09739F6926F}">
            <xm:f>NOT(ISERROR(SEARCH($AN$684,Q545)))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781" operator="containsText" id="{56E50AA8-A990-40FE-B853-7D7DA525EAA0}">
            <xm:f>NOT(ISERROR(SEARCH($AN$683,Q545)))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782" operator="containsText" id="{245A3C41-DFCD-4D1C-AF3E-EB4F5BFE04B6}">
            <xm:f>NOT(ISERROR(SEARCH($AN$682,Q545)))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783" operator="containsText" id="{4917C94F-22F0-4850-B99A-25B7DF6F6DA3}">
            <xm:f>NOT(ISERROR(SEARCH($AN$681,Q545)))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784" operator="containsText" id="{1677CB0F-55FF-474A-B793-120DC987C683}">
            <xm:f>NOT(ISERROR(SEARCH($AN$680,Q545)))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785" operator="containsText" id="{74BBD1BD-B855-4A1D-838F-EED025E7846C}">
            <xm:f>NOT(ISERROR(SEARCH($AN$678,Q545)))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786" operator="containsText" id="{45768359-975C-4A6B-BF8D-30E1FD11D47B}">
            <xm:f>NOT(ISERROR(SEARCH($AN$679,Q545)))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Q545:U546</xm:sqref>
        </x14:conditionalFormatting>
        <x14:conditionalFormatting xmlns:xm="http://schemas.microsoft.com/office/excel/2006/main">
          <x14:cfRule type="containsText" priority="23360" operator="containsText" id="{B90C06A3-CD32-419C-899E-AE7EADF91205}">
            <xm:f>NOT(ISERROR(SEARCH($AN$690,Q641)))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3361" operator="containsText" id="{5E596268-0D2D-46B1-94BE-BCBB3CDF8513}">
            <xm:f>NOT(ISERROR(SEARCH($AN$704,Q641)))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3362" operator="containsText" id="{0F278962-5F0A-487E-BF0A-6B0701CE3705}">
            <xm:f>NOT(ISERROR(SEARCH($AN$693,Q641)))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3363" operator="containsText" id="{5B58FB48-7829-474C-A21C-C95BDE1C4A90}">
            <xm:f>NOT(ISERROR(SEARCH($AN$692,Q641)))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3364" operator="containsText" id="{5E52D3EE-25C7-4866-8F93-EB44CE252F4C}">
            <xm:f>NOT(ISERROR(SEARCH($AN$691,Q641)))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3365" operator="containsText" id="{92AAEE4C-57BB-4E08-A807-710C5A3505BA}">
            <xm:f>NOT(ISERROR(SEARCH($AN$689,Q641)))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366" operator="containsText" id="{2E3F3A54-4F54-4C4A-B0B7-91027A487F50}">
            <xm:f>NOT(ISERROR(SEARCH($AN$687,Q641)))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367" operator="containsText" id="{95BBD6F3-B84C-4172-AB65-E4FB08BADCBC}">
            <xm:f>NOT(ISERROR(SEARCH($AN$688,Q641)))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368" operator="containsText" id="{E5B6447F-018A-4D96-8A3E-36DB53610613}">
            <xm:f>NOT(ISERROR(SEARCH($AN$686,Q641)))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369" operator="containsText" id="{23775610-2218-4AF8-B78F-73AC73C2BB51}">
            <xm:f>NOT(ISERROR(SEARCH($AN$685,Q641)))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370" operator="containsText" id="{C87C92AA-4DF4-4D1B-AE2B-94519941275A}">
            <xm:f>NOT(ISERROR(SEARCH($AN$684,Q641)))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371" operator="containsText" id="{1067AEBF-EF97-4CCF-9A65-F9F49C5C8A4E}">
            <xm:f>NOT(ISERROR(SEARCH($AN$683,Q641)))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372" operator="containsText" id="{1E976AB0-6D54-41D6-89BD-C5CFE2A7C22F}">
            <xm:f>NOT(ISERROR(SEARCH($AN$682,Q641)))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373" operator="containsText" id="{A0F04C0D-E4A1-402E-AB60-9C7B4C07603D}">
            <xm:f>NOT(ISERROR(SEARCH($AN$681,Q641)))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374" operator="containsText" id="{8CF4EA22-E223-442E-A4FA-0ECB5FB5144D}">
            <xm:f>NOT(ISERROR(SEARCH($AN$680,Q641)))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375" operator="containsText" id="{25224090-657D-4B07-91B6-E2131DED048A}">
            <xm:f>NOT(ISERROR(SEARCH($AN$678,Q641)))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376" operator="containsText" id="{5F3E803F-C01E-4A0F-B87A-901CC09423EC}">
            <xm:f>NOT(ISERROR(SEARCH($AN$679,Q641)))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Q641:U642</xm:sqref>
        </x14:conditionalFormatting>
        <x14:conditionalFormatting xmlns:xm="http://schemas.microsoft.com/office/excel/2006/main">
          <x14:cfRule type="containsText" priority="22950" operator="containsText" id="{7DDB258E-4B57-4180-811B-8A15101A2947}">
            <xm:f>NOT(ISERROR(SEARCH($AN$690,Q737)))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951" operator="containsText" id="{7A82D0B3-F6C9-4565-BD89-73D48B8E14C9}">
            <xm:f>NOT(ISERROR(SEARCH($AN$704,Q737)))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952" operator="containsText" id="{64D45EEE-D32A-44D4-A01B-612A3D4F7CC9}">
            <xm:f>NOT(ISERROR(SEARCH($AN$693,Q737)))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953" operator="containsText" id="{DBA70F73-29AC-4605-8877-C49D754D10BE}">
            <xm:f>NOT(ISERROR(SEARCH($AN$692,Q737)))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954" operator="containsText" id="{E50038AB-622C-4BAF-8A13-1217A5BCA2E6}">
            <xm:f>NOT(ISERROR(SEARCH($AN$691,Q737)))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955" operator="containsText" id="{3D0BD3DD-78B9-4053-96CF-0BD010D68C4E}">
            <xm:f>NOT(ISERROR(SEARCH($AN$689,Q737)))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956" operator="containsText" id="{8A3E39AB-387B-4616-861D-88C4781BE8B7}">
            <xm:f>NOT(ISERROR(SEARCH($AN$687,Q737)))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957" operator="containsText" id="{587556BA-11BB-405D-8D5D-FE645D8F49B2}">
            <xm:f>NOT(ISERROR(SEARCH($AN$688,Q737)))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958" operator="containsText" id="{A40E3ED0-5ADC-439A-861B-F45DD5B2A5EE}">
            <xm:f>NOT(ISERROR(SEARCH($AN$686,Q737)))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959" operator="containsText" id="{74329FB1-0779-4245-AC39-7C89DFCD95D8}">
            <xm:f>NOT(ISERROR(SEARCH($AN$685,Q737)))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960" operator="containsText" id="{7CB17BB0-092A-45B6-A9E5-E248DA9935AA}">
            <xm:f>NOT(ISERROR(SEARCH($AN$684,Q737)))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961" operator="containsText" id="{D0366EF3-084C-48F6-B1EA-8BF0EA5FBCF8}">
            <xm:f>NOT(ISERROR(SEARCH($AN$683,Q737)))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962" operator="containsText" id="{1765F189-C1B8-46FE-9341-B540EDD958A2}">
            <xm:f>NOT(ISERROR(SEARCH($AN$682,Q737)))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963" operator="containsText" id="{BFB44111-915B-4487-8B7B-59AE8D35D771}">
            <xm:f>NOT(ISERROR(SEARCH($AN$681,Q737)))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964" operator="containsText" id="{B6B82F18-6D0E-42BF-A768-D43ACA678BFA}">
            <xm:f>NOT(ISERROR(SEARCH($AN$680,Q737)))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965" operator="containsText" id="{B359AFB8-2E31-46D7-A5AB-28720614FFE1}">
            <xm:f>NOT(ISERROR(SEARCH($AN$678,Q737)))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966" operator="containsText" id="{93ED4BE8-F501-4700-BD99-B1F000DC3134}">
            <xm:f>NOT(ISERROR(SEARCH($AN$679,Q737)))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Q737:U738</xm:sqref>
        </x14:conditionalFormatting>
        <x14:conditionalFormatting xmlns:xm="http://schemas.microsoft.com/office/excel/2006/main">
          <x14:cfRule type="containsText" priority="22625" operator="containsText" id="{DE42CEDF-1B02-4816-A587-2E2AD066DCC4}">
            <xm:f>NOT(ISERROR(SEARCH($AN$690,Q52)))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626" operator="containsText" id="{A0354505-792A-415D-8D65-69089422D68E}">
            <xm:f>NOT(ISERROR(SEARCH($AN$704,Q52)))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627" operator="containsText" id="{52CEB7C9-57FF-4A93-9827-E15027E6F0CB}">
            <xm:f>NOT(ISERROR(SEARCH($AN$693,Q52)))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628" operator="containsText" id="{F3BD2283-C86C-4CC9-B5B5-0257D09A8CB6}">
            <xm:f>NOT(ISERROR(SEARCH($AN$692,Q52)))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629" operator="containsText" id="{161FEE97-45E7-4FE4-B6C8-6EEE6D51EEB8}">
            <xm:f>NOT(ISERROR(SEARCH($AN$691,Q52)))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630" operator="containsText" id="{59AFC937-11E5-4902-B243-447EF16D1B4B}">
            <xm:f>NOT(ISERROR(SEARCH($AN$689,Q52)))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631" operator="containsText" id="{AEADE0FF-DB66-46B5-9460-8CEFFD96D740}">
            <xm:f>NOT(ISERROR(SEARCH($AN$687,Q52)))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632" operator="containsText" id="{32105B0B-05CB-40A2-BB78-DD0D1DC9CD4C}">
            <xm:f>NOT(ISERROR(SEARCH($AN$688,Q52)))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633" operator="containsText" id="{4FCA4AC2-9B6F-41BA-8320-F2F9693C72A1}">
            <xm:f>NOT(ISERROR(SEARCH($AN$686,Q52)))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634" operator="containsText" id="{0821A5D8-B1F5-4D13-B2F3-A7ABE207A287}">
            <xm:f>NOT(ISERROR(SEARCH($AN$685,Q52)))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635" operator="containsText" id="{E44B0D16-D041-4F27-886E-A50B9DA2D3A2}">
            <xm:f>NOT(ISERROR(SEARCH($AN$684,Q52)))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636" operator="containsText" id="{A920BAEB-C102-45DB-8267-CE446136AC10}">
            <xm:f>NOT(ISERROR(SEARCH($AN$683,Q52)))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637" operator="containsText" id="{76CD11FE-CD56-4D38-A3CC-ECAC50C308C1}">
            <xm:f>NOT(ISERROR(SEARCH($AN$682,Q52)))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638" operator="containsText" id="{B5C1B48F-CCC3-43FE-AE74-1A4C0C5590BA}">
            <xm:f>NOT(ISERROR(SEARCH($AN$681,Q52)))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639" operator="containsText" id="{EFE06465-1756-43B8-94B6-576F9591F6A7}">
            <xm:f>NOT(ISERROR(SEARCH($AN$680,Q52)))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640" operator="containsText" id="{4C8626F4-E2E9-47F1-8E3F-55261047BDD9}">
            <xm:f>NOT(ISERROR(SEARCH($AN$678,Q52)))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641" operator="containsText" id="{4CAD27C9-03A1-4B94-AC32-F0F412CF2530}">
            <xm:f>NOT(ISERROR(SEARCH($AN$679,Q52)))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Q52:AC61 Q86:X93</xm:sqref>
        </x14:conditionalFormatting>
        <x14:conditionalFormatting xmlns:xm="http://schemas.microsoft.com/office/excel/2006/main">
          <x14:cfRule type="containsText" priority="22557" operator="containsText" id="{A29CBDEF-B648-4C29-A800-92CDE2AE72D7}">
            <xm:f>NOT(ISERROR(SEARCH($AN$690,Q62)))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558" operator="containsText" id="{364C42A2-D86B-4EB4-8F9C-EFB4618D1D58}">
            <xm:f>NOT(ISERROR(SEARCH($AN$704,Q62)))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559" operator="containsText" id="{8B898E13-E038-46F1-9FD9-C58524CBCF96}">
            <xm:f>NOT(ISERROR(SEARCH($AN$693,Q62)))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560" operator="containsText" id="{EA216E21-BEEB-4D02-975A-FEA63E722615}">
            <xm:f>NOT(ISERROR(SEARCH($AN$692,Q62)))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561" operator="containsText" id="{4ABA9181-2AE5-45DF-80FD-DA12BFBEEB0E}">
            <xm:f>NOT(ISERROR(SEARCH($AN$691,Q62)))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562" operator="containsText" id="{36AA43D7-B699-4837-AF59-E2A576BD9B3A}">
            <xm:f>NOT(ISERROR(SEARCH($AN$689,Q62)))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563" operator="containsText" id="{BC3CA060-BAA4-4DCE-A0AB-E4AAB4ACC197}">
            <xm:f>NOT(ISERROR(SEARCH($AN$687,Q62)))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564" operator="containsText" id="{CFEFEE26-1892-4CBF-9642-CB3C558999F6}">
            <xm:f>NOT(ISERROR(SEARCH($AN$688,Q62)))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565" operator="containsText" id="{66A5A129-FBB1-4D7A-B199-55A28600B391}">
            <xm:f>NOT(ISERROR(SEARCH($AN$686,Q62)))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566" operator="containsText" id="{F11AB7B0-037D-41DF-B86A-EAF9C82E64EE}">
            <xm:f>NOT(ISERROR(SEARCH($AN$685,Q62)))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567" operator="containsText" id="{0C5769FD-A4B8-4561-8D82-D0B1BB713060}">
            <xm:f>NOT(ISERROR(SEARCH($AN$684,Q62)))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568" operator="containsText" id="{5C36F066-8063-40B0-9B2E-86CDE064A81F}">
            <xm:f>NOT(ISERROR(SEARCH($AN$683,Q62)))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569" operator="containsText" id="{FDB95D2A-9E39-4614-BA30-7C84D7A84AAE}">
            <xm:f>NOT(ISERROR(SEARCH($AN$682,Q62)))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570" operator="containsText" id="{2EC61771-A443-4114-95A6-646359C0B91D}">
            <xm:f>NOT(ISERROR(SEARCH($AN$681,Q62)))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571" operator="containsText" id="{630A98E8-6B5B-4FC3-B352-5847E7398801}">
            <xm:f>NOT(ISERROR(SEARCH($AN$680,Q62)))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572" operator="containsText" id="{2E74BCC2-8A70-4963-9737-F059CEC2266D}">
            <xm:f>NOT(ISERROR(SEARCH($AN$678,Q62)))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573" operator="containsText" id="{B5530CF2-0DF0-483C-ABE6-207535EB57A5}">
            <xm:f>NOT(ISERROR(SEARCH($AN$679,Q62)))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Q62:AC85</xm:sqref>
        </x14:conditionalFormatting>
        <x14:conditionalFormatting xmlns:xm="http://schemas.microsoft.com/office/excel/2006/main">
          <x14:cfRule type="containsText" priority="22215" operator="containsText" id="{03AB006A-1102-4E79-9C21-F49D0574A495}">
            <xm:f>NOT(ISERROR(SEARCH($AN$690,Q148)))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216" operator="containsText" id="{D3D9119B-D2B4-460A-9CD1-20587B4A70B7}">
            <xm:f>NOT(ISERROR(SEARCH($AN$704,Q148)))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217" operator="containsText" id="{EBE1AC39-98E1-4398-A08B-0F673E45DF99}">
            <xm:f>NOT(ISERROR(SEARCH($AN$693,Q148)))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218" operator="containsText" id="{DDCE733F-001A-438F-9984-EAA44475911A}">
            <xm:f>NOT(ISERROR(SEARCH($AN$692,Q148)))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219" operator="containsText" id="{5CE276C7-67E0-4C6A-B4DD-7E30636D6C9A}">
            <xm:f>NOT(ISERROR(SEARCH($AN$691,Q148)))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220" operator="containsText" id="{E048469B-97F1-43D7-A2C6-B5CFFC0E0B42}">
            <xm:f>NOT(ISERROR(SEARCH($AN$689,Q148)))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221" operator="containsText" id="{804DB2BE-8E29-4342-885B-DE39E6355ED4}">
            <xm:f>NOT(ISERROR(SEARCH($AN$687,Q148)))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222" operator="containsText" id="{8CFF2E74-1EE5-4EE7-A694-65619D8D0225}">
            <xm:f>NOT(ISERROR(SEARCH($AN$688,Q148)))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223" operator="containsText" id="{8FD07BFF-B240-4F07-9EA2-562C9E62BE00}">
            <xm:f>NOT(ISERROR(SEARCH($AN$686,Q148)))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224" operator="containsText" id="{093FCD38-FC88-4FF1-BA2C-6D0DEE6E15C4}">
            <xm:f>NOT(ISERROR(SEARCH($AN$685,Q148)))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225" operator="containsText" id="{EBFF1087-5920-4D49-A902-B701E598C594}">
            <xm:f>NOT(ISERROR(SEARCH($AN$684,Q148)))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226" operator="containsText" id="{6840A010-1A08-40A4-8D4E-5390DDE17CE3}">
            <xm:f>NOT(ISERROR(SEARCH($AN$683,Q148)))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227" operator="containsText" id="{F96600A2-9278-45AA-BA33-AB105DDEFB7E}">
            <xm:f>NOT(ISERROR(SEARCH($AN$682,Q148)))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228" operator="containsText" id="{AC43FB5C-AB24-4417-A5BD-72713962D210}">
            <xm:f>NOT(ISERROR(SEARCH($AN$681,Q148)))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229" operator="containsText" id="{A0ED1482-B0D1-46B3-A2D0-1FCB613B3EB1}">
            <xm:f>NOT(ISERROR(SEARCH($AN$680,Q148)))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230" operator="containsText" id="{4526AC53-4173-4426-8832-569F5F4EAC62}">
            <xm:f>NOT(ISERROR(SEARCH($AN$678,Q148)))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231" operator="containsText" id="{3122158C-46C8-4068-A5A2-4CCB0C80A84E}">
            <xm:f>NOT(ISERROR(SEARCH($AN$679,Q148)))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Q148:AC157 Q182:X189</xm:sqref>
        </x14:conditionalFormatting>
        <x14:conditionalFormatting xmlns:xm="http://schemas.microsoft.com/office/excel/2006/main">
          <x14:cfRule type="containsText" priority="22147" operator="containsText" id="{4597FF24-C853-407C-9B0C-5FF06161BC5D}">
            <xm:f>NOT(ISERROR(SEARCH($AN$690,Q158)))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148" operator="containsText" id="{06E9FA7D-887B-4136-AAAD-5238CD5006AC}">
            <xm:f>NOT(ISERROR(SEARCH($AN$704,Q158)))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149" operator="containsText" id="{94411CAF-34DD-4F7F-8812-C18CC0E0FC9A}">
            <xm:f>NOT(ISERROR(SEARCH($AN$693,Q158)))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150" operator="containsText" id="{E1842A1C-C991-43F4-BEFD-1B3198605C3F}">
            <xm:f>NOT(ISERROR(SEARCH($AN$692,Q158)))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151" operator="containsText" id="{5ED11B2E-D3DD-4E49-82C7-30EB4EBBCB4A}">
            <xm:f>NOT(ISERROR(SEARCH($AN$691,Q158)))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152" operator="containsText" id="{EF1224B3-BC0C-49C1-A192-A58450BF0D68}">
            <xm:f>NOT(ISERROR(SEARCH($AN$689,Q158)))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153" operator="containsText" id="{8ADB0D48-52DD-4D78-8FF7-DFDB483CCACA}">
            <xm:f>NOT(ISERROR(SEARCH($AN$687,Q158)))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154" operator="containsText" id="{3BF8F57A-B5E1-44A1-8F1B-21B2C127394C}">
            <xm:f>NOT(ISERROR(SEARCH($AN$688,Q158)))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155" operator="containsText" id="{A92E454B-6ADB-41B6-8ACD-CD00C6AADEB5}">
            <xm:f>NOT(ISERROR(SEARCH($AN$686,Q158)))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156" operator="containsText" id="{2C30B1EE-3D73-414A-A92C-46DA3B4BFCDB}">
            <xm:f>NOT(ISERROR(SEARCH($AN$685,Q158)))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157" operator="containsText" id="{20D1A081-2EBF-4D8C-95AB-FD801FE82D50}">
            <xm:f>NOT(ISERROR(SEARCH($AN$684,Q158)))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158" operator="containsText" id="{5F873036-86BC-4CC2-AB14-42804346D20C}">
            <xm:f>NOT(ISERROR(SEARCH($AN$683,Q158)))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159" operator="containsText" id="{2C3F2E8B-A400-49D7-A3E9-C0BDB1A40930}">
            <xm:f>NOT(ISERROR(SEARCH($AN$682,Q158)))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160" operator="containsText" id="{D2B09737-60ED-42F2-8CFF-18DE169E1529}">
            <xm:f>NOT(ISERROR(SEARCH($AN$681,Q158)))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161" operator="containsText" id="{1B31B6EF-34D4-4110-900E-6D1F7CE80274}">
            <xm:f>NOT(ISERROR(SEARCH($AN$680,Q158)))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162" operator="containsText" id="{719ECFBC-6701-49DA-A0DC-CD0EB1FFA3AD}">
            <xm:f>NOT(ISERROR(SEARCH($AN$678,Q158)))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163" operator="containsText" id="{F4D6B4B7-E8A2-414B-BF55-AA5310AAA60A}">
            <xm:f>NOT(ISERROR(SEARCH($AN$679,Q158)))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Q158:AC181</xm:sqref>
        </x14:conditionalFormatting>
        <x14:conditionalFormatting xmlns:xm="http://schemas.microsoft.com/office/excel/2006/main">
          <x14:cfRule type="containsText" priority="21805" operator="containsText" id="{960FD8DB-4591-48B6-90F2-D61EEB25D34E}">
            <xm:f>NOT(ISERROR(SEARCH($AN$690,Q244)))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1806" operator="containsText" id="{4606F003-0903-4FC3-98DC-2F6DC80B224D}">
            <xm:f>NOT(ISERROR(SEARCH($AN$704,Q244)))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1807" operator="containsText" id="{F0B1E800-DBC2-4FB6-96CA-A2BA12DC59E8}">
            <xm:f>NOT(ISERROR(SEARCH($AN$693,Q244)))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1808" operator="containsText" id="{61241D47-A39F-46F6-82C9-825A146CA172}">
            <xm:f>NOT(ISERROR(SEARCH($AN$692,Q244)))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809" operator="containsText" id="{A2113868-8C8F-4683-AF5C-B7B3E442B807}">
            <xm:f>NOT(ISERROR(SEARCH($AN$691,Q244)))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1810" operator="containsText" id="{624702A8-33CC-46A7-9169-2F7A69BE7ED3}">
            <xm:f>NOT(ISERROR(SEARCH($AN$689,Q244)))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1811" operator="containsText" id="{F49574CE-C165-478D-A271-38BCDDBF152E}">
            <xm:f>NOT(ISERROR(SEARCH($AN$687,Q244)))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812" operator="containsText" id="{B6B2FD90-3AB5-45EF-AEA4-5D691E2E5772}">
            <xm:f>NOT(ISERROR(SEARCH($AN$688,Q244)))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813" operator="containsText" id="{06C65BF6-9DEA-4709-9609-EA78D4BDB426}">
            <xm:f>NOT(ISERROR(SEARCH($AN$686,Q244)))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814" operator="containsText" id="{86D02429-5404-43BE-A504-A73D9E112366}">
            <xm:f>NOT(ISERROR(SEARCH($AN$685,Q244)))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815" operator="containsText" id="{0349F71B-A102-43A6-998D-90FAAA713C5F}">
            <xm:f>NOT(ISERROR(SEARCH($AN$684,Q244)))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816" operator="containsText" id="{B816B9F2-39CC-49DD-B827-2DFCDC53AA95}">
            <xm:f>NOT(ISERROR(SEARCH($AN$683,Q244)))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817" operator="containsText" id="{02027984-8562-4B4A-898A-209AD3E9A714}">
            <xm:f>NOT(ISERROR(SEARCH($AN$682,Q244)))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1818" operator="containsText" id="{E8260EDC-0D9A-461A-A086-78174BF336D4}">
            <xm:f>NOT(ISERROR(SEARCH($AN$681,Q244)))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819" operator="containsText" id="{7716C4BE-EA03-413B-873F-83FA1E9BAB56}">
            <xm:f>NOT(ISERROR(SEARCH($AN$680,Q244)))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820" operator="containsText" id="{9991D35F-DD94-48BD-A54C-D12CE68F395A}">
            <xm:f>NOT(ISERROR(SEARCH($AN$678,Q244)))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821" operator="containsText" id="{AE9D8238-2327-4A03-B8A7-5F4DDBAED39E}">
            <xm:f>NOT(ISERROR(SEARCH($AN$679,Q244)))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Q244:AC253 Q278:X285</xm:sqref>
        </x14:conditionalFormatting>
        <x14:conditionalFormatting xmlns:xm="http://schemas.microsoft.com/office/excel/2006/main">
          <x14:cfRule type="containsText" priority="21737" operator="containsText" id="{571F8984-30EE-459F-8B67-CF542CBE361D}">
            <xm:f>NOT(ISERROR(SEARCH($AN$690,Q254)))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1738" operator="containsText" id="{AFC6461D-2139-4E7C-A1AA-39E059889823}">
            <xm:f>NOT(ISERROR(SEARCH($AN$704,Q254)))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1739" operator="containsText" id="{0D20E975-2B66-4C80-8CEF-D64A03CC820D}">
            <xm:f>NOT(ISERROR(SEARCH($AN$693,Q254)))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1740" operator="containsText" id="{1D0D59A9-F540-4A03-906B-6ED534B262A8}">
            <xm:f>NOT(ISERROR(SEARCH($AN$692,Q254)))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741" operator="containsText" id="{01AD5870-8746-4F85-A0F9-EA873517FDCF}">
            <xm:f>NOT(ISERROR(SEARCH($AN$691,Q254)))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1742" operator="containsText" id="{5808DB02-FE30-445B-8080-92643D9AFFBC}">
            <xm:f>NOT(ISERROR(SEARCH($AN$689,Q254)))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1743" operator="containsText" id="{C0D876B0-634B-4E69-8A36-7D18C9E9CEDB}">
            <xm:f>NOT(ISERROR(SEARCH($AN$687,Q254)))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744" operator="containsText" id="{0A860828-774D-4EFA-AA31-726AD728AB4A}">
            <xm:f>NOT(ISERROR(SEARCH($AN$688,Q254)))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745" operator="containsText" id="{26CD4F4D-15C9-4102-8FEC-DA472C9BF57D}">
            <xm:f>NOT(ISERROR(SEARCH($AN$686,Q254)))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746" operator="containsText" id="{A9068D68-B0C9-4977-BDED-BAB9C6575524}">
            <xm:f>NOT(ISERROR(SEARCH($AN$685,Q254)))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747" operator="containsText" id="{1A2EDCC9-B17C-4ED3-BF53-9435DB3BB8A4}">
            <xm:f>NOT(ISERROR(SEARCH($AN$684,Q254)))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748" operator="containsText" id="{8F420709-9A7E-4F33-8209-889D083BA7B7}">
            <xm:f>NOT(ISERROR(SEARCH($AN$683,Q254)))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749" operator="containsText" id="{7D78029D-8650-4C42-B0C9-EBB56965692B}">
            <xm:f>NOT(ISERROR(SEARCH($AN$682,Q254)))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1750" operator="containsText" id="{436B3843-F6FD-4FB8-B642-A633A0C7FC63}">
            <xm:f>NOT(ISERROR(SEARCH($AN$681,Q254)))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751" operator="containsText" id="{86D2913B-88A1-4949-B745-88DAF81C29A5}">
            <xm:f>NOT(ISERROR(SEARCH($AN$680,Q254)))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752" operator="containsText" id="{3B2FA5F8-7A3D-483D-BFD6-45740F9817C5}">
            <xm:f>NOT(ISERROR(SEARCH($AN$678,Q254)))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753" operator="containsText" id="{525FC605-CD5E-4CDB-A7BA-F24316AB6FF1}">
            <xm:f>NOT(ISERROR(SEARCH($AN$679,Q254)))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Q254:AC277</xm:sqref>
        </x14:conditionalFormatting>
        <x14:conditionalFormatting xmlns:xm="http://schemas.microsoft.com/office/excel/2006/main">
          <x14:cfRule type="containsText" priority="26104" operator="containsText" id="{F81903CA-C77C-4DC6-BC2C-0024E46DCE6D}">
            <xm:f>NOT(ISERROR(SEARCH($AN$690,Q340)))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6105" operator="containsText" id="{E9899EB9-B891-49E3-87CE-3D716551D32E}">
            <xm:f>NOT(ISERROR(SEARCH($AN$704,Q340)))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6106" operator="containsText" id="{42B6B461-5F47-45C5-9A89-057B690C2007}">
            <xm:f>NOT(ISERROR(SEARCH($AN$693,Q340)))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6107" operator="containsText" id="{265AFB7B-9BCF-478C-A4C4-F36C9896BD7D}">
            <xm:f>NOT(ISERROR(SEARCH($AN$692,Q340)))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6108" operator="containsText" id="{0E7D89E8-D819-473C-A677-CD627CEF57C0}">
            <xm:f>NOT(ISERROR(SEARCH($AN$691,Q340)))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6109" operator="containsText" id="{38E0477D-F6BE-45AF-B7DC-5C3B349B2829}">
            <xm:f>NOT(ISERROR(SEARCH($AN$689,Q340)))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6110" operator="containsText" id="{88208A69-98F2-4AFE-8174-26F6ECFDBE8D}">
            <xm:f>NOT(ISERROR(SEARCH($AN$687,Q340)))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6111" operator="containsText" id="{C502AC95-6F77-4634-ABCA-B8E63C1D926E}">
            <xm:f>NOT(ISERROR(SEARCH($AN$688,Q340)))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6112" operator="containsText" id="{0C8C9259-75FA-4C9A-A1E9-1F8D614C9948}">
            <xm:f>NOT(ISERROR(SEARCH($AN$686,Q340)))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113" operator="containsText" id="{77AD8FF9-5A93-4D2C-A715-0B1CEA51AC17}">
            <xm:f>NOT(ISERROR(SEARCH($AN$685,Q340)))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6114" operator="containsText" id="{37CCB82D-0C76-41BC-A5B5-2D2099A43F3A}">
            <xm:f>NOT(ISERROR(SEARCH($AN$684,Q340)))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115" operator="containsText" id="{DC78A984-DBD7-4725-B712-670486D9E69D}">
            <xm:f>NOT(ISERROR(SEARCH($AN$683,Q340)))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6116" operator="containsText" id="{118C821E-D2B3-4E0C-AB84-16EA1F486140}">
            <xm:f>NOT(ISERROR(SEARCH($AN$682,Q340)))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6117" operator="containsText" id="{7C550030-8EC4-489C-83FB-E434402A41D7}">
            <xm:f>NOT(ISERROR(SEARCH($AN$681,Q340)))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118" operator="containsText" id="{2232D988-0118-4EC8-A834-03A606418452}">
            <xm:f>NOT(ISERROR(SEARCH($AN$680,Q340)))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6119" operator="containsText" id="{4140A6FD-8FA0-4E28-959F-44ACDD78EAB5}">
            <xm:f>NOT(ISERROR(SEARCH($AN$678,Q340)))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6120" operator="containsText" id="{7BD8902C-36CA-4E7D-BBBA-76EB09339E45}">
            <xm:f>NOT(ISERROR(SEARCH($AN$679,Q340)))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Q340:AC349 Q374:X381</xm:sqref>
        </x14:conditionalFormatting>
        <x14:conditionalFormatting xmlns:xm="http://schemas.microsoft.com/office/excel/2006/main">
          <x14:cfRule type="containsText" priority="26036" operator="containsText" id="{D61AF2A9-E778-4947-95A2-2E259EF9A121}">
            <xm:f>NOT(ISERROR(SEARCH($AN$690,Q350)))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6037" operator="containsText" id="{7540B368-FE5E-4898-AB7B-FE6053FADF40}">
            <xm:f>NOT(ISERROR(SEARCH($AN$704,Q350)))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6038" operator="containsText" id="{02DD1BDA-3A1B-4854-B64F-6C1FE69BDC32}">
            <xm:f>NOT(ISERROR(SEARCH($AN$693,Q350)))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6039" operator="containsText" id="{CD4848B3-A456-4726-9994-FD176D9893C0}">
            <xm:f>NOT(ISERROR(SEARCH($AN$692,Q350)))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6040" operator="containsText" id="{D7B0E813-132F-4CAA-8A63-631854487636}">
            <xm:f>NOT(ISERROR(SEARCH($AN$691,Q350)))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6041" operator="containsText" id="{792CCD13-60F0-4C03-86F5-27A6AD618D49}">
            <xm:f>NOT(ISERROR(SEARCH($AN$689,Q350)))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6042" operator="containsText" id="{6E626825-94F0-4632-8509-4747034FBFF8}">
            <xm:f>NOT(ISERROR(SEARCH($AN$687,Q350)))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6043" operator="containsText" id="{72DB617C-8CC8-4A47-93DA-D9941BB7DA62}">
            <xm:f>NOT(ISERROR(SEARCH($AN$688,Q350)))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6044" operator="containsText" id="{29BC1570-6CFC-47BF-B2EE-C1B07811FB03}">
            <xm:f>NOT(ISERROR(SEARCH($AN$686,Q350)))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045" operator="containsText" id="{8EE5A286-6F95-4237-BBDE-9358955072FF}">
            <xm:f>NOT(ISERROR(SEARCH($AN$685,Q350)))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6046" operator="containsText" id="{4EFFB506-4F90-4561-B234-61EC6CEF5CB9}">
            <xm:f>NOT(ISERROR(SEARCH($AN$684,Q350)))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047" operator="containsText" id="{1ADE68FB-0BCA-4ACB-9EBD-3D4E3E4222D4}">
            <xm:f>NOT(ISERROR(SEARCH($AN$683,Q350)))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6048" operator="containsText" id="{DB892825-19D8-4757-9201-47889AF525F2}">
            <xm:f>NOT(ISERROR(SEARCH($AN$682,Q350)))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6049" operator="containsText" id="{911E1256-A1A0-4A83-A399-DD19C1066424}">
            <xm:f>NOT(ISERROR(SEARCH($AN$681,Q350)))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050" operator="containsText" id="{4FDF34AE-0E88-4B6C-8C69-E5627EAAEA5F}">
            <xm:f>NOT(ISERROR(SEARCH($AN$680,Q350)))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6051" operator="containsText" id="{75A541CF-B50F-46C7-9569-B3B84965E6B2}">
            <xm:f>NOT(ISERROR(SEARCH($AN$678,Q350)))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6052" operator="containsText" id="{A6B5210E-F5C0-48B3-89EE-6910955776B1}">
            <xm:f>NOT(ISERROR(SEARCH($AN$679,Q350)))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Q350:AC373</xm:sqref>
        </x14:conditionalFormatting>
        <x14:conditionalFormatting xmlns:xm="http://schemas.microsoft.com/office/excel/2006/main">
          <x14:cfRule type="containsText" priority="24265" operator="containsText" id="{8B1C9A31-6B5C-4E1C-BEAA-D013661B03B4}">
            <xm:f>NOT(ISERROR(SEARCH($AN$690,Q436)))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4266" operator="containsText" id="{EF7D4D55-621E-418D-8A30-A7FD4A47492E}">
            <xm:f>NOT(ISERROR(SEARCH($AN$704,Q436)))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4267" operator="containsText" id="{74DA308D-2965-4CF5-B81F-1D02A13CB48E}">
            <xm:f>NOT(ISERROR(SEARCH($AN$693,Q436)))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4268" operator="containsText" id="{3375D8DF-0252-4483-80D2-A863DECD6868}">
            <xm:f>NOT(ISERROR(SEARCH($AN$692,Q436)))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4269" operator="containsText" id="{F265C956-D1B0-435E-85A7-EE6A35E9C9CC}">
            <xm:f>NOT(ISERROR(SEARCH($AN$691,Q436)))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4270" operator="containsText" id="{00C006B1-F1AF-48FE-9B5B-8E6A1CEFBF5E}">
            <xm:f>NOT(ISERROR(SEARCH($AN$689,Q436)))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4271" operator="containsText" id="{85C9DAEF-8293-421C-9BF8-61DC28DA268B}">
            <xm:f>NOT(ISERROR(SEARCH($AN$687,Q436)))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4272" operator="containsText" id="{07B6DC01-6A89-408E-B920-080A3A42A27C}">
            <xm:f>NOT(ISERROR(SEARCH($AN$688,Q436)))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4273" operator="containsText" id="{146DA5C5-15EE-4AE1-91D6-3256275C151B}">
            <xm:f>NOT(ISERROR(SEARCH($AN$686,Q436)))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274" operator="containsText" id="{4500537D-E857-4F2E-B203-D3037302E3D1}">
            <xm:f>NOT(ISERROR(SEARCH($AN$685,Q436)))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4275" operator="containsText" id="{62BBE114-BCEB-4D0B-885E-12FE1AB7759C}">
            <xm:f>NOT(ISERROR(SEARCH($AN$684,Q436)))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276" operator="containsText" id="{37164C8B-B8B2-46AA-B011-46C3B8E60E46}">
            <xm:f>NOT(ISERROR(SEARCH($AN$683,Q436)))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4277" operator="containsText" id="{B84A928D-40C3-4D71-80C7-3F9D3861C5ED}">
            <xm:f>NOT(ISERROR(SEARCH($AN$682,Q436)))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4278" operator="containsText" id="{17AEDC51-1342-48A0-BDCE-FEFE5AD011C2}">
            <xm:f>NOT(ISERROR(SEARCH($AN$681,Q436)))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4279" operator="containsText" id="{5BF4E27C-EB35-48B0-AB18-3CDC43605C93}">
            <xm:f>NOT(ISERROR(SEARCH($AN$680,Q436)))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4280" operator="containsText" id="{FDF6B011-6D31-4C1D-AD90-31438072FF7B}">
            <xm:f>NOT(ISERROR(SEARCH($AN$678,Q436)))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4281" operator="containsText" id="{F81DF2E5-6DD9-4FA1-A28C-0E8951113651}">
            <xm:f>NOT(ISERROR(SEARCH($AN$679,Q436)))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Q436:AC445 Q470:X477</xm:sqref>
        </x14:conditionalFormatting>
        <x14:conditionalFormatting xmlns:xm="http://schemas.microsoft.com/office/excel/2006/main">
          <x14:cfRule type="containsText" priority="24197" operator="containsText" id="{4EC804A2-709A-4CB0-A4E6-65C8BD5774DD}">
            <xm:f>NOT(ISERROR(SEARCH($AN$690,Q446)))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4198" operator="containsText" id="{3EDCDE84-23FF-4A3F-AAAF-EED44E07E3C2}">
            <xm:f>NOT(ISERROR(SEARCH($AN$704,Q446)))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4199" operator="containsText" id="{2A192443-FA15-4D4F-906B-9D94E1C9D074}">
            <xm:f>NOT(ISERROR(SEARCH($AN$693,Q446)))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4200" operator="containsText" id="{5B988FCF-4983-46E7-AC04-45F6E3C25EE4}">
            <xm:f>NOT(ISERROR(SEARCH($AN$692,Q446)))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4201" operator="containsText" id="{D5212A16-96F2-4FBA-8F4A-57744BDB2304}">
            <xm:f>NOT(ISERROR(SEARCH($AN$691,Q446)))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4202" operator="containsText" id="{240F76B9-DED0-49F3-B620-F46CCA2E7E68}">
            <xm:f>NOT(ISERROR(SEARCH($AN$689,Q446)))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4203" operator="containsText" id="{80AAB809-567E-44E6-B080-19C9BE579D86}">
            <xm:f>NOT(ISERROR(SEARCH($AN$687,Q446)))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4204" operator="containsText" id="{FC6DC367-B04F-4DD5-8AB7-06059F6D351D}">
            <xm:f>NOT(ISERROR(SEARCH($AN$688,Q446)))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4205" operator="containsText" id="{6EBC9CC1-007C-47B9-A382-066937BD688D}">
            <xm:f>NOT(ISERROR(SEARCH($AN$686,Q446)))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206" operator="containsText" id="{FA880976-3319-4DCC-88F6-89CB3EEC7C80}">
            <xm:f>NOT(ISERROR(SEARCH($AN$685,Q446)))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4207" operator="containsText" id="{01CFB572-D21C-4DBA-8B1E-A700F2ADCFE9}">
            <xm:f>NOT(ISERROR(SEARCH($AN$684,Q446)))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208" operator="containsText" id="{1F5BCBBC-38B4-4A7F-B1D5-CACE3688F253}">
            <xm:f>NOT(ISERROR(SEARCH($AN$683,Q446)))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4209" operator="containsText" id="{B3939B15-6197-4E4F-8757-406FE601C2B7}">
            <xm:f>NOT(ISERROR(SEARCH($AN$682,Q446)))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4210" operator="containsText" id="{1FE37C58-EB11-45F3-AE79-91E5409CB655}">
            <xm:f>NOT(ISERROR(SEARCH($AN$681,Q446)))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4211" operator="containsText" id="{127C0BCA-086C-419B-A5AE-22E351C6859D}">
            <xm:f>NOT(ISERROR(SEARCH($AN$680,Q446)))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4212" operator="containsText" id="{2A8F52E3-D7A7-4E08-A630-E1034ACC8F20}">
            <xm:f>NOT(ISERROR(SEARCH($AN$678,Q446)))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4213" operator="containsText" id="{8B366E93-F9CE-42B4-8739-A4A90A737CD4}">
            <xm:f>NOT(ISERROR(SEARCH($AN$679,Q446)))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Q446:AC469</xm:sqref>
        </x14:conditionalFormatting>
        <x14:conditionalFormatting xmlns:xm="http://schemas.microsoft.com/office/excel/2006/main">
          <x14:cfRule type="containsText" priority="23855" operator="containsText" id="{06C92BCE-C88D-4642-845C-EC9CA126FB37}">
            <xm:f>NOT(ISERROR(SEARCH($AN$690,Q532)))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3856" operator="containsText" id="{27B14A98-E96B-42F7-BF95-97D8E87715B5}">
            <xm:f>NOT(ISERROR(SEARCH($AN$704,Q532)))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3857" operator="containsText" id="{7028BE54-F953-4EB0-BAF5-8E161AD7DCC1}">
            <xm:f>NOT(ISERROR(SEARCH($AN$693,Q532)))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3858" operator="containsText" id="{34D564AD-EAFE-453C-82EC-66B2AC664C01}">
            <xm:f>NOT(ISERROR(SEARCH($AN$692,Q532)))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3859" operator="containsText" id="{DD2B0BCE-CD3B-40B5-86C3-A4DA19455D4E}">
            <xm:f>NOT(ISERROR(SEARCH($AN$691,Q532)))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3860" operator="containsText" id="{668DE53E-ACFB-4916-8A34-1D169D61863C}">
            <xm:f>NOT(ISERROR(SEARCH($AN$689,Q532)))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861" operator="containsText" id="{7B933EB6-9CDB-4766-AF5D-48CBAA824991}">
            <xm:f>NOT(ISERROR(SEARCH($AN$687,Q532)))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862" operator="containsText" id="{24DA01A6-89CA-489E-A0E3-FDF1E14FCD71}">
            <xm:f>NOT(ISERROR(SEARCH($AN$688,Q532)))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863" operator="containsText" id="{CEB1DE3C-0E2D-4CFC-83E9-094A059B4175}">
            <xm:f>NOT(ISERROR(SEARCH($AN$686,Q532)))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864" operator="containsText" id="{A7A82A9E-7412-421A-AD65-0C91C5026DB3}">
            <xm:f>NOT(ISERROR(SEARCH($AN$685,Q532)))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865" operator="containsText" id="{43C8455D-4D46-4DF1-BB53-2EA72D8809E0}">
            <xm:f>NOT(ISERROR(SEARCH($AN$684,Q532)))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866" operator="containsText" id="{3D5990E3-4321-4011-AA26-82D0A10575C3}">
            <xm:f>NOT(ISERROR(SEARCH($AN$683,Q532)))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867" operator="containsText" id="{5E280020-B837-4D51-82CF-9E22B8E9501E}">
            <xm:f>NOT(ISERROR(SEARCH($AN$682,Q532)))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868" operator="containsText" id="{C8BCE68C-6982-4D97-83DB-A5AF8CC2035E}">
            <xm:f>NOT(ISERROR(SEARCH($AN$681,Q532)))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869" operator="containsText" id="{ABC30B6F-B852-462E-92B0-35CCAA4BE75A}">
            <xm:f>NOT(ISERROR(SEARCH($AN$680,Q532)))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870" operator="containsText" id="{1073CCE1-EF5F-4016-BD5C-E10C60444E49}">
            <xm:f>NOT(ISERROR(SEARCH($AN$678,Q532)))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871" operator="containsText" id="{C390FA15-53B8-4E90-A38E-3FC62E9CCD92}">
            <xm:f>NOT(ISERROR(SEARCH($AN$679,Q532)))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Q532:AC541 Q566:X573</xm:sqref>
        </x14:conditionalFormatting>
        <x14:conditionalFormatting xmlns:xm="http://schemas.microsoft.com/office/excel/2006/main">
          <x14:cfRule type="containsText" priority="23787" operator="containsText" id="{915FABB3-5A42-4AA5-ACE3-DD28EE9A4BE0}">
            <xm:f>NOT(ISERROR(SEARCH($AN$690,Q542)))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3788" operator="containsText" id="{92317BA2-6A20-4B3D-A046-8376FBE4DF28}">
            <xm:f>NOT(ISERROR(SEARCH($AN$704,Q542)))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3789" operator="containsText" id="{B6847A86-C178-43EA-ABAB-F7D8ED0292A8}">
            <xm:f>NOT(ISERROR(SEARCH($AN$693,Q542)))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3790" operator="containsText" id="{81E6D564-BE14-4D80-B3C9-035936E5506A}">
            <xm:f>NOT(ISERROR(SEARCH($AN$692,Q542)))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3791" operator="containsText" id="{C280FD19-59B5-439D-9B16-63976C3151ED}">
            <xm:f>NOT(ISERROR(SEARCH($AN$691,Q542)))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3792" operator="containsText" id="{FCF29842-856E-4440-97DF-7898543FC9B9}">
            <xm:f>NOT(ISERROR(SEARCH($AN$689,Q542)))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793" operator="containsText" id="{1E4D3CDA-8757-4321-90B8-4F7414F6A4C1}">
            <xm:f>NOT(ISERROR(SEARCH($AN$687,Q542)))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794" operator="containsText" id="{DDA60CA2-0A52-483A-9C42-0EC9BA26D0F4}">
            <xm:f>NOT(ISERROR(SEARCH($AN$688,Q542)))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795" operator="containsText" id="{69108784-2F50-45CA-87C2-387207BFB437}">
            <xm:f>NOT(ISERROR(SEARCH($AN$686,Q542)))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796" operator="containsText" id="{C0643E80-A05B-4F43-90B3-6042DA258A81}">
            <xm:f>NOT(ISERROR(SEARCH($AN$685,Q542)))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797" operator="containsText" id="{F913664A-B3BF-49A3-A93A-CDAE623E1CC5}">
            <xm:f>NOT(ISERROR(SEARCH($AN$684,Q542)))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798" operator="containsText" id="{12D1A506-B783-4BC9-93F7-449D2603AA98}">
            <xm:f>NOT(ISERROR(SEARCH($AN$683,Q542)))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799" operator="containsText" id="{9BD750D6-6CA7-4BD0-B026-2520B4298978}">
            <xm:f>NOT(ISERROR(SEARCH($AN$682,Q542)))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800" operator="containsText" id="{F9AE29CD-87BD-47ED-9833-0FD32673C2B0}">
            <xm:f>NOT(ISERROR(SEARCH($AN$681,Q542)))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801" operator="containsText" id="{F247A749-F53F-4A6B-9D6E-6FE19D8BE111}">
            <xm:f>NOT(ISERROR(SEARCH($AN$680,Q542)))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802" operator="containsText" id="{3A8BD875-AD60-4D38-9A9A-C80C314F529B}">
            <xm:f>NOT(ISERROR(SEARCH($AN$678,Q542)))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803" operator="containsText" id="{9675C541-D1A1-421C-9042-292D87C8A7A2}">
            <xm:f>NOT(ISERROR(SEARCH($AN$679,Q542)))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Q542:AC565</xm:sqref>
        </x14:conditionalFormatting>
        <x14:conditionalFormatting xmlns:xm="http://schemas.microsoft.com/office/excel/2006/main">
          <x14:cfRule type="containsText" priority="23445" operator="containsText" id="{213B37DF-53EA-45A2-9448-2C5F0AB91B54}">
            <xm:f>NOT(ISERROR(SEARCH($AN$690,Q628)))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3446" operator="containsText" id="{F6C07FD1-BD82-4EDD-8586-C267A1280FE9}">
            <xm:f>NOT(ISERROR(SEARCH($AN$704,Q628)))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3447" operator="containsText" id="{59087689-B08C-49E7-B603-28BBF8B3F9DE}">
            <xm:f>NOT(ISERROR(SEARCH($AN$693,Q628)))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3448" operator="containsText" id="{D84A00BF-9F8F-447E-A7DD-D64AC576C832}">
            <xm:f>NOT(ISERROR(SEARCH($AN$692,Q628)))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3449" operator="containsText" id="{E673E8C7-DE06-4DF8-B28E-648441678BD7}">
            <xm:f>NOT(ISERROR(SEARCH($AN$691,Q628)))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3450" operator="containsText" id="{B7C248A8-18FB-40D1-8F08-3FFA56A24640}">
            <xm:f>NOT(ISERROR(SEARCH($AN$689,Q628)))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451" operator="containsText" id="{C28A8F00-89F3-49A2-B1D8-E3BC57740930}">
            <xm:f>NOT(ISERROR(SEARCH($AN$687,Q628)))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452" operator="containsText" id="{8CB923D8-8FB4-45F2-BD68-17E3A4DC0BCE}">
            <xm:f>NOT(ISERROR(SEARCH($AN$688,Q628)))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453" operator="containsText" id="{F2C7D2C1-AA33-4521-A749-D508FF0AB425}">
            <xm:f>NOT(ISERROR(SEARCH($AN$686,Q628)))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454" operator="containsText" id="{09F7FC89-28CC-4295-97D7-10FFC4E515C3}">
            <xm:f>NOT(ISERROR(SEARCH($AN$685,Q628)))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455" operator="containsText" id="{C286F8AE-29F0-4582-9964-B07549225B7F}">
            <xm:f>NOT(ISERROR(SEARCH($AN$684,Q628)))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456" operator="containsText" id="{D152909F-4E31-4BC4-A63C-4DB50AD98091}">
            <xm:f>NOT(ISERROR(SEARCH($AN$683,Q628)))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457" operator="containsText" id="{B5519F83-5363-4DB6-9FF1-5DCE2F21C3B2}">
            <xm:f>NOT(ISERROR(SEARCH($AN$682,Q628)))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458" operator="containsText" id="{E1431776-91E5-4C6B-B96D-906D3DEDDB98}">
            <xm:f>NOT(ISERROR(SEARCH($AN$681,Q628)))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459" operator="containsText" id="{F8C3BBC9-DCB3-4E73-AF3E-A372035642A2}">
            <xm:f>NOT(ISERROR(SEARCH($AN$680,Q628)))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460" operator="containsText" id="{182EE198-3BFA-4D3B-8C36-9F06498398B3}">
            <xm:f>NOT(ISERROR(SEARCH($AN$678,Q628)))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461" operator="containsText" id="{99A62EA7-85CC-4B8C-A33F-ADD59550941E}">
            <xm:f>NOT(ISERROR(SEARCH($AN$679,Q628)))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Q628:AC637 Q662:X669</xm:sqref>
        </x14:conditionalFormatting>
        <x14:conditionalFormatting xmlns:xm="http://schemas.microsoft.com/office/excel/2006/main">
          <x14:cfRule type="containsText" priority="23377" operator="containsText" id="{85E2AA73-7474-45CB-AF74-A45D6E172596}">
            <xm:f>NOT(ISERROR(SEARCH($AN$690,Q638)))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3378" operator="containsText" id="{D551BF89-9F2D-47A9-BB56-69B76206A77C}">
            <xm:f>NOT(ISERROR(SEARCH($AN$704,Q638)))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3379" operator="containsText" id="{11B00909-6991-47AD-8A89-E01AB6184A2F}">
            <xm:f>NOT(ISERROR(SEARCH($AN$693,Q638)))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3380" operator="containsText" id="{91456E53-642E-44FD-B436-0B98883E08E6}">
            <xm:f>NOT(ISERROR(SEARCH($AN$692,Q638)))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3381" operator="containsText" id="{E584436B-65F1-4D54-AAB4-CE767675ADB1}">
            <xm:f>NOT(ISERROR(SEARCH($AN$691,Q638)))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3382" operator="containsText" id="{6BBC628A-05D0-4394-A44F-49EA6EED8395}">
            <xm:f>NOT(ISERROR(SEARCH($AN$689,Q638)))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383" operator="containsText" id="{744F0999-1428-4ACF-8651-283F108D55BA}">
            <xm:f>NOT(ISERROR(SEARCH($AN$687,Q638)))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384" operator="containsText" id="{D50FCFA1-0728-41F0-A5A4-4496476E3355}">
            <xm:f>NOT(ISERROR(SEARCH($AN$688,Q638)))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385" operator="containsText" id="{BD161B2D-9F2C-4925-8C2F-2B2CAEFE01AB}">
            <xm:f>NOT(ISERROR(SEARCH($AN$686,Q638)))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386" operator="containsText" id="{F7BC0113-B9BF-44E3-B6A5-3A82BA9A9F6A}">
            <xm:f>NOT(ISERROR(SEARCH($AN$685,Q638)))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387" operator="containsText" id="{59A5F985-C239-4DF5-94A0-AA59AFF1AA2B}">
            <xm:f>NOT(ISERROR(SEARCH($AN$684,Q638)))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388" operator="containsText" id="{A1E91C94-AE35-4B0C-A756-2AEF54DC0AB6}">
            <xm:f>NOT(ISERROR(SEARCH($AN$683,Q638)))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389" operator="containsText" id="{866011B3-9945-49FA-AC67-E017BE7B62BE}">
            <xm:f>NOT(ISERROR(SEARCH($AN$682,Q638)))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390" operator="containsText" id="{E56A0ED1-3BF3-4F37-B28A-0CC4AFBC8515}">
            <xm:f>NOT(ISERROR(SEARCH($AN$681,Q638)))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391" operator="containsText" id="{C08C2261-FA61-4DF4-B75D-AAF8416B0F1C}">
            <xm:f>NOT(ISERROR(SEARCH($AN$680,Q638)))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392" operator="containsText" id="{B6FA7B13-CDCE-4638-AD21-8D6B6C57CB47}">
            <xm:f>NOT(ISERROR(SEARCH($AN$678,Q638)))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393" operator="containsText" id="{71AAF5E0-B43C-4912-ACA8-6589ED6E96E4}">
            <xm:f>NOT(ISERROR(SEARCH($AN$679,Q638)))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Q638:AC661</xm:sqref>
        </x14:conditionalFormatting>
        <x14:conditionalFormatting xmlns:xm="http://schemas.microsoft.com/office/excel/2006/main">
          <x14:cfRule type="containsText" priority="23035" operator="containsText" id="{E9A719D2-AFF9-4A2A-8FD2-BDBEF2CCE090}">
            <xm:f>NOT(ISERROR(SEARCH($AN$690,Q724)))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3036" operator="containsText" id="{5954E03D-12A8-4942-A5F9-008221301344}">
            <xm:f>NOT(ISERROR(SEARCH($AN$704,Q724)))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3037" operator="containsText" id="{F9F1A63D-6FC8-46F7-8C52-0BD6D2475224}">
            <xm:f>NOT(ISERROR(SEARCH($AN$693,Q724)))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3038" operator="containsText" id="{733D8020-EBC8-4BE1-9938-CBB32C20D82E}">
            <xm:f>NOT(ISERROR(SEARCH($AN$692,Q724)))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3039" operator="containsText" id="{B409DF61-16CD-4FCB-8EA6-B0094698601A}">
            <xm:f>NOT(ISERROR(SEARCH($AN$691,Q724)))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3040" operator="containsText" id="{79B216AE-E59E-4098-A8C5-D9095EEA74A1}">
            <xm:f>NOT(ISERROR(SEARCH($AN$689,Q724)))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041" operator="containsText" id="{66E3B090-5DCD-4E82-A605-787EB7FEB3F5}">
            <xm:f>NOT(ISERROR(SEARCH($AN$687,Q724)))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042" operator="containsText" id="{F0999599-8B72-4433-9A37-8F3EC801F9F3}">
            <xm:f>NOT(ISERROR(SEARCH($AN$688,Q724)))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043" operator="containsText" id="{8B475D05-FA47-464F-BCDA-095E197E0574}">
            <xm:f>NOT(ISERROR(SEARCH($AN$686,Q724)))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044" operator="containsText" id="{1B5FA0F4-92E3-495E-9F90-B05DFF655778}">
            <xm:f>NOT(ISERROR(SEARCH($AN$685,Q724)))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045" operator="containsText" id="{B0FD3218-52C5-4569-BA32-A95FABD5ADC1}">
            <xm:f>NOT(ISERROR(SEARCH($AN$684,Q724)))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046" operator="containsText" id="{7C0023C8-3638-4D38-BCDE-864AF54A9BC8}">
            <xm:f>NOT(ISERROR(SEARCH($AN$683,Q724)))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047" operator="containsText" id="{16D203E2-4D9A-49CD-B656-BBA189265903}">
            <xm:f>NOT(ISERROR(SEARCH($AN$682,Q724)))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048" operator="containsText" id="{49F52799-A059-446C-AFA9-ECC7616EAF23}">
            <xm:f>NOT(ISERROR(SEARCH($AN$681,Q724)))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049" operator="containsText" id="{E092C847-C6B9-4BF8-B0D7-028B851154C6}">
            <xm:f>NOT(ISERROR(SEARCH($AN$680,Q724)))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050" operator="containsText" id="{58F740CC-F376-4800-911D-93D5FD28D513}">
            <xm:f>NOT(ISERROR(SEARCH($AN$678,Q724)))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051" operator="containsText" id="{3F6022B8-7194-43A6-9B0F-78DC71B9F44C}">
            <xm:f>NOT(ISERROR(SEARCH($AN$679,Q724)))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Q724:AC733 Q758:X765</xm:sqref>
        </x14:conditionalFormatting>
        <x14:conditionalFormatting xmlns:xm="http://schemas.microsoft.com/office/excel/2006/main">
          <x14:cfRule type="containsText" priority="22967" operator="containsText" id="{B43CD1F4-A9AE-4220-82A1-5B70F2394298}">
            <xm:f>NOT(ISERROR(SEARCH($AN$690,Q734)))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968" operator="containsText" id="{9F0F938D-C504-4C8F-A71E-CBF6EFDA617E}">
            <xm:f>NOT(ISERROR(SEARCH($AN$704,Q734)))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969" operator="containsText" id="{EC885571-9DE7-4CB3-ABF2-FB461B7E6D46}">
            <xm:f>NOT(ISERROR(SEARCH($AN$693,Q734)))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970" operator="containsText" id="{F9009FA9-FC49-4634-A2B6-CE1D83D8C0D3}">
            <xm:f>NOT(ISERROR(SEARCH($AN$692,Q734)))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971" operator="containsText" id="{9D2D4842-4D6A-4971-B546-198A001F335F}">
            <xm:f>NOT(ISERROR(SEARCH($AN$691,Q734)))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972" operator="containsText" id="{18234F30-BBF4-4D0D-B715-A234F7AF6D54}">
            <xm:f>NOT(ISERROR(SEARCH($AN$689,Q734)))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973" operator="containsText" id="{BF1BC90F-7800-4671-9640-176FFA76DE52}">
            <xm:f>NOT(ISERROR(SEARCH($AN$687,Q734)))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974" operator="containsText" id="{0C0E671B-FE48-4C12-AB93-3E90CD4EF5D2}">
            <xm:f>NOT(ISERROR(SEARCH($AN$688,Q734)))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975" operator="containsText" id="{53538F44-8197-4FD4-8C1A-5FA9D144E159}">
            <xm:f>NOT(ISERROR(SEARCH($AN$686,Q734)))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976" operator="containsText" id="{C9A4D413-1B4C-4B76-A926-ED90268E55C6}">
            <xm:f>NOT(ISERROR(SEARCH($AN$685,Q734)))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977" operator="containsText" id="{6C6D4FA8-192E-48EC-8FCA-C3B8824D2727}">
            <xm:f>NOT(ISERROR(SEARCH($AN$684,Q734)))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978" operator="containsText" id="{EA5160BB-3166-41D0-A019-0D442D02F2A0}">
            <xm:f>NOT(ISERROR(SEARCH($AN$683,Q734)))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979" operator="containsText" id="{911F1BA1-608E-48E0-99D1-E42C6D4C76EF}">
            <xm:f>NOT(ISERROR(SEARCH($AN$682,Q734)))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980" operator="containsText" id="{65985419-078A-4ACB-9F49-CE8642F69356}">
            <xm:f>NOT(ISERROR(SEARCH($AN$681,Q734)))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981" operator="containsText" id="{142EBC34-498C-453F-A056-63B172C9B957}">
            <xm:f>NOT(ISERROR(SEARCH($AN$680,Q734)))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982" operator="containsText" id="{31C3A666-FE9D-49CD-B39D-D80AC3D084C7}">
            <xm:f>NOT(ISERROR(SEARCH($AN$678,Q734)))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983" operator="containsText" id="{6B90C918-05CF-4B97-A688-975A2992B3EB}">
            <xm:f>NOT(ISERROR(SEARCH($AN$679,Q734)))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Q734:AC757</xm:sqref>
        </x14:conditionalFormatting>
        <x14:conditionalFormatting xmlns:xm="http://schemas.microsoft.com/office/excel/2006/main">
          <x14:cfRule type="containsText" priority="1876" operator="containsText" id="{D331FA6D-B768-4741-8EFD-F94E805CD632}">
            <xm:f>NOT(ISERROR(SEARCH($AN$687,Y90)))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877" operator="containsText" id="{DE0D1724-0575-4E18-901F-A7F829F4F226}">
            <xm:f>NOT(ISERROR(SEARCH($AN$688,Y90)))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878" operator="containsText" id="{39C80F9E-5180-4520-8B35-BDF7FE87DA11}">
            <xm:f>NOT(ISERROR(SEARCH($AN$686,Y90)))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79" operator="containsText" id="{C467B81F-F232-4D3E-A3FA-3FBEDC8D4BD8}">
            <xm:f>NOT(ISERROR(SEARCH($AN$685,Y90)))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880" operator="containsText" id="{FB20844D-EE6A-40FB-971A-44F805BEA05B}">
            <xm:f>NOT(ISERROR(SEARCH($AN$684,Y90)))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81" operator="containsText" id="{2570EFA0-3CC9-4351-8491-5FADDC6BC383}">
            <xm:f>NOT(ISERROR(SEARCH($AN$683,Y90)))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882" operator="containsText" id="{4C752EC3-6BCE-4251-8C23-DD3501306F88}">
            <xm:f>NOT(ISERROR(SEARCH($AN$682,Y90)))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883" operator="containsText" id="{40CEC2F3-0F72-4286-A9ED-E76BAA333C98}">
            <xm:f>NOT(ISERROR(SEARCH($AN$681,Y90)))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884" operator="containsText" id="{4A2155B0-1FC5-4A3F-BC62-0DE7CC307DCC}">
            <xm:f>NOT(ISERROR(SEARCH($AN$680,Y90)))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885" operator="containsText" id="{96F50E24-4E5D-4574-A882-607696ADD74C}">
            <xm:f>NOT(ISERROR(SEARCH($AN$678,Y90)))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886" operator="containsText" id="{BCFFF072-EFC9-4AF8-B137-FF14F8943C00}">
            <xm:f>NOT(ISERROR(SEARCH($AN$679,Y90)))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Y90</xm:sqref>
        </x14:conditionalFormatting>
        <x14:conditionalFormatting xmlns:xm="http://schemas.microsoft.com/office/excel/2006/main">
          <x14:cfRule type="containsText" priority="2012" operator="containsText" id="{15D11407-BDBA-40F8-A013-BF3273991D8B}">
            <xm:f>NOT(ISERROR(SEARCH($AN$692,Y91)))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013" operator="containsText" id="{7A94C0A5-A5F3-4FBE-8343-C24D3654501A}">
            <xm:f>NOT(ISERROR(SEARCH($AN$691,Y91)))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014" operator="containsText" id="{393B5D9F-4EB5-4D00-9CF8-F8938C43D001}">
            <xm:f>NOT(ISERROR(SEARCH($AN$689,Y91)))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015" operator="containsText" id="{C6EB6F62-AB54-4255-A484-B86FC7C6D3E7}">
            <xm:f>NOT(ISERROR(SEARCH($AN$687,Y91)))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016" operator="containsText" id="{68F39494-7D0F-4551-9451-5C58995CDA05}">
            <xm:f>NOT(ISERROR(SEARCH($AN$688,Y91)))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017" operator="containsText" id="{161E005C-7303-4B3B-B390-E14513CC7580}">
            <xm:f>NOT(ISERROR(SEARCH($AN$686,Y91)))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018" operator="containsText" id="{66352CB3-E6BE-401D-940F-E162D9AD774B}">
            <xm:f>NOT(ISERROR(SEARCH($AN$685,Y91)))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019" operator="containsText" id="{5CDFC76F-5FD3-4B60-B888-F80103CE73E6}">
            <xm:f>NOT(ISERROR(SEARCH($AN$684,Y91)))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020" operator="containsText" id="{1F7D177A-7B72-46D9-98A0-25D64B48F74F}">
            <xm:f>NOT(ISERROR(SEARCH($AN$683,Y91)))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021" operator="containsText" id="{6CCED403-066C-4D44-A683-406774F3C387}">
            <xm:f>NOT(ISERROR(SEARCH($AN$682,Y91)))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022" operator="containsText" id="{AED48EF9-82A7-4C46-A48D-560B9DBB8424}">
            <xm:f>NOT(ISERROR(SEARCH($AN$681,Y91)))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023" operator="containsText" id="{4A758A3A-C882-472F-9AB7-C83009399E11}">
            <xm:f>NOT(ISERROR(SEARCH($AN$680,Y91)))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024" operator="containsText" id="{7F326CEE-EDD9-4295-94CD-D8CF2A42D0FD}">
            <xm:f>NOT(ISERROR(SEARCH($AN$678,Y91)))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025" operator="containsText" id="{64AAC53A-7DF8-4314-AE05-B422B4A11DC1}">
            <xm:f>NOT(ISERROR(SEARCH($AN$679,Y91)))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Y91</xm:sqref>
        </x14:conditionalFormatting>
        <x14:conditionalFormatting xmlns:xm="http://schemas.microsoft.com/office/excel/2006/main">
          <x14:cfRule type="containsText" priority="2009" operator="containsText" id="{D265BBC1-3946-4E40-8331-4C0F134AEFC7}">
            <xm:f>NOT(ISERROR(SEARCH($AN$690,Y91)))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010" operator="containsText" id="{1DE802AB-1C8D-45E2-A901-C8C040F23966}">
            <xm:f>NOT(ISERROR(SEARCH($AN$704,Y91)))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011" operator="containsText" id="{09245919-166B-4D31-8DFF-F08EEF0EDCDE}">
            <xm:f>NOT(ISERROR(SEARCH($AN$693,Y91)))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Y91:Y93</xm:sqref>
        </x14:conditionalFormatting>
        <x14:conditionalFormatting xmlns:xm="http://schemas.microsoft.com/office/excel/2006/main">
          <x14:cfRule type="containsText" priority="2061" operator="containsText" id="{5E4E3907-60B0-4999-A621-A71A55EEC6D8}">
            <xm:f>NOT(ISERROR(SEARCH($AN$687,Y92)))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062" operator="containsText" id="{72063905-DAD5-4AB6-805E-66B091C43DC9}">
            <xm:f>NOT(ISERROR(SEARCH($AN$688,Y92)))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063" operator="containsText" id="{FB6469EA-C267-4513-B589-2F9BA53A05E6}">
            <xm:f>NOT(ISERROR(SEARCH($AN$686,Y92)))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064" operator="containsText" id="{72A5D7E2-621F-4A9C-9D69-BAA56E9329C1}">
            <xm:f>NOT(ISERROR(SEARCH($AN$685,Y92)))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065" operator="containsText" id="{76F76F35-8404-4C87-9AAB-42918E7160D6}">
            <xm:f>NOT(ISERROR(SEARCH($AN$684,Y92)))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066" operator="containsText" id="{7340E6EB-6DDD-487A-A862-3EB65AE5B24C}">
            <xm:f>NOT(ISERROR(SEARCH($AN$683,Y92)))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067" operator="containsText" id="{C45BC2B4-0949-4974-A30C-CCBF316F60B7}">
            <xm:f>NOT(ISERROR(SEARCH($AN$682,Y92)))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068" operator="containsText" id="{C52EB57B-7AF4-4631-B2D8-5BCD3A876195}">
            <xm:f>NOT(ISERROR(SEARCH($AN$681,Y92)))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069" operator="containsText" id="{6A9DE8CE-BA81-473D-90B9-276DD26D1983}">
            <xm:f>NOT(ISERROR(SEARCH($AN$680,Y92)))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070" operator="containsText" id="{483CE11D-5642-41CE-BF12-52852E47E65B}">
            <xm:f>NOT(ISERROR(SEARCH($AN$678,Y92)))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071" operator="containsText" id="{074D3194-0343-472D-B8D1-EB49A9A8B075}">
            <xm:f>NOT(ISERROR(SEARCH($AN$679,Y92)))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Y92</xm:sqref>
        </x14:conditionalFormatting>
        <x14:conditionalFormatting xmlns:xm="http://schemas.microsoft.com/office/excel/2006/main">
          <x14:cfRule type="containsText" priority="2058" operator="containsText" id="{FDE6461F-4285-498D-BD7A-239C0FA76A50}">
            <xm:f>NOT(ISERROR(SEARCH($AN$692,Y92)))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059" operator="containsText" id="{73DD8E51-4EC2-4E12-858E-014698F23F30}">
            <xm:f>NOT(ISERROR(SEARCH($AN$691,Y92)))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060" operator="containsText" id="{42E3E8CC-A81A-4869-9677-57915DC06525}">
            <xm:f>NOT(ISERROR(SEARCH($AN$689,Y92)))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Y92:Y93</xm:sqref>
        </x14:conditionalFormatting>
        <x14:conditionalFormatting xmlns:xm="http://schemas.microsoft.com/office/excel/2006/main">
          <x14:cfRule type="containsText" priority="2072" operator="containsText" id="{50C07FDA-46E7-444D-AE51-27877E4E4A18}">
            <xm:f>NOT(ISERROR(SEARCH($AN$687,Y93)))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073" operator="containsText" id="{0B903DFA-C936-4E32-8C56-E9E14A5B6882}">
            <xm:f>NOT(ISERROR(SEARCH($AN$688,Y93)))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074" operator="containsText" id="{310B584B-BF6E-4CB5-8EE7-D4C44660FA6E}">
            <xm:f>NOT(ISERROR(SEARCH($AN$686,Y93)))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075" operator="containsText" id="{17738D61-D649-4CAD-902B-8E0E96B2F7D7}">
            <xm:f>NOT(ISERROR(SEARCH($AN$685,Y93)))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076" operator="containsText" id="{2C23446D-A6E6-4B26-A9F0-662BC5D7202E}">
            <xm:f>NOT(ISERROR(SEARCH($AN$684,Y93)))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077" operator="containsText" id="{17A3042D-48FE-44AA-ACFA-0D84FFF93179}">
            <xm:f>NOT(ISERROR(SEARCH($AN$683,Y93)))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078" operator="containsText" id="{EF863131-5581-4D86-BC82-1209595CEF9A}">
            <xm:f>NOT(ISERROR(SEARCH($AN$682,Y93)))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079" operator="containsText" id="{BE954C19-07C3-4708-A27B-88AADC5FE887}">
            <xm:f>NOT(ISERROR(SEARCH($AN$681,Y93)))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080" operator="containsText" id="{BF965324-35F3-4BAE-A54C-73601F6841F6}">
            <xm:f>NOT(ISERROR(SEARCH($AN$680,Y93)))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081" operator="containsText" id="{EEBB31E6-36BC-484E-BABF-EA8414671EE2}">
            <xm:f>NOT(ISERROR(SEARCH($AN$678,Y93)))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082" operator="containsText" id="{7971CE70-7AD9-40B1-86BC-B705C69BD9F6}">
            <xm:f>NOT(ISERROR(SEARCH($AN$679,Y93)))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Y93</xm:sqref>
        </x14:conditionalFormatting>
        <x14:conditionalFormatting xmlns:xm="http://schemas.microsoft.com/office/excel/2006/main">
          <x14:cfRule type="containsText" priority="1571" operator="containsText" id="{41CBAF66-47EE-4691-80F3-E58FA973A5E9}">
            <xm:f>NOT(ISERROR(SEARCH($AN$687,Y186)))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572" operator="containsText" id="{3AF6215A-C352-4C67-A1B8-F7C815AC8B6E}">
            <xm:f>NOT(ISERROR(SEARCH($AN$688,Y186)))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573" operator="containsText" id="{A1739D1B-6149-460B-8A8E-9E46E4E0C43B}">
            <xm:f>NOT(ISERROR(SEARCH($AN$686,Y186)))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574" operator="containsText" id="{7A533781-DD67-4A04-96EA-365E6DE95465}">
            <xm:f>NOT(ISERROR(SEARCH($AN$685,Y186)))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575" operator="containsText" id="{33AAF2B3-3F95-497D-9A93-103F6C91E63F}">
            <xm:f>NOT(ISERROR(SEARCH($AN$684,Y186)))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576" operator="containsText" id="{2B43A8AD-B0FC-4D15-82D7-E5940507514D}">
            <xm:f>NOT(ISERROR(SEARCH($AN$683,Y186)))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577" operator="containsText" id="{AC5154BC-2B95-443E-A338-3FE3D2C6E740}">
            <xm:f>NOT(ISERROR(SEARCH($AN$682,Y186)))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578" operator="containsText" id="{D577CC31-0016-4C85-96C2-3AADCC6986B1}">
            <xm:f>NOT(ISERROR(SEARCH($AN$681,Y186)))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579" operator="containsText" id="{276144DD-F79E-46DF-A202-3711FBEF9D32}">
            <xm:f>NOT(ISERROR(SEARCH($AN$680,Y186)))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580" operator="containsText" id="{CCA01F9A-CA52-45D6-A88D-F901CD38E0F8}">
            <xm:f>NOT(ISERROR(SEARCH($AN$678,Y186)))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581" operator="containsText" id="{8680DA1E-F3F1-4E40-8A2A-D5890A46F516}">
            <xm:f>NOT(ISERROR(SEARCH($AN$679,Y186)))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Y186</xm:sqref>
        </x14:conditionalFormatting>
        <x14:conditionalFormatting xmlns:xm="http://schemas.microsoft.com/office/excel/2006/main">
          <x14:cfRule type="containsText" priority="1707" operator="containsText" id="{EF4B8745-0ADB-4F3F-9CD0-F03710BDE758}">
            <xm:f>NOT(ISERROR(SEARCH($AN$692,Y187)))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708" operator="containsText" id="{4007BC2F-3E20-47C5-A15A-97E36A773F5D}">
            <xm:f>NOT(ISERROR(SEARCH($AN$691,Y187)))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709" operator="containsText" id="{6B965A6D-B1B8-49BF-B965-077682AAB3C7}">
            <xm:f>NOT(ISERROR(SEARCH($AN$689,Y187)))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710" operator="containsText" id="{9C3FEFA4-836F-4769-8F08-591414BD79F7}">
            <xm:f>NOT(ISERROR(SEARCH($AN$687,Y187)))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711" operator="containsText" id="{A8896045-818A-4439-B9D2-F7902AD9BB04}">
            <xm:f>NOT(ISERROR(SEARCH($AN$688,Y187)))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712" operator="containsText" id="{9B211702-CD71-4D6E-89D3-0C5FE794E9C8}">
            <xm:f>NOT(ISERROR(SEARCH($AN$686,Y187)))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713" operator="containsText" id="{BE646A37-E744-4E0A-8766-97F783B29149}">
            <xm:f>NOT(ISERROR(SEARCH($AN$685,Y187)))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714" operator="containsText" id="{CBA4F73D-49B5-4FE3-92FA-8E2144349274}">
            <xm:f>NOT(ISERROR(SEARCH($AN$684,Y187)))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715" operator="containsText" id="{9EABD390-91D7-4952-82CB-87C77590983F}">
            <xm:f>NOT(ISERROR(SEARCH($AN$683,Y187)))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716" operator="containsText" id="{06BFE9F2-6C92-447E-9FD1-A6653D78D00E}">
            <xm:f>NOT(ISERROR(SEARCH($AN$682,Y187)))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717" operator="containsText" id="{FA2264F0-0060-4342-8190-78F1C4FD99D7}">
            <xm:f>NOT(ISERROR(SEARCH($AN$681,Y187)))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718" operator="containsText" id="{11E90B91-C5EA-48F5-8A27-B435A8EF9FB2}">
            <xm:f>NOT(ISERROR(SEARCH($AN$680,Y187)))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719" operator="containsText" id="{4FD09937-1067-478E-A00C-EF22075B1604}">
            <xm:f>NOT(ISERROR(SEARCH($AN$678,Y187)))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720" operator="containsText" id="{751B4F96-2086-4AB9-AC11-9EF328EAABBA}">
            <xm:f>NOT(ISERROR(SEARCH($AN$679,Y187)))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Y187</xm:sqref>
        </x14:conditionalFormatting>
        <x14:conditionalFormatting xmlns:xm="http://schemas.microsoft.com/office/excel/2006/main">
          <x14:cfRule type="containsText" priority="1704" operator="containsText" id="{98D3ACD6-51B8-409A-97C3-AAD6AAB5A73D}">
            <xm:f>NOT(ISERROR(SEARCH($AN$690,Y187)))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705" operator="containsText" id="{43040F6E-D47F-4251-BC19-A1EDD285A00E}">
            <xm:f>NOT(ISERROR(SEARCH($AN$704,Y187)))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706" operator="containsText" id="{141A37A8-D35A-4510-923C-EBFAB71C1701}">
            <xm:f>NOT(ISERROR(SEARCH($AN$693,Y187)))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Y187:Y189</xm:sqref>
        </x14:conditionalFormatting>
        <x14:conditionalFormatting xmlns:xm="http://schemas.microsoft.com/office/excel/2006/main">
          <x14:cfRule type="containsText" priority="1756" operator="containsText" id="{9E7B9990-7AC6-4F39-982B-F1EB3B3A3653}">
            <xm:f>NOT(ISERROR(SEARCH($AN$687,Y188)))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757" operator="containsText" id="{41385035-E66D-4EE5-B0E3-8C00EBF07DA0}">
            <xm:f>NOT(ISERROR(SEARCH($AN$688,Y188)))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758" operator="containsText" id="{43365BC6-C1E3-4B15-BF91-728EF4E8B082}">
            <xm:f>NOT(ISERROR(SEARCH($AN$686,Y188)))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759" operator="containsText" id="{E02092E0-308B-4BF0-A74D-61BE51C6C16D}">
            <xm:f>NOT(ISERROR(SEARCH($AN$685,Y188)))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760" operator="containsText" id="{1FFB93C1-1C55-4C60-8296-6DFC19972F9A}">
            <xm:f>NOT(ISERROR(SEARCH($AN$684,Y188)))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761" operator="containsText" id="{FD9B4A55-0A24-4727-86C6-00D1FC5EA4F7}">
            <xm:f>NOT(ISERROR(SEARCH($AN$683,Y188)))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762" operator="containsText" id="{2918772F-B450-45F2-BDE1-01E36ADA257C}">
            <xm:f>NOT(ISERROR(SEARCH($AN$682,Y188)))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763" operator="containsText" id="{24247245-E9A9-4F2E-9C2C-2844C257357D}">
            <xm:f>NOT(ISERROR(SEARCH($AN$681,Y188)))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764" operator="containsText" id="{DDFFB726-1C8F-4AA2-8521-E7530D69FAC1}">
            <xm:f>NOT(ISERROR(SEARCH($AN$680,Y188)))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765" operator="containsText" id="{689FE605-051A-4274-AE96-29870FB4D691}">
            <xm:f>NOT(ISERROR(SEARCH($AN$678,Y188)))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766" operator="containsText" id="{014D8389-0D01-48C5-861B-571D12B73BCD}">
            <xm:f>NOT(ISERROR(SEARCH($AN$679,Y188)))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Y188</xm:sqref>
        </x14:conditionalFormatting>
        <x14:conditionalFormatting xmlns:xm="http://schemas.microsoft.com/office/excel/2006/main">
          <x14:cfRule type="containsText" priority="1753" operator="containsText" id="{A6AF9D56-19CE-49DC-A04F-CD5AD82DECE1}">
            <xm:f>NOT(ISERROR(SEARCH($AN$692,Y188)))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754" operator="containsText" id="{965E92D0-2204-4C8D-AC88-FD192B576393}">
            <xm:f>NOT(ISERROR(SEARCH($AN$691,Y188)))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755" operator="containsText" id="{504242B3-2F09-4FAB-86F5-371711C5D0E6}">
            <xm:f>NOT(ISERROR(SEARCH($AN$689,Y188)))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Y188:Y189</xm:sqref>
        </x14:conditionalFormatting>
        <x14:conditionalFormatting xmlns:xm="http://schemas.microsoft.com/office/excel/2006/main">
          <x14:cfRule type="containsText" priority="1767" operator="containsText" id="{2A754473-B15C-452F-A604-7D9963D01DE8}">
            <xm:f>NOT(ISERROR(SEARCH($AN$687,Y189)))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768" operator="containsText" id="{5FD06245-98C2-4AFD-BF1D-DB964C99F067}">
            <xm:f>NOT(ISERROR(SEARCH($AN$688,Y189)))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769" operator="containsText" id="{83695D78-C3CC-49EC-B4E1-9EEA3800358D}">
            <xm:f>NOT(ISERROR(SEARCH($AN$686,Y189)))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770" operator="containsText" id="{A319BD0B-26F2-4073-9D96-9F40AA63B2BF}">
            <xm:f>NOT(ISERROR(SEARCH($AN$685,Y189)))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771" operator="containsText" id="{A30EBE99-B936-4072-AD62-A8DE9BD184E0}">
            <xm:f>NOT(ISERROR(SEARCH($AN$684,Y189)))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772" operator="containsText" id="{8484647E-5281-49B4-BC28-A9E4AB495283}">
            <xm:f>NOT(ISERROR(SEARCH($AN$683,Y189)))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773" operator="containsText" id="{3BD120E8-3853-40EC-A819-6DC54728AA22}">
            <xm:f>NOT(ISERROR(SEARCH($AN$682,Y189)))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774" operator="containsText" id="{F155E807-6502-4D68-8450-011D6F6C9580}">
            <xm:f>NOT(ISERROR(SEARCH($AN$681,Y189)))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775" operator="containsText" id="{B3F3DCEA-EE41-46A9-B1DC-C0A99D241096}">
            <xm:f>NOT(ISERROR(SEARCH($AN$680,Y189)))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776" operator="containsText" id="{59B49688-D87C-4511-ACAB-746A3A802656}">
            <xm:f>NOT(ISERROR(SEARCH($AN$678,Y189)))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777" operator="containsText" id="{EF40260B-8266-48FC-B67A-3F13E7E41F5C}">
            <xm:f>NOT(ISERROR(SEARCH($AN$679,Y189)))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Y189</xm:sqref>
        </x14:conditionalFormatting>
        <x14:conditionalFormatting xmlns:xm="http://schemas.microsoft.com/office/excel/2006/main">
          <x14:cfRule type="containsText" priority="1266" operator="containsText" id="{C1F03B8B-E5F2-4952-B781-EBD7A6176B48}">
            <xm:f>NOT(ISERROR(SEARCH($AN$687,Y282)))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267" operator="containsText" id="{5D975E01-EACC-4045-B54C-3ED994953C2A}">
            <xm:f>NOT(ISERROR(SEARCH($AN$688,Y282)))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68" operator="containsText" id="{588C4DCF-5D93-4174-B850-2D6BD0217ECE}">
            <xm:f>NOT(ISERROR(SEARCH($AN$686,Y282)))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69" operator="containsText" id="{56ACB1BD-2481-4811-988E-F4F99124BE34}">
            <xm:f>NOT(ISERROR(SEARCH($AN$685,Y282)))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70" operator="containsText" id="{114C7291-214B-4A09-8E11-2660C5F9BBBA}">
            <xm:f>NOT(ISERROR(SEARCH($AN$684,Y282)))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71" operator="containsText" id="{7FE5D705-372D-40E8-91F3-C27326536D0F}">
            <xm:f>NOT(ISERROR(SEARCH($AN$683,Y282)))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72" operator="containsText" id="{97199BC2-0E79-4A46-83E2-1F414C189027}">
            <xm:f>NOT(ISERROR(SEARCH($AN$682,Y282)))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73" operator="containsText" id="{25D347BA-28EB-4E71-91ED-C2238D7115BE}">
            <xm:f>NOT(ISERROR(SEARCH($AN$681,Y282)))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74" operator="containsText" id="{48120E0F-5024-430F-BDB1-08FD77D7A4E9}">
            <xm:f>NOT(ISERROR(SEARCH($AN$680,Y282)))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75" operator="containsText" id="{DEB84C15-2F00-4A7D-B262-DEA2447B4EE4}">
            <xm:f>NOT(ISERROR(SEARCH($AN$678,Y282)))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76" operator="containsText" id="{3FADE9C8-4894-48FA-8B26-37DC6D30754E}">
            <xm:f>NOT(ISERROR(SEARCH($AN$679,Y282)))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Y282</xm:sqref>
        </x14:conditionalFormatting>
        <x14:conditionalFormatting xmlns:xm="http://schemas.microsoft.com/office/excel/2006/main">
          <x14:cfRule type="containsText" priority="1402" operator="containsText" id="{E46455F1-F8FD-4FE6-80D1-15B316C1B1EE}">
            <xm:f>NOT(ISERROR(SEARCH($AN$692,Y283)))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03" operator="containsText" id="{946EDF67-D879-4C43-B314-91DA54354609}">
            <xm:f>NOT(ISERROR(SEARCH($AN$691,Y283)))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404" operator="containsText" id="{614533FD-FEA3-4DE0-A014-65921C5C36E3}">
            <xm:f>NOT(ISERROR(SEARCH($AN$689,Y283)))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405" operator="containsText" id="{9AC09942-B514-47EA-B648-A23C98175662}">
            <xm:f>NOT(ISERROR(SEARCH($AN$687,Y283)))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406" operator="containsText" id="{B4FDF8BA-8955-44D6-B106-DA8CC702580C}">
            <xm:f>NOT(ISERROR(SEARCH($AN$688,Y283)))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407" operator="containsText" id="{B5B141EC-F3F3-4263-9792-268CD4CDC55D}">
            <xm:f>NOT(ISERROR(SEARCH($AN$686,Y283)))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408" operator="containsText" id="{EDAB2E8D-3746-4FB0-94B8-5F30FC83B15C}">
            <xm:f>NOT(ISERROR(SEARCH($AN$685,Y283)))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409" operator="containsText" id="{024FA5F7-60A4-4476-A236-B3F2950CFE91}">
            <xm:f>NOT(ISERROR(SEARCH($AN$684,Y283)))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410" operator="containsText" id="{C4F61482-5DB4-46C2-8279-3A0E345EDCB0}">
            <xm:f>NOT(ISERROR(SEARCH($AN$683,Y283)))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411" operator="containsText" id="{EBE2D435-F885-4FCA-8B93-31606625F3D6}">
            <xm:f>NOT(ISERROR(SEARCH($AN$682,Y283)))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412" operator="containsText" id="{CE51378E-FDCD-4400-B87A-38EEB001265D}">
            <xm:f>NOT(ISERROR(SEARCH($AN$681,Y283)))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413" operator="containsText" id="{8575772F-C752-427B-B6D1-3D0938C3D453}">
            <xm:f>NOT(ISERROR(SEARCH($AN$680,Y283)))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414" operator="containsText" id="{2432FA15-BF8B-41E2-BC5A-7194A4C94230}">
            <xm:f>NOT(ISERROR(SEARCH($AN$678,Y283)))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415" operator="containsText" id="{E56C46F1-EAD7-4F68-B539-FBD35337D0D8}">
            <xm:f>NOT(ISERROR(SEARCH($AN$679,Y283)))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Y283</xm:sqref>
        </x14:conditionalFormatting>
        <x14:conditionalFormatting xmlns:xm="http://schemas.microsoft.com/office/excel/2006/main">
          <x14:cfRule type="containsText" priority="1399" operator="containsText" id="{3F29DAA0-A8A3-46FB-A65D-58F8E69A7064}">
            <xm:f>NOT(ISERROR(SEARCH($AN$690,Y283)))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400" operator="containsText" id="{56B75AC1-08E9-450A-A2AE-1AB4C6EFF948}">
            <xm:f>NOT(ISERROR(SEARCH($AN$704,Y283)))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401" operator="containsText" id="{F494AE27-5B8C-453D-B77A-37E9CC00DB01}">
            <xm:f>NOT(ISERROR(SEARCH($AN$693,Y283)))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Y283:Y285</xm:sqref>
        </x14:conditionalFormatting>
        <x14:conditionalFormatting xmlns:xm="http://schemas.microsoft.com/office/excel/2006/main">
          <x14:cfRule type="containsText" priority="1451" operator="containsText" id="{C0787FF5-2791-460A-B2B4-FDB25C26DE15}">
            <xm:f>NOT(ISERROR(SEARCH($AN$687,Y284)))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452" operator="containsText" id="{621F6A81-72D5-4ABC-9132-639EEFAE2099}">
            <xm:f>NOT(ISERROR(SEARCH($AN$688,Y284)))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453" operator="containsText" id="{EE0ECD51-86BF-4C5E-AE60-FC2D7473991D}">
            <xm:f>NOT(ISERROR(SEARCH($AN$686,Y284)))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454" operator="containsText" id="{69628BC0-0B38-4EB3-B98A-1322DAB243B1}">
            <xm:f>NOT(ISERROR(SEARCH($AN$685,Y284)))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455" operator="containsText" id="{C4BB0E13-6BB7-4E3E-A960-FD3F50D297E9}">
            <xm:f>NOT(ISERROR(SEARCH($AN$684,Y284)))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456" operator="containsText" id="{E12B6CCD-61D6-4090-91BA-0F73B274562D}">
            <xm:f>NOT(ISERROR(SEARCH($AN$683,Y284)))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457" operator="containsText" id="{3A376CBF-D079-4DB6-A29D-FE141309BB21}">
            <xm:f>NOT(ISERROR(SEARCH($AN$682,Y284)))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458" operator="containsText" id="{FD2F534C-17F9-4AA9-9341-9D081F6FB7D5}">
            <xm:f>NOT(ISERROR(SEARCH($AN$681,Y284)))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459" operator="containsText" id="{B926F825-3696-4B57-AB85-DE1815308C09}">
            <xm:f>NOT(ISERROR(SEARCH($AN$680,Y284)))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460" operator="containsText" id="{B37442DC-BFBE-4DAD-8D83-393F33AECD85}">
            <xm:f>NOT(ISERROR(SEARCH($AN$678,Y284)))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461" operator="containsText" id="{B14325EB-4A87-49AF-A5EF-5DD94018A0D4}">
            <xm:f>NOT(ISERROR(SEARCH($AN$679,Y284)))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Y284</xm:sqref>
        </x14:conditionalFormatting>
        <x14:conditionalFormatting xmlns:xm="http://schemas.microsoft.com/office/excel/2006/main">
          <x14:cfRule type="containsText" priority="1448" operator="containsText" id="{18C25244-4863-467F-BE6B-6F5DBC366CE2}">
            <xm:f>NOT(ISERROR(SEARCH($AN$692,Y284)))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49" operator="containsText" id="{9C7F9274-D5D5-42F7-84F2-7D04D8773A09}">
            <xm:f>NOT(ISERROR(SEARCH($AN$691,Y284)))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450" operator="containsText" id="{613270A5-33DE-4120-A9C2-2B69D940613B}">
            <xm:f>NOT(ISERROR(SEARCH($AN$689,Y284)))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Y284:Y285</xm:sqref>
        </x14:conditionalFormatting>
        <x14:conditionalFormatting xmlns:xm="http://schemas.microsoft.com/office/excel/2006/main">
          <x14:cfRule type="containsText" priority="1462" operator="containsText" id="{EA3E728D-6F36-4F4D-8465-71040BEA5424}">
            <xm:f>NOT(ISERROR(SEARCH($AN$687,Y285)))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463" operator="containsText" id="{9FF98F1D-E314-4E37-B3CC-6C8A57F1D901}">
            <xm:f>NOT(ISERROR(SEARCH($AN$688,Y285)))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464" operator="containsText" id="{E4359239-6C1B-4A5C-98D8-AF71E30DFEEB}">
            <xm:f>NOT(ISERROR(SEARCH($AN$686,Y285)))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465" operator="containsText" id="{0B5C511F-6CFA-44C9-90A5-2446AEBD5F5F}">
            <xm:f>NOT(ISERROR(SEARCH($AN$685,Y285)))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466" operator="containsText" id="{6DF5B4E1-0CA1-4632-9A53-920AC3381989}">
            <xm:f>NOT(ISERROR(SEARCH($AN$684,Y285)))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467" operator="containsText" id="{E8F7413E-1C68-4454-B5B4-A7F3A37A8AFF}">
            <xm:f>NOT(ISERROR(SEARCH($AN$683,Y285)))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468" operator="containsText" id="{30632729-8B0D-4416-A092-D7C927880386}">
            <xm:f>NOT(ISERROR(SEARCH($AN$682,Y285)))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469" operator="containsText" id="{ABAE8353-A6BF-4A2C-8FF1-3BF1830F7956}">
            <xm:f>NOT(ISERROR(SEARCH($AN$681,Y285)))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470" operator="containsText" id="{112FA8D4-F04A-4C71-AC3C-6F3628509753}">
            <xm:f>NOT(ISERROR(SEARCH($AN$680,Y285)))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471" operator="containsText" id="{0DE5824C-BA60-4908-97A6-231547AD18BD}">
            <xm:f>NOT(ISERROR(SEARCH($AN$678,Y285)))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472" operator="containsText" id="{8CCE29D7-041D-4A76-90C3-60F6F6AF597B}">
            <xm:f>NOT(ISERROR(SEARCH($AN$679,Y285)))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Y285</xm:sqref>
        </x14:conditionalFormatting>
        <x14:conditionalFormatting xmlns:xm="http://schemas.microsoft.com/office/excel/2006/main">
          <x14:cfRule type="containsText" priority="961" operator="containsText" id="{5377E71F-E59A-4955-B53D-31E0924D3208}">
            <xm:f>NOT(ISERROR(SEARCH($AN$687,Y378)))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962" operator="containsText" id="{F97B8F46-2B71-408A-B1E4-8E32119B0B7B}">
            <xm:f>NOT(ISERROR(SEARCH($AN$688,Y378)))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63" operator="containsText" id="{7B99E353-7FF7-493F-9D0B-CB58D842475C}">
            <xm:f>NOT(ISERROR(SEARCH($AN$686,Y378)))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64" operator="containsText" id="{50FD50FB-3882-4873-854A-33CB7AC274C5}">
            <xm:f>NOT(ISERROR(SEARCH($AN$685,Y378)))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65" operator="containsText" id="{23C1E32F-3351-4D95-9E53-4AB492B52D33}">
            <xm:f>NOT(ISERROR(SEARCH($AN$684,Y378)))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66" operator="containsText" id="{F8399DFA-8E08-4450-A60D-4F25B350F640}">
            <xm:f>NOT(ISERROR(SEARCH($AN$683,Y378)))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67" operator="containsText" id="{AE843CB3-CE91-41F7-9EBB-912578457A36}">
            <xm:f>NOT(ISERROR(SEARCH($AN$682,Y378)))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68" operator="containsText" id="{2A8F8FD1-4ADE-4CB0-8A45-0DE542531122}">
            <xm:f>NOT(ISERROR(SEARCH($AN$681,Y378)))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69" operator="containsText" id="{752A5240-0DC0-4EE8-8AC7-601E9C72AA34}">
            <xm:f>NOT(ISERROR(SEARCH($AN$680,Y378)))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70" operator="containsText" id="{A0915E42-97F2-4562-B60A-D0A181CA4D75}">
            <xm:f>NOT(ISERROR(SEARCH($AN$678,Y378)))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71" operator="containsText" id="{B1077111-1A79-4026-A6BB-42CFEF1B7075}">
            <xm:f>NOT(ISERROR(SEARCH($AN$679,Y378)))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Y378</xm:sqref>
        </x14:conditionalFormatting>
        <x14:conditionalFormatting xmlns:xm="http://schemas.microsoft.com/office/excel/2006/main">
          <x14:cfRule type="containsText" priority="1097" operator="containsText" id="{093F9835-E200-40AC-B9AE-BBD234C6397A}">
            <xm:f>NOT(ISERROR(SEARCH($AN$692,Y379)))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98" operator="containsText" id="{D163AAE5-52B0-4F19-8F29-42C95BD540DB}">
            <xm:f>NOT(ISERROR(SEARCH($AN$691,Y379)))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099" operator="containsText" id="{DC24AF6C-1DC3-4341-ADF6-EAD02821701C}">
            <xm:f>NOT(ISERROR(SEARCH($AN$689,Y379)))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100" operator="containsText" id="{6DCFE6C1-D375-4A16-91E1-B4F383FECC50}">
            <xm:f>NOT(ISERROR(SEARCH($AN$687,Y379)))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101" operator="containsText" id="{7D3A5457-1990-4CD8-9861-2CFF9B9029A1}">
            <xm:f>NOT(ISERROR(SEARCH($AN$688,Y379)))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02" operator="containsText" id="{CE6BD3E3-E3E6-477C-A66C-7DBA093B1001}">
            <xm:f>NOT(ISERROR(SEARCH($AN$686,Y379)))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03" operator="containsText" id="{1FA86269-4327-4E65-9C73-82B2E5C8270D}">
            <xm:f>NOT(ISERROR(SEARCH($AN$685,Y379)))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04" operator="containsText" id="{EADC83AD-0BB5-4017-94D8-40EA8E5CA4E8}">
            <xm:f>NOT(ISERROR(SEARCH($AN$684,Y379)))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05" operator="containsText" id="{94AE3487-3EFF-4E64-BD63-B80C5A090118}">
            <xm:f>NOT(ISERROR(SEARCH($AN$683,Y379)))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06" operator="containsText" id="{F62FC9E7-F240-42DB-93C4-0672EBD14762}">
            <xm:f>NOT(ISERROR(SEARCH($AN$682,Y379)))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07" operator="containsText" id="{247DC1D3-488C-4ECD-B979-A0D39FDE70A6}">
            <xm:f>NOT(ISERROR(SEARCH($AN$681,Y379)))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08" operator="containsText" id="{C7C33AEB-AAF2-4646-823D-1496813E931F}">
            <xm:f>NOT(ISERROR(SEARCH($AN$680,Y379)))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09" operator="containsText" id="{F7377E8F-7C28-45B7-9A41-E2D141B8980F}">
            <xm:f>NOT(ISERROR(SEARCH($AN$678,Y379)))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10" operator="containsText" id="{44F1A722-AFA5-4303-887D-2AD691CDBD43}">
            <xm:f>NOT(ISERROR(SEARCH($AN$679,Y379)))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Y379</xm:sqref>
        </x14:conditionalFormatting>
        <x14:conditionalFormatting xmlns:xm="http://schemas.microsoft.com/office/excel/2006/main">
          <x14:cfRule type="containsText" priority="1094" operator="containsText" id="{DF27AC48-EE7F-4F34-B133-948214DDD3F3}">
            <xm:f>NOT(ISERROR(SEARCH($AN$690,Y379)))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095" operator="containsText" id="{A9DFAEEA-C4CB-4D07-99E1-CCB226D7011C}">
            <xm:f>NOT(ISERROR(SEARCH($AN$704,Y379)))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096" operator="containsText" id="{3BEB387A-D3EB-4B63-8AA3-0F6B35E18BE1}">
            <xm:f>NOT(ISERROR(SEARCH($AN$693,Y379)))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Y379:Y381</xm:sqref>
        </x14:conditionalFormatting>
        <x14:conditionalFormatting xmlns:xm="http://schemas.microsoft.com/office/excel/2006/main">
          <x14:cfRule type="containsText" priority="1146" operator="containsText" id="{8C74DB34-896B-4536-B129-BAA8132535E0}">
            <xm:f>NOT(ISERROR(SEARCH($AN$687,Y380)))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147" operator="containsText" id="{FC865B89-0DA9-47C0-8801-507DE0737527}">
            <xm:f>NOT(ISERROR(SEARCH($AN$688,Y380)))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48" operator="containsText" id="{181FEC70-5F7B-4AE3-804A-D0E14C5B9907}">
            <xm:f>NOT(ISERROR(SEARCH($AN$686,Y380)))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49" operator="containsText" id="{01752FDC-53B7-450B-A0B2-1B0207B77C31}">
            <xm:f>NOT(ISERROR(SEARCH($AN$685,Y380)))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50" operator="containsText" id="{F4196DB5-D12A-417B-A764-BA4EA7C0464F}">
            <xm:f>NOT(ISERROR(SEARCH($AN$684,Y380)))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51" operator="containsText" id="{2B5A3C49-9E58-4607-B8DD-C7B8A89D6320}">
            <xm:f>NOT(ISERROR(SEARCH($AN$683,Y380)))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52" operator="containsText" id="{CD84CBAB-2C42-4215-A5B0-DEF5FBFEF94D}">
            <xm:f>NOT(ISERROR(SEARCH($AN$682,Y380)))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53" operator="containsText" id="{1FD56896-0D2C-4AD9-84CC-B91995033688}">
            <xm:f>NOT(ISERROR(SEARCH($AN$681,Y380)))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54" operator="containsText" id="{E81E201D-9D29-416C-A1A2-13487BF53A4D}">
            <xm:f>NOT(ISERROR(SEARCH($AN$680,Y380)))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55" operator="containsText" id="{D769CCE7-4435-4B25-A69A-80408BCD1B6A}">
            <xm:f>NOT(ISERROR(SEARCH($AN$678,Y380)))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56" operator="containsText" id="{2B94C561-8218-4B91-9526-BEDF86033966}">
            <xm:f>NOT(ISERROR(SEARCH($AN$679,Y380)))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Y380</xm:sqref>
        </x14:conditionalFormatting>
        <x14:conditionalFormatting xmlns:xm="http://schemas.microsoft.com/office/excel/2006/main">
          <x14:cfRule type="containsText" priority="1143" operator="containsText" id="{6D039ACA-4B86-488C-9C2A-B8135E42C26D}">
            <xm:f>NOT(ISERROR(SEARCH($AN$692,Y380)))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44" operator="containsText" id="{FE106453-1764-445B-8407-49D274E0EFF6}">
            <xm:f>NOT(ISERROR(SEARCH($AN$691,Y380)))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145" operator="containsText" id="{725638D4-2AAE-4EAC-B40A-E3417FD9BF89}">
            <xm:f>NOT(ISERROR(SEARCH($AN$689,Y380)))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Y380:Y381</xm:sqref>
        </x14:conditionalFormatting>
        <x14:conditionalFormatting xmlns:xm="http://schemas.microsoft.com/office/excel/2006/main">
          <x14:cfRule type="containsText" priority="1157" operator="containsText" id="{5BDAAD3E-BC81-4DC8-8011-A9E3D07D91FF}">
            <xm:f>NOT(ISERROR(SEARCH($AN$687,Y381)))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158" operator="containsText" id="{2A684F46-6FDA-493A-A316-486C8DDD6CE4}">
            <xm:f>NOT(ISERROR(SEARCH($AN$688,Y381)))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59" operator="containsText" id="{A8EB47B7-67DC-4765-A1C9-CC8830F6BFBB}">
            <xm:f>NOT(ISERROR(SEARCH($AN$686,Y381)))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60" operator="containsText" id="{2EABB203-854E-4F23-B0D8-F5AC81580EC7}">
            <xm:f>NOT(ISERROR(SEARCH($AN$685,Y381)))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61" operator="containsText" id="{F1219EF9-2CA4-4974-BE2C-A725D0FF981F}">
            <xm:f>NOT(ISERROR(SEARCH($AN$684,Y381)))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62" operator="containsText" id="{B56EFE1C-526D-42C9-A403-51FD89BA5C55}">
            <xm:f>NOT(ISERROR(SEARCH($AN$683,Y381)))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63" operator="containsText" id="{7514178E-124F-46D3-AFD0-97534892C371}">
            <xm:f>NOT(ISERROR(SEARCH($AN$682,Y381)))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64" operator="containsText" id="{4A374C18-7F3E-4526-B921-87FFDDC2B32F}">
            <xm:f>NOT(ISERROR(SEARCH($AN$681,Y381)))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65" operator="containsText" id="{C3E9052B-0FA9-4043-B7AB-542D49091CD3}">
            <xm:f>NOT(ISERROR(SEARCH($AN$680,Y381)))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66" operator="containsText" id="{C8DC223B-29A5-4CD7-8AD5-57C50BE0A579}">
            <xm:f>NOT(ISERROR(SEARCH($AN$678,Y381)))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67" operator="containsText" id="{B0D598E5-D802-416C-9E18-0982BCD419EC}">
            <xm:f>NOT(ISERROR(SEARCH($AN$679,Y381)))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Y381</xm:sqref>
        </x14:conditionalFormatting>
        <x14:conditionalFormatting xmlns:xm="http://schemas.microsoft.com/office/excel/2006/main">
          <x14:cfRule type="containsText" priority="656" operator="containsText" id="{D8FE5FB3-39B0-4AAE-BE64-7525B5A22548}">
            <xm:f>NOT(ISERROR(SEARCH($AN$687,Y474)))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657" operator="containsText" id="{C1353C06-9C38-48D8-B392-CC3274660A2B}">
            <xm:f>NOT(ISERROR(SEARCH($AN$688,Y474)))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658" operator="containsText" id="{EAFDB337-659D-461E-A381-1EED64328747}">
            <xm:f>NOT(ISERROR(SEARCH($AN$686,Y474)))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59" operator="containsText" id="{FA401B47-9590-479E-827F-751397C2576C}">
            <xm:f>NOT(ISERROR(SEARCH($AN$685,Y474)))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660" operator="containsText" id="{372E29A7-BDE2-4A1E-962E-C330F5A90961}">
            <xm:f>NOT(ISERROR(SEARCH($AN$684,Y474)))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61" operator="containsText" id="{DB741804-EEBC-4EB3-8E1D-5C56EC828D29}">
            <xm:f>NOT(ISERROR(SEARCH($AN$683,Y474)))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662" operator="containsText" id="{C8B0D80A-CE51-43E1-BD19-C574AE3C92D5}">
            <xm:f>NOT(ISERROR(SEARCH($AN$682,Y474)))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663" operator="containsText" id="{0F1A4325-5527-4AD6-83B5-7CF3F921BD79}">
            <xm:f>NOT(ISERROR(SEARCH($AN$681,Y474)))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664" operator="containsText" id="{2F9263EC-A55E-431F-951C-CF058CB5900F}">
            <xm:f>NOT(ISERROR(SEARCH($AN$680,Y474)))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665" operator="containsText" id="{C3A90158-9727-464A-B2C6-D67206049B2B}">
            <xm:f>NOT(ISERROR(SEARCH($AN$678,Y474)))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666" operator="containsText" id="{BBC90EEB-EA3F-4127-8E5A-34A262504D12}">
            <xm:f>NOT(ISERROR(SEARCH($AN$679,Y474)))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Y474</xm:sqref>
        </x14:conditionalFormatting>
        <x14:conditionalFormatting xmlns:xm="http://schemas.microsoft.com/office/excel/2006/main">
          <x14:cfRule type="containsText" priority="792" operator="containsText" id="{B05A727A-6EE0-4501-AA58-F0D211977E5F}">
            <xm:f>NOT(ISERROR(SEARCH($AN$692,Y475)))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793" operator="containsText" id="{3903B619-757F-418E-B026-86E6F66EB5E6}">
            <xm:f>NOT(ISERROR(SEARCH($AN$691,Y475)))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794" operator="containsText" id="{CA6FD7A3-CB4B-4A42-9EFB-92501E6AEEE3}">
            <xm:f>NOT(ISERROR(SEARCH($AN$689,Y475)))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795" operator="containsText" id="{B6FF9866-070F-4891-905F-CC850382806D}">
            <xm:f>NOT(ISERROR(SEARCH($AN$687,Y475)))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796" operator="containsText" id="{2CC81DBF-3B55-4665-AD4B-25C5038FE757}">
            <xm:f>NOT(ISERROR(SEARCH($AN$688,Y475)))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797" operator="containsText" id="{56909B41-F768-4287-BDA3-9D520FC62F46}">
            <xm:f>NOT(ISERROR(SEARCH($AN$686,Y475)))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798" operator="containsText" id="{62DBFE1F-0F07-4AA0-A4FA-3DBD770B8FBE}">
            <xm:f>NOT(ISERROR(SEARCH($AN$685,Y475)))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799" operator="containsText" id="{1008F285-98AE-4DFF-8003-D39225087FC4}">
            <xm:f>NOT(ISERROR(SEARCH($AN$684,Y475)))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00" operator="containsText" id="{21629AD6-6691-419F-A8F4-1A04413F4090}">
            <xm:f>NOT(ISERROR(SEARCH($AN$683,Y475)))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801" operator="containsText" id="{6F10185E-20B1-40A1-AD9A-65245341D1E6}">
            <xm:f>NOT(ISERROR(SEARCH($AN$682,Y475)))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802" operator="containsText" id="{C653B1A0-50F8-400B-BC86-9D96631044F5}">
            <xm:f>NOT(ISERROR(SEARCH($AN$681,Y475)))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803" operator="containsText" id="{2E61D276-5D28-4C27-B3AD-576BB3DFECA3}">
            <xm:f>NOT(ISERROR(SEARCH($AN$680,Y475)))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804" operator="containsText" id="{B456D573-D245-41EC-91F9-CA9ABFCD5031}">
            <xm:f>NOT(ISERROR(SEARCH($AN$678,Y475)))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805" operator="containsText" id="{E280DB01-FA72-4463-9327-CE3748948864}">
            <xm:f>NOT(ISERROR(SEARCH($AN$679,Y475)))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Y475</xm:sqref>
        </x14:conditionalFormatting>
        <x14:conditionalFormatting xmlns:xm="http://schemas.microsoft.com/office/excel/2006/main">
          <x14:cfRule type="containsText" priority="789" operator="containsText" id="{78B1D1A7-E6FE-4FF0-805F-2F9AD8751FD8}">
            <xm:f>NOT(ISERROR(SEARCH($AN$690,Y475)))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790" operator="containsText" id="{413BFB10-5A3B-467D-8AE3-0F3432EB5362}">
            <xm:f>NOT(ISERROR(SEARCH($AN$704,Y475)))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791" operator="containsText" id="{4909E622-D8FA-4B2A-B180-9D4F0C388D18}">
            <xm:f>NOT(ISERROR(SEARCH($AN$693,Y475)))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Y475:Y477</xm:sqref>
        </x14:conditionalFormatting>
        <x14:conditionalFormatting xmlns:xm="http://schemas.microsoft.com/office/excel/2006/main">
          <x14:cfRule type="containsText" priority="841" operator="containsText" id="{0B13F475-4173-43DF-8B05-1BAB11EA3195}">
            <xm:f>NOT(ISERROR(SEARCH($AN$687,Y476)))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842" operator="containsText" id="{9F9632F8-D7D8-4E62-B2C9-7E9C08C8C0E2}">
            <xm:f>NOT(ISERROR(SEARCH($AN$688,Y476)))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843" operator="containsText" id="{FF4BC2E6-25E3-413F-8C45-0459BB4CAEE9}">
            <xm:f>NOT(ISERROR(SEARCH($AN$686,Y476)))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44" operator="containsText" id="{79209CE6-2CFF-4CB3-B21F-555846270088}">
            <xm:f>NOT(ISERROR(SEARCH($AN$685,Y476)))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845" operator="containsText" id="{72DF198B-8DD9-424B-91B7-B66B046AB8A4}">
            <xm:f>NOT(ISERROR(SEARCH($AN$684,Y476)))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46" operator="containsText" id="{494A95F8-8C2C-4447-99AC-695F866A549C}">
            <xm:f>NOT(ISERROR(SEARCH($AN$683,Y476)))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847" operator="containsText" id="{457E9D99-9AE6-4008-9414-74CE073D0B05}">
            <xm:f>NOT(ISERROR(SEARCH($AN$682,Y476)))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848" operator="containsText" id="{78CB8478-C82A-4679-BE37-B9D26AB696C1}">
            <xm:f>NOT(ISERROR(SEARCH($AN$681,Y476)))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849" operator="containsText" id="{AB7BCB01-554B-43E5-AD1D-4978981E0C7B}">
            <xm:f>NOT(ISERROR(SEARCH($AN$680,Y476)))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850" operator="containsText" id="{66A7A957-CA4C-4E2B-A695-D583CF875A36}">
            <xm:f>NOT(ISERROR(SEARCH($AN$678,Y476)))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851" operator="containsText" id="{C635604B-94B3-49AB-A73F-5D48A56E8603}">
            <xm:f>NOT(ISERROR(SEARCH($AN$679,Y476)))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Y476</xm:sqref>
        </x14:conditionalFormatting>
        <x14:conditionalFormatting xmlns:xm="http://schemas.microsoft.com/office/excel/2006/main">
          <x14:cfRule type="containsText" priority="838" operator="containsText" id="{00569F57-0C2D-4594-A7F3-C016C4B9E7A0}">
            <xm:f>NOT(ISERROR(SEARCH($AN$692,Y476)))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39" operator="containsText" id="{30AEF15C-2AAF-45FA-8BB0-90AED0CF390F}">
            <xm:f>NOT(ISERROR(SEARCH($AN$691,Y476)))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840" operator="containsText" id="{78EE3A42-C873-4AA2-AE8C-9F3D9488A9D9}">
            <xm:f>NOT(ISERROR(SEARCH($AN$689,Y476)))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Y476:Y477</xm:sqref>
        </x14:conditionalFormatting>
        <x14:conditionalFormatting xmlns:xm="http://schemas.microsoft.com/office/excel/2006/main">
          <x14:cfRule type="containsText" priority="852" operator="containsText" id="{5F481652-5B92-4AD9-8CE3-68B70CEE3799}">
            <xm:f>NOT(ISERROR(SEARCH($AN$687,Y477)))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853" operator="containsText" id="{28463C3A-DD32-44DD-90A1-E0B1D35B8219}">
            <xm:f>NOT(ISERROR(SEARCH($AN$688,Y477)))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854" operator="containsText" id="{6C7522A5-A9FD-403B-8CE1-E5DF4078930A}">
            <xm:f>NOT(ISERROR(SEARCH($AN$686,Y477)))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55" operator="containsText" id="{CBCC0387-15AC-45C9-B290-F6B8B3A0356F}">
            <xm:f>NOT(ISERROR(SEARCH($AN$685,Y477)))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856" operator="containsText" id="{88035A88-E068-478D-845D-B153F28F8152}">
            <xm:f>NOT(ISERROR(SEARCH($AN$684,Y477)))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57" operator="containsText" id="{E45BE1AB-A622-4B52-8546-B90483800F97}">
            <xm:f>NOT(ISERROR(SEARCH($AN$683,Y477)))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858" operator="containsText" id="{635EDA83-2FCC-47E0-8B38-A54E038285A3}">
            <xm:f>NOT(ISERROR(SEARCH($AN$682,Y477)))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859" operator="containsText" id="{152673AA-F160-467A-8BE6-5538AA412CB1}">
            <xm:f>NOT(ISERROR(SEARCH($AN$681,Y477)))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860" operator="containsText" id="{495ED710-82D5-48BB-A6A6-AEA0C24979FE}">
            <xm:f>NOT(ISERROR(SEARCH($AN$680,Y477)))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861" operator="containsText" id="{B3EA27A6-78CD-4BDB-B0A8-715ADA23A1A9}">
            <xm:f>NOT(ISERROR(SEARCH($AN$678,Y477)))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862" operator="containsText" id="{443FE122-360E-4DC9-9454-43AEC804C90C}">
            <xm:f>NOT(ISERROR(SEARCH($AN$679,Y477)))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Y477</xm:sqref>
        </x14:conditionalFormatting>
        <x14:conditionalFormatting xmlns:xm="http://schemas.microsoft.com/office/excel/2006/main">
          <x14:cfRule type="containsText" priority="351" operator="containsText" id="{DA0187C9-7F96-42B1-ACE6-AF6B005F2F74}">
            <xm:f>NOT(ISERROR(SEARCH($AN$687,Y570)))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52" operator="containsText" id="{5EE43C3F-888C-4380-BEBA-D416A9733CA1}">
            <xm:f>NOT(ISERROR(SEARCH($AN$688,Y570)))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53" operator="containsText" id="{A3617740-70F6-4924-B092-8B07CBB46419}">
            <xm:f>NOT(ISERROR(SEARCH($AN$686,Y570)))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54" operator="containsText" id="{CD1CF827-602B-45D5-8DC2-03F0AF79FC51}">
            <xm:f>NOT(ISERROR(SEARCH($AN$685,Y570)))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55" operator="containsText" id="{20DC1E5C-9EC8-481D-9092-77056F406587}">
            <xm:f>NOT(ISERROR(SEARCH($AN$684,Y570)))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56" operator="containsText" id="{94E7D24F-A184-45AA-BC8C-4E43B00077A5}">
            <xm:f>NOT(ISERROR(SEARCH($AN$683,Y570)))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57" operator="containsText" id="{377166CA-92EC-48B7-801E-556D97DA5AE2}">
            <xm:f>NOT(ISERROR(SEARCH($AN$682,Y570)))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58" operator="containsText" id="{FEE2D624-8428-4B16-9902-71AF8BBFFA97}">
            <xm:f>NOT(ISERROR(SEARCH($AN$681,Y570)))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59" operator="containsText" id="{20EDD082-E6D6-451E-93BB-EF9F5B24E9AB}">
            <xm:f>NOT(ISERROR(SEARCH($AN$680,Y570)))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60" operator="containsText" id="{A738AAA4-D133-47D4-8B7B-4EEABD85565B}">
            <xm:f>NOT(ISERROR(SEARCH($AN$678,Y570)))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61" operator="containsText" id="{E9D840A9-9820-4C0A-A46A-9FABF002942F}">
            <xm:f>NOT(ISERROR(SEARCH($AN$679,Y570)))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Y570</xm:sqref>
        </x14:conditionalFormatting>
        <x14:conditionalFormatting xmlns:xm="http://schemas.microsoft.com/office/excel/2006/main">
          <x14:cfRule type="containsText" priority="487" operator="containsText" id="{B282DE37-011D-4730-82B4-4A181741C8DA}">
            <xm:f>NOT(ISERROR(SEARCH($AN$692,Y571)))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88" operator="containsText" id="{39649C6D-506D-4E5B-9D1E-3C1896925AF8}">
            <xm:f>NOT(ISERROR(SEARCH($AN$691,Y571)))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89" operator="containsText" id="{F87C5C4E-ED43-489D-B41B-278819285300}">
            <xm:f>NOT(ISERROR(SEARCH($AN$689,Y571)))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90" operator="containsText" id="{D8C4CC25-494D-43D4-A28A-88D3AE0DD152}">
            <xm:f>NOT(ISERROR(SEARCH($AN$687,Y571)))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91" operator="containsText" id="{CFB4F62A-2BAE-485C-A371-10DCE93844E2}">
            <xm:f>NOT(ISERROR(SEARCH($AN$688,Y571)))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92" operator="containsText" id="{5FAFE4FA-9845-4628-B063-D962F33E11D1}">
            <xm:f>NOT(ISERROR(SEARCH($AN$686,Y571)))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93" operator="containsText" id="{A92000B9-9488-452F-9EEB-866ECADF0C80}">
            <xm:f>NOT(ISERROR(SEARCH($AN$685,Y571)))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94" operator="containsText" id="{6D2D3F5E-D565-46D1-AED6-BA5EFAA7CAE1}">
            <xm:f>NOT(ISERROR(SEARCH($AN$684,Y571)))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95" operator="containsText" id="{510502F0-0FB7-4072-85D4-5A47B76BFA4E}">
            <xm:f>NOT(ISERROR(SEARCH($AN$683,Y571)))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96" operator="containsText" id="{A58014A9-E0AE-4325-B548-9DB098B78B8F}">
            <xm:f>NOT(ISERROR(SEARCH($AN$682,Y571)))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97" operator="containsText" id="{E863F16D-5B63-4DEB-8A2E-585CEC84701E}">
            <xm:f>NOT(ISERROR(SEARCH($AN$681,Y571)))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98" operator="containsText" id="{8C7148FE-247F-48D7-8970-94AA17FC7FF9}">
            <xm:f>NOT(ISERROR(SEARCH($AN$680,Y571)))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99" operator="containsText" id="{370D1F1C-6CFC-4F19-BDF2-AF6929DB3AF3}">
            <xm:f>NOT(ISERROR(SEARCH($AN$678,Y571)))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00" operator="containsText" id="{D244978C-4085-47FC-AA92-EA169A527A7F}">
            <xm:f>NOT(ISERROR(SEARCH($AN$679,Y571)))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Y571</xm:sqref>
        </x14:conditionalFormatting>
        <x14:conditionalFormatting xmlns:xm="http://schemas.microsoft.com/office/excel/2006/main">
          <x14:cfRule type="containsText" priority="484" operator="containsText" id="{CDFB62C9-B5A1-4CC6-8CC8-2E0B84BE7014}">
            <xm:f>NOT(ISERROR(SEARCH($AN$690,Y571)))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85" operator="containsText" id="{5AA925C7-427D-4DEA-923E-53A1B21698AC}">
            <xm:f>NOT(ISERROR(SEARCH($AN$704,Y571)))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86" operator="containsText" id="{564AE5EA-4F0D-4684-AAF4-B0F7C4DF047B}">
            <xm:f>NOT(ISERROR(SEARCH($AN$693,Y571)))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Y571:Y573</xm:sqref>
        </x14:conditionalFormatting>
        <x14:conditionalFormatting xmlns:xm="http://schemas.microsoft.com/office/excel/2006/main">
          <x14:cfRule type="containsText" priority="536" operator="containsText" id="{51CF90E2-883E-4355-9EA4-5BA01CE15441}">
            <xm:f>NOT(ISERROR(SEARCH($AN$687,Y572)))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37" operator="containsText" id="{5D36EB2F-6AEA-47F2-BED0-E3E3739D638F}">
            <xm:f>NOT(ISERROR(SEARCH($AN$688,Y572)))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38" operator="containsText" id="{194D3008-57D8-4D51-90FE-773180077FE2}">
            <xm:f>NOT(ISERROR(SEARCH($AN$686,Y572)))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39" operator="containsText" id="{827AAED1-E3DF-4C3A-9DC8-66E07E9D805D}">
            <xm:f>NOT(ISERROR(SEARCH($AN$685,Y572)))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40" operator="containsText" id="{526742DF-D440-4269-8DA1-1D529A20B719}">
            <xm:f>NOT(ISERROR(SEARCH($AN$684,Y572)))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41" operator="containsText" id="{9B1F8F70-2AAF-4532-B848-11E9DFFBED50}">
            <xm:f>NOT(ISERROR(SEARCH($AN$683,Y572)))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42" operator="containsText" id="{DF959AB2-07ED-4CD0-B3ED-E388D5482DD3}">
            <xm:f>NOT(ISERROR(SEARCH($AN$682,Y572)))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43" operator="containsText" id="{C203B95C-F606-4A7F-BFED-73BE204C342A}">
            <xm:f>NOT(ISERROR(SEARCH($AN$681,Y572)))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44" operator="containsText" id="{2A24FB29-4978-4EA6-AE33-6443BF31AD20}">
            <xm:f>NOT(ISERROR(SEARCH($AN$680,Y572)))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45" operator="containsText" id="{32CB1B36-142C-4621-8E65-A932D9EAEF17}">
            <xm:f>NOT(ISERROR(SEARCH($AN$678,Y572)))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46" operator="containsText" id="{7431F6F0-6BA8-4057-AC9E-1C50668EF55E}">
            <xm:f>NOT(ISERROR(SEARCH($AN$679,Y572)))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Y572</xm:sqref>
        </x14:conditionalFormatting>
        <x14:conditionalFormatting xmlns:xm="http://schemas.microsoft.com/office/excel/2006/main">
          <x14:cfRule type="containsText" priority="533" operator="containsText" id="{C362CDFF-BB80-4CE4-981C-92E0C0C844BC}">
            <xm:f>NOT(ISERROR(SEARCH($AN$692,Y572)))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34" operator="containsText" id="{DD913570-A889-4503-B44C-BA2FE1542522}">
            <xm:f>NOT(ISERROR(SEARCH($AN$691,Y572)))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35" operator="containsText" id="{FE1EFB77-BB3E-410C-869C-69F2F831A8A6}">
            <xm:f>NOT(ISERROR(SEARCH($AN$689,Y572)))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Y572:Y573</xm:sqref>
        </x14:conditionalFormatting>
        <x14:conditionalFormatting xmlns:xm="http://schemas.microsoft.com/office/excel/2006/main">
          <x14:cfRule type="containsText" priority="547" operator="containsText" id="{8505B1F9-89FB-491E-902B-C4A2354B2CE8}">
            <xm:f>NOT(ISERROR(SEARCH($AN$687,Y573)))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48" operator="containsText" id="{4667D5A8-8EDF-4F5B-99D5-6A798ADBA57E}">
            <xm:f>NOT(ISERROR(SEARCH($AN$688,Y573)))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49" operator="containsText" id="{54934858-2517-469F-B7FE-160010136769}">
            <xm:f>NOT(ISERROR(SEARCH($AN$686,Y573)))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0" operator="containsText" id="{62AF9E1E-01C4-4EA2-8629-692A9F245FEF}">
            <xm:f>NOT(ISERROR(SEARCH($AN$685,Y573)))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51" operator="containsText" id="{F6FB4843-DF85-4B4D-8687-88A571DA6977}">
            <xm:f>NOT(ISERROR(SEARCH($AN$684,Y573)))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2" operator="containsText" id="{FCD735E1-ECC1-4317-80FA-EF7F035413E7}">
            <xm:f>NOT(ISERROR(SEARCH($AN$683,Y573)))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53" operator="containsText" id="{B8FF3F36-33E9-4698-A7F1-75C6101468C5}">
            <xm:f>NOT(ISERROR(SEARCH($AN$682,Y573)))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54" operator="containsText" id="{A6073D3C-DA1D-477B-9D0E-BDBDEA6F1E18}">
            <xm:f>NOT(ISERROR(SEARCH($AN$681,Y573)))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55" operator="containsText" id="{14B86B6B-EA8D-4F8F-86E0-D1A022E78CA3}">
            <xm:f>NOT(ISERROR(SEARCH($AN$680,Y573)))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56" operator="containsText" id="{5D836D97-3B19-4809-A9AF-EE011A82BF48}">
            <xm:f>NOT(ISERROR(SEARCH($AN$678,Y573)))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57" operator="containsText" id="{5BFBA9AC-ADB9-4FEC-8351-9AD5597360AC}">
            <xm:f>NOT(ISERROR(SEARCH($AN$679,Y573)))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Y573</xm:sqref>
        </x14:conditionalFormatting>
        <x14:conditionalFormatting xmlns:xm="http://schemas.microsoft.com/office/excel/2006/main">
          <x14:cfRule type="containsText" priority="46" operator="containsText" id="{008A177C-39BB-4FBE-A5C7-FF42D7DB5B14}">
            <xm:f>NOT(ISERROR(SEARCH($AN$687,Y666)))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7" operator="containsText" id="{14A3F7BA-65AD-4C0B-B539-2AF2A2307EAE}">
            <xm:f>NOT(ISERROR(SEARCH($AN$688,Y666)))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8" operator="containsText" id="{B0C7AEAC-FF3A-4043-8B1F-B6EC3EB8A7DF}">
            <xm:f>NOT(ISERROR(SEARCH($AN$686,Y666)))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9" operator="containsText" id="{356812A0-772C-4238-8B22-2470C535EF8B}">
            <xm:f>NOT(ISERROR(SEARCH($AN$685,Y666)))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0" operator="containsText" id="{EBD94FE6-6612-4E49-9DFB-549E9F9D87EA}">
            <xm:f>NOT(ISERROR(SEARCH($AN$684,Y666)))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1" operator="containsText" id="{9C3CD0B3-13A3-43FD-B5E7-57F010DA5364}">
            <xm:f>NOT(ISERROR(SEARCH($AN$683,Y666)))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2" operator="containsText" id="{0676A52F-277C-4FF0-924E-0D2D3AF8BE9E}">
            <xm:f>NOT(ISERROR(SEARCH($AN$682,Y666)))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3" operator="containsText" id="{BF23F862-A6DA-4E1F-A09C-6CFD38FAD688}">
            <xm:f>NOT(ISERROR(SEARCH($AN$681,Y666)))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4" operator="containsText" id="{1E57874E-80D2-4E2D-9880-628655C1CF0E}">
            <xm:f>NOT(ISERROR(SEARCH($AN$680,Y666)))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5" operator="containsText" id="{A4607EBE-3CE0-486E-A882-E06234B977FA}">
            <xm:f>NOT(ISERROR(SEARCH($AN$678,Y666)))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6" operator="containsText" id="{8A91B2BD-4EBA-4D96-9966-E96D86FC7240}">
            <xm:f>NOT(ISERROR(SEARCH($AN$679,Y666)))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Y666</xm:sqref>
        </x14:conditionalFormatting>
        <x14:conditionalFormatting xmlns:xm="http://schemas.microsoft.com/office/excel/2006/main">
          <x14:cfRule type="containsText" priority="182" operator="containsText" id="{95ADB6C5-C3C0-42F6-A582-95902B367570}">
            <xm:f>NOT(ISERROR(SEARCH($AN$692,Y667)))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83" operator="containsText" id="{C2D48174-4A70-48C3-BF52-9658F20E1D7C}">
            <xm:f>NOT(ISERROR(SEARCH($AN$691,Y667)))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84" operator="containsText" id="{84AF2998-0BB0-421E-AB54-3E959B07709C}">
            <xm:f>NOT(ISERROR(SEARCH($AN$689,Y667)))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85" operator="containsText" id="{330EF8A0-7B1E-47CF-85CD-40D026A4F0F8}">
            <xm:f>NOT(ISERROR(SEARCH($AN$687,Y667)))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86" operator="containsText" id="{C6185A98-F341-4613-93C9-3B2F07EE5F73}">
            <xm:f>NOT(ISERROR(SEARCH($AN$688,Y667)))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87" operator="containsText" id="{7737E894-5A97-4652-9B6A-DC2FD85FC1AC}">
            <xm:f>NOT(ISERROR(SEARCH($AN$686,Y667)))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8" operator="containsText" id="{592571EF-D1BC-4A35-8E76-1F1E6BA50D19}">
            <xm:f>NOT(ISERROR(SEARCH($AN$685,Y667)))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89" operator="containsText" id="{3D112487-BDD4-4E0F-8942-1260D2C4C08F}">
            <xm:f>NOT(ISERROR(SEARCH($AN$684,Y667)))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90" operator="containsText" id="{9107AE29-8865-431A-BC15-D6050A82440E}">
            <xm:f>NOT(ISERROR(SEARCH($AN$683,Y667)))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91" operator="containsText" id="{032FE398-1480-47C6-A57A-96DBD09E9764}">
            <xm:f>NOT(ISERROR(SEARCH($AN$682,Y667)))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92" operator="containsText" id="{1805BA88-83A5-4C50-A46A-E9753BDCC957}">
            <xm:f>NOT(ISERROR(SEARCH($AN$681,Y667)))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93" operator="containsText" id="{18EE594B-ABC0-4B39-B621-63D8478DB119}">
            <xm:f>NOT(ISERROR(SEARCH($AN$680,Y667)))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94" operator="containsText" id="{B605855C-40EF-46D2-B4CF-256CD7DB3A29}">
            <xm:f>NOT(ISERROR(SEARCH($AN$678,Y667)))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95" operator="containsText" id="{D21C76FB-AA3A-4787-AC2C-63E1962F8F3D}">
            <xm:f>NOT(ISERROR(SEARCH($AN$679,Y667)))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Y667</xm:sqref>
        </x14:conditionalFormatting>
        <x14:conditionalFormatting xmlns:xm="http://schemas.microsoft.com/office/excel/2006/main">
          <x14:cfRule type="containsText" priority="179" operator="containsText" id="{3548B7D4-4A92-45D4-8F8C-936617DF2DD2}">
            <xm:f>NOT(ISERROR(SEARCH($AN$690,Y667)))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80" operator="containsText" id="{F00524BB-8B37-4A70-830F-BC49981693ED}">
            <xm:f>NOT(ISERROR(SEARCH($AN$704,Y667)))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81" operator="containsText" id="{B998B9AA-9E19-4C01-8F23-FEDCA338F739}">
            <xm:f>NOT(ISERROR(SEARCH($AN$693,Y667)))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Y667:Y669</xm:sqref>
        </x14:conditionalFormatting>
        <x14:conditionalFormatting xmlns:xm="http://schemas.microsoft.com/office/excel/2006/main">
          <x14:cfRule type="containsText" priority="231" operator="containsText" id="{95F4F85B-B43C-4EEC-B67E-CD2D4B060A01}">
            <xm:f>NOT(ISERROR(SEARCH($AN$687,Y668)))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2" operator="containsText" id="{98015EAD-2E8A-40C1-96AA-C1E9C5EA2D0B}">
            <xm:f>NOT(ISERROR(SEARCH($AN$688,Y668)))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3" operator="containsText" id="{1F0BB1AF-DAB8-443C-934C-7F7B262ACA58}">
            <xm:f>NOT(ISERROR(SEARCH($AN$686,Y668)))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4" operator="containsText" id="{B6FC23AD-5F3F-4F5B-BA6B-5E367C8B3F02}">
            <xm:f>NOT(ISERROR(SEARCH($AN$685,Y668)))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5" operator="containsText" id="{2A8272CD-C991-4E03-B8DB-BBD7A546D608}">
            <xm:f>NOT(ISERROR(SEARCH($AN$684,Y668)))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6" operator="containsText" id="{22CB5066-1C50-42A5-9BDD-B4AAFF5405B0}">
            <xm:f>NOT(ISERROR(SEARCH($AN$683,Y668)))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7" operator="containsText" id="{62E19B62-D299-48E2-957A-2088E42F51BC}">
            <xm:f>NOT(ISERROR(SEARCH($AN$682,Y668)))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8" operator="containsText" id="{9AE14451-D530-44EC-A282-27AAEFD8C537}">
            <xm:f>NOT(ISERROR(SEARCH($AN$681,Y668)))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9" operator="containsText" id="{9863838B-320E-4DC9-BC46-F7EC2D54441C}">
            <xm:f>NOT(ISERROR(SEARCH($AN$680,Y668)))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40" operator="containsText" id="{C88D3857-7C40-41E0-9E2E-44610E7FED69}">
            <xm:f>NOT(ISERROR(SEARCH($AN$678,Y668)))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41" operator="containsText" id="{A89AAC5C-69C1-47A5-ABFE-C2C9225E730A}">
            <xm:f>NOT(ISERROR(SEARCH($AN$679,Y668)))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Y668</xm:sqref>
        </x14:conditionalFormatting>
        <x14:conditionalFormatting xmlns:xm="http://schemas.microsoft.com/office/excel/2006/main">
          <x14:cfRule type="containsText" priority="228" operator="containsText" id="{D00EAF8C-C27E-4C58-B459-E54D07888FB6}">
            <xm:f>NOT(ISERROR(SEARCH($AN$692,Y668)))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9" operator="containsText" id="{C3116FCA-387C-4B62-8828-5580174657AE}">
            <xm:f>NOT(ISERROR(SEARCH($AN$691,Y668)))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30" operator="containsText" id="{B711A4DC-DCBD-4491-B8A0-D26548CBAAFB}">
            <xm:f>NOT(ISERROR(SEARCH($AN$689,Y668)))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Y668:Y669</xm:sqref>
        </x14:conditionalFormatting>
        <x14:conditionalFormatting xmlns:xm="http://schemas.microsoft.com/office/excel/2006/main">
          <x14:cfRule type="containsText" priority="242" operator="containsText" id="{BE9A3529-D531-4682-819A-9FA97AB5F382}">
            <xm:f>NOT(ISERROR(SEARCH($AN$687,Y669)))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43" operator="containsText" id="{833F6FBA-E289-4391-9AB0-F7CFE0F1F63D}">
            <xm:f>NOT(ISERROR(SEARCH($AN$688,Y669)))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44" operator="containsText" id="{48D41592-62D8-403B-8601-431989363F69}">
            <xm:f>NOT(ISERROR(SEARCH($AN$686,Y669)))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5" operator="containsText" id="{DAD0477A-7CC4-4B78-897F-BE47390203C2}">
            <xm:f>NOT(ISERROR(SEARCH($AN$685,Y669)))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46" operator="containsText" id="{10F7DE56-230C-43D9-91B1-2AE36E23C63F}">
            <xm:f>NOT(ISERROR(SEARCH($AN$684,Y669)))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7" operator="containsText" id="{15E3500B-4AF4-4AEC-B1F9-402568B4883F}">
            <xm:f>NOT(ISERROR(SEARCH($AN$683,Y669)))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48" operator="containsText" id="{6F3A1A80-7CEA-42F9-89C7-D6AB13C8E3D8}">
            <xm:f>NOT(ISERROR(SEARCH($AN$682,Y669)))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49" operator="containsText" id="{7A4AC450-233A-4F50-BACE-9A98E39F3F8E}">
            <xm:f>NOT(ISERROR(SEARCH($AN$681,Y669)))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50" operator="containsText" id="{9B1A5F26-C255-49BA-82A6-CCFF027CEE5A}">
            <xm:f>NOT(ISERROR(SEARCH($AN$680,Y669)))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51" operator="containsText" id="{8EEF3059-9ADB-43F4-936A-0BD3B5DF9BB8}">
            <xm:f>NOT(ISERROR(SEARCH($AN$678,Y669)))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52" operator="containsText" id="{658747ED-CED8-4502-86D8-A6B12115D0C3}">
            <xm:f>NOT(ISERROR(SEARCH($AN$679,Y669)))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Y669</xm:sqref>
        </x14:conditionalFormatting>
        <x14:conditionalFormatting xmlns:xm="http://schemas.microsoft.com/office/excel/2006/main">
          <x14:cfRule type="containsText" priority="2181" operator="containsText" id="{9A43FAE7-324C-4CDE-85D8-6F22B4C5E1D4}">
            <xm:f>NOT(ISERROR(SEARCH($AN$687,Y762)))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82" operator="containsText" id="{D5AD4EBF-4D76-4EF0-A37D-106C75A1B6C4}">
            <xm:f>NOT(ISERROR(SEARCH($AN$688,Y762)))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83" operator="containsText" id="{9D670CBA-2A8F-4AE6-8821-B5982ADC13FA}">
            <xm:f>NOT(ISERROR(SEARCH($AN$686,Y762)))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84" operator="containsText" id="{D7E86944-D584-4A2A-8D09-89848B0A6B90}">
            <xm:f>NOT(ISERROR(SEARCH($AN$685,Y762)))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85" operator="containsText" id="{D7C91620-AC4E-45E5-B6BA-42C02AC19F69}">
            <xm:f>NOT(ISERROR(SEARCH($AN$684,Y762)))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86" operator="containsText" id="{31D31642-173D-474F-B5F7-8AAEA033F11A}">
            <xm:f>NOT(ISERROR(SEARCH($AN$683,Y762)))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87" operator="containsText" id="{FAB396E9-4F90-4099-8BA8-DEB0E4713E23}">
            <xm:f>NOT(ISERROR(SEARCH($AN$682,Y762)))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188" operator="containsText" id="{BFA149E2-B50A-49A6-9D34-0C351665F80F}">
            <xm:f>NOT(ISERROR(SEARCH($AN$681,Y762)))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89" operator="containsText" id="{C8341B47-A6CB-4BD3-967E-C3CC179A46D3}">
            <xm:f>NOT(ISERROR(SEARCH($AN$680,Y762)))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90" operator="containsText" id="{CB3701E4-B570-401D-9D5D-D5F7A546A779}">
            <xm:f>NOT(ISERROR(SEARCH($AN$678,Y762)))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91" operator="containsText" id="{D50EEFF8-72F9-4793-8DCD-1BB6B2833E82}">
            <xm:f>NOT(ISERROR(SEARCH($AN$679,Y762)))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Y762</xm:sqref>
        </x14:conditionalFormatting>
        <x14:conditionalFormatting xmlns:xm="http://schemas.microsoft.com/office/excel/2006/main">
          <x14:cfRule type="containsText" priority="6114" operator="containsText" id="{8545C002-B05E-4024-A6E2-AC777FAB8051}">
            <xm:f>NOT(ISERROR(SEARCH($AN$692,Y763)))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6115" operator="containsText" id="{5132AF69-B852-496B-BFC0-60188EDA29DB}">
            <xm:f>NOT(ISERROR(SEARCH($AN$691,Y763)))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6116" operator="containsText" id="{A1EEDB9B-4711-4944-B34B-0F7010FDBDDB}">
            <xm:f>NOT(ISERROR(SEARCH($AN$689,Y763)))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6117" operator="containsText" id="{A7EE86FD-3F94-4E0E-8A16-419794CD0CE8}">
            <xm:f>NOT(ISERROR(SEARCH($AN$687,Y763)))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6118" operator="containsText" id="{0688237E-53DC-43D0-9D26-5B05DE938B24}">
            <xm:f>NOT(ISERROR(SEARCH($AN$688,Y763)))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6119" operator="containsText" id="{200887B9-1228-4540-96E4-D6B09BBB7356}">
            <xm:f>NOT(ISERROR(SEARCH($AN$686,Y763)))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120" operator="containsText" id="{171D7217-0A04-445C-8691-52CC418C9040}">
            <xm:f>NOT(ISERROR(SEARCH($AN$685,Y763)))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6121" operator="containsText" id="{231D0BAD-AE0A-4942-B4BD-AD7FA8977CDE}">
            <xm:f>NOT(ISERROR(SEARCH($AN$684,Y763)))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122" operator="containsText" id="{97731A6C-FB68-4E80-B5BE-E320237A4307}">
            <xm:f>NOT(ISERROR(SEARCH($AN$683,Y763)))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6123" operator="containsText" id="{6C53A67E-E7AA-4B88-80C5-F4E580240A29}">
            <xm:f>NOT(ISERROR(SEARCH($AN$682,Y763)))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6124" operator="containsText" id="{A835AD20-888C-4CC3-8A6B-01F7542FF7BA}">
            <xm:f>NOT(ISERROR(SEARCH($AN$681,Y763)))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6125" operator="containsText" id="{5C34ECBE-36F0-4075-A51D-C09AA86AA9E9}">
            <xm:f>NOT(ISERROR(SEARCH($AN$680,Y763)))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6126" operator="containsText" id="{80AD3211-625B-4FC3-A18E-CA0B2A5687DF}">
            <xm:f>NOT(ISERROR(SEARCH($AN$678,Y763)))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6127" operator="containsText" id="{00601BD7-FACD-4370-B4F0-8874B7DD415E}">
            <xm:f>NOT(ISERROR(SEARCH($AN$679,Y763)))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Y763</xm:sqref>
        </x14:conditionalFormatting>
        <x14:conditionalFormatting xmlns:xm="http://schemas.microsoft.com/office/excel/2006/main">
          <x14:cfRule type="containsText" priority="6111" operator="containsText" id="{A6B2EC67-FCF3-4CA6-B201-1F7908CB6E9D}">
            <xm:f>NOT(ISERROR(SEARCH($AN$690,Y763)))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6112" operator="containsText" id="{98E80E86-1B1A-4153-8B1E-3EE9457675D3}">
            <xm:f>NOT(ISERROR(SEARCH($AN$704,Y763)))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6113" operator="containsText" id="{74A5BCE4-88FA-4542-8F8D-93A259D28143}">
            <xm:f>NOT(ISERROR(SEARCH($AN$693,Y763)))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Y763:Y765</xm:sqref>
        </x14:conditionalFormatting>
        <x14:conditionalFormatting xmlns:xm="http://schemas.microsoft.com/office/excel/2006/main">
          <x14:cfRule type="containsText" priority="6180" operator="containsText" id="{AD180B3E-1F82-414E-AD87-614B4CE929F6}">
            <xm:f>NOT(ISERROR(SEARCH($AN$687,Y764)))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6181" operator="containsText" id="{DD22BBDB-1C58-49FB-A821-4A97B093CE6D}">
            <xm:f>NOT(ISERROR(SEARCH($AN$688,Y764)))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6182" operator="containsText" id="{A53A6A42-041F-4747-85D9-658891333AA6}">
            <xm:f>NOT(ISERROR(SEARCH($AN$686,Y764)))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183" operator="containsText" id="{12C41DAC-E9BC-4AAA-A1CC-1D4DAAFE23B4}">
            <xm:f>NOT(ISERROR(SEARCH($AN$685,Y764)))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6184" operator="containsText" id="{B348D1E9-89E0-4A3F-A996-9F1CB67DBA42}">
            <xm:f>NOT(ISERROR(SEARCH($AN$684,Y764)))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185" operator="containsText" id="{0EBBBFB4-5D3A-4D27-83BE-9D49F5F86DDE}">
            <xm:f>NOT(ISERROR(SEARCH($AN$683,Y764)))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6186" operator="containsText" id="{8EAED9CD-4500-4760-81CD-E01B495E341A}">
            <xm:f>NOT(ISERROR(SEARCH($AN$682,Y764)))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6187" operator="containsText" id="{093421C1-82D0-490E-906B-CFE4DE8E04F7}">
            <xm:f>NOT(ISERROR(SEARCH($AN$681,Y764)))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6188" operator="containsText" id="{22E42B33-BA25-4ECC-8B18-F36E693582C0}">
            <xm:f>NOT(ISERROR(SEARCH($AN$680,Y764)))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6189" operator="containsText" id="{6875C7FA-B708-4419-BBFE-E2D030BE8C27}">
            <xm:f>NOT(ISERROR(SEARCH($AN$678,Y764)))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6190" operator="containsText" id="{86F01CB8-1A94-4BB1-A7B7-EF6212D14395}">
            <xm:f>NOT(ISERROR(SEARCH($AN$679,Y764)))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Y764</xm:sqref>
        </x14:conditionalFormatting>
        <x14:conditionalFormatting xmlns:xm="http://schemas.microsoft.com/office/excel/2006/main">
          <x14:cfRule type="containsText" priority="6177" operator="containsText" id="{D6C63F56-ADC0-4BF8-8A66-708C6ED8D00E}">
            <xm:f>NOT(ISERROR(SEARCH($AN$692,Y764)))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6178" operator="containsText" id="{869250EB-0642-415A-A91E-E85CB400A9FA}">
            <xm:f>NOT(ISERROR(SEARCH($AN$691,Y764)))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6179" operator="containsText" id="{7CC5F39C-A0B5-4D1B-AA20-6F8F5B92C168}">
            <xm:f>NOT(ISERROR(SEARCH($AN$689,Y764)))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Y764:Y765</xm:sqref>
        </x14:conditionalFormatting>
        <x14:conditionalFormatting xmlns:xm="http://schemas.microsoft.com/office/excel/2006/main">
          <x14:cfRule type="containsText" priority="6218" operator="containsText" id="{DC8D1E63-AA96-4B4D-8485-13C43720F0B8}">
            <xm:f>NOT(ISERROR(SEARCH($AN$687,Y765)))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6219" operator="containsText" id="{B1D23D45-12CE-46C4-9A53-956DFA971F82}">
            <xm:f>NOT(ISERROR(SEARCH($AN$688,Y765)))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6220" operator="containsText" id="{7C9D24A8-6E15-422F-A298-BC22DCC04770}">
            <xm:f>NOT(ISERROR(SEARCH($AN$686,Y765)))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221" operator="containsText" id="{9B4DAB2A-D39F-402B-9D8F-B2D3C9CA1D2F}">
            <xm:f>NOT(ISERROR(SEARCH($AN$685,Y765)))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6222" operator="containsText" id="{2CA29263-FD0D-4147-AA26-79CDE697D610}">
            <xm:f>NOT(ISERROR(SEARCH($AN$684,Y765)))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223" operator="containsText" id="{131A3F6D-B85E-4E0E-BED2-639CB583B841}">
            <xm:f>NOT(ISERROR(SEARCH($AN$683,Y765)))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6224" operator="containsText" id="{252A3C82-8C82-4D1A-89C7-0884911BD3C4}">
            <xm:f>NOT(ISERROR(SEARCH($AN$682,Y765)))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6225" operator="containsText" id="{091D7E2E-DC76-4983-B10D-47B1D3C863F7}">
            <xm:f>NOT(ISERROR(SEARCH($AN$681,Y765)))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6226" operator="containsText" id="{24FE60D9-C745-4E9E-AF40-4A16402DA056}">
            <xm:f>NOT(ISERROR(SEARCH($AN$680,Y765)))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6227" operator="containsText" id="{5C1C31AC-73CD-4AC8-B7F0-DF699BA67C4F}">
            <xm:f>NOT(ISERROR(SEARCH($AN$678,Y765)))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6228" operator="containsText" id="{D0F27270-A8D9-4BA3-B320-11D263FEBFEB}">
            <xm:f>NOT(ISERROR(SEARCH($AN$679,Y765)))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Y765</xm:sqref>
        </x14:conditionalFormatting>
        <x14:conditionalFormatting xmlns:xm="http://schemas.microsoft.com/office/excel/2006/main">
          <x14:cfRule type="containsText" priority="2027" operator="containsText" id="{4C7C6329-7AEB-4F9D-A4B5-F7E7D1DD4AD0}">
            <xm:f>NOT(ISERROR(SEARCH($AN$704,Y89)))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028" operator="containsText" id="{D91C3CF0-5DE9-406E-8B89-34C15613CCB5}">
            <xm:f>NOT(ISERROR(SEARCH($AN$693,Y89)))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083" operator="containsText" id="{E770D79C-DD8B-443A-873D-62F794B8C447}">
            <xm:f>NOT(ISERROR(SEARCH($AN$692,Y89)))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084" operator="containsText" id="{FEE6680D-90B4-4DD0-9B82-E20188C4BD2A}">
            <xm:f>NOT(ISERROR(SEARCH($AN$691,Y89)))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085" operator="containsText" id="{FDD477C4-0EA9-4F85-ACE3-BA41620EBEE7}">
            <xm:f>NOT(ISERROR(SEARCH($AN$689,Y89)))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086" operator="containsText" id="{8ED6355F-F70C-4784-8EB9-43EAD9047257}">
            <xm:f>NOT(ISERROR(SEARCH($AN$687,Y89)))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087" operator="containsText" id="{442C0B7A-D3D8-4A77-9EE6-5E1AEE9F5E16}">
            <xm:f>NOT(ISERROR(SEARCH($AN$688,Y89)))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088" operator="containsText" id="{4D46E4DB-4369-4943-A386-6E5B065E414A}">
            <xm:f>NOT(ISERROR(SEARCH($AN$686,Y89)))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089" operator="containsText" id="{440256A0-5DEF-4E95-B26C-F4E4150BCE45}">
            <xm:f>NOT(ISERROR(SEARCH($AN$685,Y89)))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090" operator="containsText" id="{EC35B7B5-1384-4534-B325-454146BB3C02}">
            <xm:f>NOT(ISERROR(SEARCH($AN$684,Y89)))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091" operator="containsText" id="{9F950706-F0AC-40B4-B567-20F3915AC5C9}">
            <xm:f>NOT(ISERROR(SEARCH($AN$683,Y89)))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092" operator="containsText" id="{1BD4B569-8F9C-4B5B-A28A-9C5D5B2429EC}">
            <xm:f>NOT(ISERROR(SEARCH($AN$682,Y89)))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093" operator="containsText" id="{EA827CB9-8AB4-4453-AAB3-3155167D5CA2}">
            <xm:f>NOT(ISERROR(SEARCH($AN$681,Y89)))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094" operator="containsText" id="{ABD4E1A5-77EA-4146-89DA-2CFD07AA77BE}">
            <xm:f>NOT(ISERROR(SEARCH($AN$680,Y89)))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095" operator="containsText" id="{5B6563BA-61A8-4E6C-9FF7-30AB1D5AE92D}">
            <xm:f>NOT(ISERROR(SEARCH($AN$678,Y89)))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096" operator="containsText" id="{E167E1A5-F98D-4526-B9E9-3BB2F1764202}">
            <xm:f>NOT(ISERROR(SEARCH($AN$679,Y89)))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Y89:Z89</xm:sqref>
        </x14:conditionalFormatting>
        <x14:conditionalFormatting xmlns:xm="http://schemas.microsoft.com/office/excel/2006/main">
          <x14:cfRule type="containsText" priority="1859" operator="containsText" id="{8E3EAAEF-DA30-4B49-8803-9286267B1228}">
            <xm:f>NOT(ISERROR(SEARCH($AN$690,Y89)))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Y89:Z90</xm:sqref>
        </x14:conditionalFormatting>
        <x14:conditionalFormatting xmlns:xm="http://schemas.microsoft.com/office/excel/2006/main">
          <x14:cfRule type="containsText" priority="1860" operator="containsText" id="{0AB7B356-8D82-47D7-9D25-4D036AF9FEE0}">
            <xm:f>NOT(ISERROR(SEARCH($AN$704,Y90)))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861" operator="containsText" id="{696B7B9D-AC71-4F0B-B987-E0A27AB9468B}">
            <xm:f>NOT(ISERROR(SEARCH($AN$693,Y90)))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862" operator="containsText" id="{8D14AB23-3B46-4B6D-925C-C34F3976FE33}">
            <xm:f>NOT(ISERROR(SEARCH($AN$692,Y90)))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863" operator="containsText" id="{722CB0F4-0638-4E06-8BEF-D66A8C47F4AC}">
            <xm:f>NOT(ISERROR(SEARCH($AN$691,Y90)))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864" operator="containsText" id="{A4E41FAC-57F6-4D71-86D5-71C50EE0E6DB}">
            <xm:f>NOT(ISERROR(SEARCH($AN$689,Y90)))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Y90:Z90</xm:sqref>
        </x14:conditionalFormatting>
        <x14:conditionalFormatting xmlns:xm="http://schemas.microsoft.com/office/excel/2006/main">
          <x14:cfRule type="containsText" priority="1722" operator="containsText" id="{2BE2DD00-E958-4F65-BA1D-EAD6BE3CD67B}">
            <xm:f>NOT(ISERROR(SEARCH($AN$704,Y185)))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723" operator="containsText" id="{AC879EAC-99F1-4A08-8A19-1DE4BFC93136}">
            <xm:f>NOT(ISERROR(SEARCH($AN$693,Y185)))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778" operator="containsText" id="{AA9CAD2E-70BA-4B6E-A5B7-12353BA022BC}">
            <xm:f>NOT(ISERROR(SEARCH($AN$692,Y185)))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779" operator="containsText" id="{5B20F416-FCB8-4E26-A473-60CF5E0E4F6C}">
            <xm:f>NOT(ISERROR(SEARCH($AN$691,Y185)))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780" operator="containsText" id="{FFCC6693-F7A0-439E-AA1E-569086A1CC12}">
            <xm:f>NOT(ISERROR(SEARCH($AN$689,Y185)))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781" operator="containsText" id="{82247D14-D948-4D35-8196-1E0B56C0920E}">
            <xm:f>NOT(ISERROR(SEARCH($AN$687,Y185)))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782" operator="containsText" id="{96001F87-589F-4270-816E-0E67F317A1C9}">
            <xm:f>NOT(ISERROR(SEARCH($AN$688,Y185)))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783" operator="containsText" id="{E91DE2B6-BF51-424C-B331-D20BE62ED5E3}">
            <xm:f>NOT(ISERROR(SEARCH($AN$686,Y185)))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784" operator="containsText" id="{3898D91A-7BE5-4DC8-A34D-34D77365A087}">
            <xm:f>NOT(ISERROR(SEARCH($AN$685,Y185)))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785" operator="containsText" id="{E19B771C-1F17-4030-86EB-E13E8E64E2A5}">
            <xm:f>NOT(ISERROR(SEARCH($AN$684,Y185)))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786" operator="containsText" id="{DCB960A7-3F46-47C2-85CE-8FA8A02F80BF}">
            <xm:f>NOT(ISERROR(SEARCH($AN$683,Y185)))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787" operator="containsText" id="{96AD210B-7F86-4A28-A27B-EACA3C5DDBDD}">
            <xm:f>NOT(ISERROR(SEARCH($AN$682,Y185)))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788" operator="containsText" id="{CE034C12-8F4B-481E-B8C4-70D7740EB7BF}">
            <xm:f>NOT(ISERROR(SEARCH($AN$681,Y185)))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789" operator="containsText" id="{E773839C-DA5A-4491-89A8-4A8019F64254}">
            <xm:f>NOT(ISERROR(SEARCH($AN$680,Y185)))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790" operator="containsText" id="{F4C05B2C-5360-4CF8-9A04-E75C91E80899}">
            <xm:f>NOT(ISERROR(SEARCH($AN$678,Y185)))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791" operator="containsText" id="{E481C5D6-2D8D-4563-AA7C-2BF5085A2D5D}">
            <xm:f>NOT(ISERROR(SEARCH($AN$679,Y185)))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Y185:Z185</xm:sqref>
        </x14:conditionalFormatting>
        <x14:conditionalFormatting xmlns:xm="http://schemas.microsoft.com/office/excel/2006/main">
          <x14:cfRule type="containsText" priority="1554" operator="containsText" id="{57393F56-AA29-464C-8F90-5107515A39E5}">
            <xm:f>NOT(ISERROR(SEARCH($AN$690,Y185)))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Y185:Z186</xm:sqref>
        </x14:conditionalFormatting>
        <x14:conditionalFormatting xmlns:xm="http://schemas.microsoft.com/office/excel/2006/main">
          <x14:cfRule type="containsText" priority="1555" operator="containsText" id="{CD093AC0-7CC1-4780-8562-2EA0208A55AE}">
            <xm:f>NOT(ISERROR(SEARCH($AN$704,Y186)))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556" operator="containsText" id="{95600A56-CCBD-4923-9247-86DB475DEEC1}">
            <xm:f>NOT(ISERROR(SEARCH($AN$693,Y186)))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557" operator="containsText" id="{578F4EAB-A6F7-431D-A031-CFB018E60951}">
            <xm:f>NOT(ISERROR(SEARCH($AN$692,Y186)))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558" operator="containsText" id="{6493498E-0839-4A1E-B8EC-88F525325DBF}">
            <xm:f>NOT(ISERROR(SEARCH($AN$691,Y186)))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559" operator="containsText" id="{B3118386-D7CF-4F24-8689-8C8F019441D5}">
            <xm:f>NOT(ISERROR(SEARCH($AN$689,Y186)))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Y186:Z186</xm:sqref>
        </x14:conditionalFormatting>
        <x14:conditionalFormatting xmlns:xm="http://schemas.microsoft.com/office/excel/2006/main">
          <x14:cfRule type="containsText" priority="1417" operator="containsText" id="{280850B1-F905-423C-90E8-8662939F9EE6}">
            <xm:f>NOT(ISERROR(SEARCH($AN$704,Y281)))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418" operator="containsText" id="{9F2D6405-6EEB-48BC-A979-7D17B5787A5C}">
            <xm:f>NOT(ISERROR(SEARCH($AN$693,Y281)))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473" operator="containsText" id="{1B5DD756-1CCC-42D9-85F9-B793BDB7D450}">
            <xm:f>NOT(ISERROR(SEARCH($AN$692,Y281)))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74" operator="containsText" id="{1DDED22E-5979-4A74-BB21-4AB0B2C1E418}">
            <xm:f>NOT(ISERROR(SEARCH($AN$691,Y281)))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475" operator="containsText" id="{C91C7F1F-C239-40EF-BCE2-7DA24E0C5DCD}">
            <xm:f>NOT(ISERROR(SEARCH($AN$689,Y281)))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476" operator="containsText" id="{12A4D90A-309A-4B46-95E9-0108F0BE1104}">
            <xm:f>NOT(ISERROR(SEARCH($AN$687,Y281)))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477" operator="containsText" id="{59530E36-4A07-4440-838D-0B9CC72E7531}">
            <xm:f>NOT(ISERROR(SEARCH($AN$688,Y281)))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478" operator="containsText" id="{5474A93F-E4CE-42B3-A4B4-701C59062215}">
            <xm:f>NOT(ISERROR(SEARCH($AN$686,Y281)))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479" operator="containsText" id="{E9AD5224-0F3A-4202-B06B-82D270E95B0A}">
            <xm:f>NOT(ISERROR(SEARCH($AN$685,Y281)))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480" operator="containsText" id="{69D8174E-0644-4BF7-82BB-62F81A95F883}">
            <xm:f>NOT(ISERROR(SEARCH($AN$684,Y281)))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481" operator="containsText" id="{E58CDF8D-0F82-401C-AB5D-3F01F1AC3F63}">
            <xm:f>NOT(ISERROR(SEARCH($AN$683,Y281)))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482" operator="containsText" id="{9278F3B1-F5F9-4ED7-A0A5-D84335760798}">
            <xm:f>NOT(ISERROR(SEARCH($AN$682,Y281)))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483" operator="containsText" id="{DD0D7034-C3B1-4F33-A2DA-8A8A8A0A47AC}">
            <xm:f>NOT(ISERROR(SEARCH($AN$681,Y281)))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484" operator="containsText" id="{AA7EB20C-DEE3-4114-8BB1-31EA4B006530}">
            <xm:f>NOT(ISERROR(SEARCH($AN$680,Y281)))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485" operator="containsText" id="{5B621BEE-A066-4BE9-BA85-3E6ABA7F1F67}">
            <xm:f>NOT(ISERROR(SEARCH($AN$678,Y281)))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486" operator="containsText" id="{02A51522-C207-4D78-B600-756054B0A466}">
            <xm:f>NOT(ISERROR(SEARCH($AN$679,Y281)))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Y281:Z281</xm:sqref>
        </x14:conditionalFormatting>
        <x14:conditionalFormatting xmlns:xm="http://schemas.microsoft.com/office/excel/2006/main">
          <x14:cfRule type="containsText" priority="1249" operator="containsText" id="{26C00E63-B0C4-43E7-9DED-EB44A358AE05}">
            <xm:f>NOT(ISERROR(SEARCH($AN$690,Y281)))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Y281:Z282</xm:sqref>
        </x14:conditionalFormatting>
        <x14:conditionalFormatting xmlns:xm="http://schemas.microsoft.com/office/excel/2006/main">
          <x14:cfRule type="containsText" priority="1250" operator="containsText" id="{707ED3F4-5284-4898-81A0-168779E154AC}">
            <xm:f>NOT(ISERROR(SEARCH($AN$704,Y282)))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251" operator="containsText" id="{BE7F6973-0B78-4C71-958E-7B2C1A5CC412}">
            <xm:f>NOT(ISERROR(SEARCH($AN$693,Y282)))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252" operator="containsText" id="{596A9AB1-43EA-4833-AB2E-E22A9597B270}">
            <xm:f>NOT(ISERROR(SEARCH($AN$692,Y282)))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253" operator="containsText" id="{77241FF1-E166-49B2-8D57-C88A3550E20E}">
            <xm:f>NOT(ISERROR(SEARCH($AN$691,Y282)))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254" operator="containsText" id="{98DA99FB-A29B-496A-B142-17A0EC5A592B}">
            <xm:f>NOT(ISERROR(SEARCH($AN$689,Y282)))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Y282:Z282</xm:sqref>
        </x14:conditionalFormatting>
        <x14:conditionalFormatting xmlns:xm="http://schemas.microsoft.com/office/excel/2006/main">
          <x14:cfRule type="containsText" priority="5965" operator="containsText" id="{247A23FD-A4D7-459C-B88F-5DE5953F5626}">
            <xm:f>NOT(ISERROR(SEARCH($AN$692,Y321)))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966" operator="containsText" id="{1CC38978-F275-4DEF-881A-F2A589BC5941}">
            <xm:f>NOT(ISERROR(SEARCH($AN$691,Y321)))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967" operator="containsText" id="{242E037B-EB1A-4F15-9F82-DF7E9F7B35D2}">
            <xm:f>NOT(ISERROR(SEARCH($AN$689,Y321)))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968" operator="containsText" id="{41391C37-6EB5-4C20-933C-0D06DD2616BC}">
            <xm:f>NOT(ISERROR(SEARCH($AN$687,Y321)))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969" operator="containsText" id="{133011FB-E030-4C8F-94E3-549611E4877C}">
            <xm:f>NOT(ISERROR(SEARCH($AN$688,Y321)))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970" operator="containsText" id="{C2158A24-84DA-49D9-B872-8499E2C4A51C}">
            <xm:f>NOT(ISERROR(SEARCH($AN$686,Y321)))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971" operator="containsText" id="{E8B400CA-AB92-44EA-89EA-8367C73A09AC}">
            <xm:f>NOT(ISERROR(SEARCH($AN$685,Y321)))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972" operator="containsText" id="{1292F9C7-7BBF-4700-BAD2-8AEA485422FD}">
            <xm:f>NOT(ISERROR(SEARCH($AN$684,Y321)))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973" operator="containsText" id="{68C1C4C4-0C41-4FD0-BBCF-7CFE86848AD5}">
            <xm:f>NOT(ISERROR(SEARCH($AN$683,Y321)))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974" operator="containsText" id="{3F96E8A5-DE03-49F1-9835-1C03D7D0B5F1}">
            <xm:f>NOT(ISERROR(SEARCH($AN$682,Y321)))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975" operator="containsText" id="{32501BBB-3449-4AA4-AC62-830BEFE49183}">
            <xm:f>NOT(ISERROR(SEARCH($AN$681,Y321)))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976" operator="containsText" id="{495CA3B9-DF3B-4931-85CF-6C228E4F87CF}">
            <xm:f>NOT(ISERROR(SEARCH($AN$680,Y321)))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977" operator="containsText" id="{47C8AA5A-CBAF-4AD5-BF3E-503C87DBA280}">
            <xm:f>NOT(ISERROR(SEARCH($AN$678,Y321)))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978" operator="containsText" id="{30A9D714-8C2A-43F9-84E1-8DD6064D2207}">
            <xm:f>NOT(ISERROR(SEARCH($AN$679,Y321)))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Y321:Z325</xm:sqref>
        </x14:conditionalFormatting>
        <x14:conditionalFormatting xmlns:xm="http://schemas.microsoft.com/office/excel/2006/main">
          <x14:cfRule type="containsText" priority="5945" operator="containsText" id="{DECD2471-6D1E-46CF-BB05-2C371C2DE975}">
            <xm:f>NOT(ISERROR(SEARCH($AN$690,Y324)))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946" operator="containsText" id="{2F4A3BBC-5567-4C96-8E3B-27AB505216AF}">
            <xm:f>NOT(ISERROR(SEARCH($AN$704,Y324)))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947" operator="containsText" id="{BCB27A19-3ECD-4FD0-86F8-63E898818D0B}">
            <xm:f>NOT(ISERROR(SEARCH($AN$693,Y324)))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948" operator="containsText" id="{C72D8AF0-6821-4542-9B5C-11E0EF233B9D}">
            <xm:f>NOT(ISERROR(SEARCH($AN$692,Y324)))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949" operator="containsText" id="{79D58C5C-5191-498F-90CD-97E961CF1786}">
            <xm:f>NOT(ISERROR(SEARCH($AN$691,Y324)))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950" operator="containsText" id="{319E9463-BA53-4189-A18D-AFF496154719}">
            <xm:f>NOT(ISERROR(SEARCH($AN$689,Y324)))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951" operator="containsText" id="{5650A8EC-952A-474F-8ABC-BA36F4D41677}">
            <xm:f>NOT(ISERROR(SEARCH($AN$687,Y324)))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952" operator="containsText" id="{0BEE4166-D9F6-45E8-A013-FDCC26044211}">
            <xm:f>NOT(ISERROR(SEARCH($AN$688,Y324)))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953" operator="containsText" id="{2E7AD19D-50FE-4E31-B34F-63CE5AF0D84C}">
            <xm:f>NOT(ISERROR(SEARCH($AN$686,Y324)))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954" operator="containsText" id="{876D2F98-33E2-4D49-AF04-C69992F0BDAC}">
            <xm:f>NOT(ISERROR(SEARCH($AN$685,Y324)))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955" operator="containsText" id="{69680822-C754-4B9D-94A4-E71E0E9ADE8B}">
            <xm:f>NOT(ISERROR(SEARCH($AN$684,Y324)))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956" operator="containsText" id="{41D10DB5-0126-4F3D-9362-E1B2FDDB1546}">
            <xm:f>NOT(ISERROR(SEARCH($AN$683,Y324)))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957" operator="containsText" id="{1E3649D7-1D3A-4F27-9645-20DF6A008FB1}">
            <xm:f>NOT(ISERROR(SEARCH($AN$682,Y324)))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958" operator="containsText" id="{858DF7FD-2EDC-4CB3-8838-9D6DA6203971}">
            <xm:f>NOT(ISERROR(SEARCH($AN$681,Y324)))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959" operator="containsText" id="{DA5A3EAF-10FF-4760-A0D3-8F63B60D14ED}">
            <xm:f>NOT(ISERROR(SEARCH($AN$680,Y324)))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960" operator="containsText" id="{66080CA7-726B-4FDD-8CD7-923B4358CC6A}">
            <xm:f>NOT(ISERROR(SEARCH($AN$678,Y324)))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961" operator="containsText" id="{A282F4B0-2FF2-41EE-940F-C3A7D3F4452A}">
            <xm:f>NOT(ISERROR(SEARCH($AN$679,Y324)))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Y324:Z325</xm:sqref>
        </x14:conditionalFormatting>
        <x14:conditionalFormatting xmlns:xm="http://schemas.microsoft.com/office/excel/2006/main">
          <x14:cfRule type="containsText" priority="1112" operator="containsText" id="{59A9A77F-F315-4B3C-AC83-825E2CAB0076}">
            <xm:f>NOT(ISERROR(SEARCH($AN$704,Y377)))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113" operator="containsText" id="{115B90DD-C3DC-49CC-8F4D-FD9108651BF7}">
            <xm:f>NOT(ISERROR(SEARCH($AN$693,Y377)))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168" operator="containsText" id="{A164B1FF-0DAB-42C4-A956-3D77D034EB7B}">
            <xm:f>NOT(ISERROR(SEARCH($AN$692,Y377)))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69" operator="containsText" id="{6CFB58B6-F67E-462A-8A6A-977D5FC0171C}">
            <xm:f>NOT(ISERROR(SEARCH($AN$691,Y377)))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170" operator="containsText" id="{7A309F11-81BB-4341-AC78-73E96076D47B}">
            <xm:f>NOT(ISERROR(SEARCH($AN$689,Y377)))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171" operator="containsText" id="{DD1BEE07-F0EC-4766-B8FC-9C2D0AD27260}">
            <xm:f>NOT(ISERROR(SEARCH($AN$687,Y377)))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172" operator="containsText" id="{BE4C989F-7D33-46D5-AE93-0A00A5CC5256}">
            <xm:f>NOT(ISERROR(SEARCH($AN$688,Y377)))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73" operator="containsText" id="{90D03A63-D01F-4159-9AF1-A288F47A7BF3}">
            <xm:f>NOT(ISERROR(SEARCH($AN$686,Y377)))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74" operator="containsText" id="{6F156217-80E4-4A85-A735-2D33C13D5D22}">
            <xm:f>NOT(ISERROR(SEARCH($AN$685,Y377)))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75" operator="containsText" id="{49CDF90E-91FD-42CA-9BB0-F26046829AB6}">
            <xm:f>NOT(ISERROR(SEARCH($AN$684,Y377)))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76" operator="containsText" id="{1F19D132-61FE-4F65-B522-864A5829E4FE}">
            <xm:f>NOT(ISERROR(SEARCH($AN$683,Y377)))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77" operator="containsText" id="{D90735D7-9FE2-4668-B257-4369094E9C81}">
            <xm:f>NOT(ISERROR(SEARCH($AN$682,Y377)))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78" operator="containsText" id="{4CB4C28C-5064-4B60-AF56-0C4C634A53E0}">
            <xm:f>NOT(ISERROR(SEARCH($AN$681,Y377)))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79" operator="containsText" id="{3C18302F-89ED-4CB7-A1E9-1E412CD08FDA}">
            <xm:f>NOT(ISERROR(SEARCH($AN$680,Y377)))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80" operator="containsText" id="{526A20FB-2E79-4FEC-8573-A943415684CA}">
            <xm:f>NOT(ISERROR(SEARCH($AN$678,Y377)))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81" operator="containsText" id="{C458D259-90B5-4AEE-BA4F-599916BEB5AE}">
            <xm:f>NOT(ISERROR(SEARCH($AN$679,Y377)))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Y377:Z377</xm:sqref>
        </x14:conditionalFormatting>
        <x14:conditionalFormatting xmlns:xm="http://schemas.microsoft.com/office/excel/2006/main">
          <x14:cfRule type="containsText" priority="944" operator="containsText" id="{DED5428D-3D0E-4F8A-A53A-74C558BB126F}">
            <xm:f>NOT(ISERROR(SEARCH($AN$690,Y377)))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Y377:Z378</xm:sqref>
        </x14:conditionalFormatting>
        <x14:conditionalFormatting xmlns:xm="http://schemas.microsoft.com/office/excel/2006/main">
          <x14:cfRule type="containsText" priority="945" operator="containsText" id="{3F9C505C-8700-4576-8787-982B67BF7E76}">
            <xm:f>NOT(ISERROR(SEARCH($AN$704,Y378)))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46" operator="containsText" id="{5DC6FB00-1903-4099-ADE8-168331D9E9DA}">
            <xm:f>NOT(ISERROR(SEARCH($AN$693,Y378)))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947" operator="containsText" id="{261B26D8-750A-4BCC-A60F-44C5EF6508CA}">
            <xm:f>NOT(ISERROR(SEARCH($AN$692,Y378)))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48" operator="containsText" id="{F3A34375-91BC-414D-B5B4-9D4EE31094CC}">
            <xm:f>NOT(ISERROR(SEARCH($AN$691,Y378)))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949" operator="containsText" id="{D9BCAD0B-C92F-4F43-8D37-FE61A6375954}">
            <xm:f>NOT(ISERROR(SEARCH($AN$689,Y378)))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Y378:Z378</xm:sqref>
        </x14:conditionalFormatting>
        <x14:conditionalFormatting xmlns:xm="http://schemas.microsoft.com/office/excel/2006/main">
          <x14:cfRule type="containsText" priority="5880" operator="containsText" id="{B9AA71D6-400B-4243-90D1-ABCEEE7C6D3A}">
            <xm:f>NOT(ISERROR(SEARCH($AN$692,Y417)))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881" operator="containsText" id="{A3ABE7F4-2E4F-41AE-9459-0468D3F92D6E}">
            <xm:f>NOT(ISERROR(SEARCH($AN$691,Y417)))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882" operator="containsText" id="{8BBA4A65-106C-486E-8113-988749DC5C05}">
            <xm:f>NOT(ISERROR(SEARCH($AN$689,Y417)))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883" operator="containsText" id="{6AEB5B25-8D35-4D74-89C8-9D2AA0E5E65B}">
            <xm:f>NOT(ISERROR(SEARCH($AN$687,Y417)))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884" operator="containsText" id="{71A493D6-4DDE-417B-A39D-18731C944EAB}">
            <xm:f>NOT(ISERROR(SEARCH($AN$688,Y417)))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885" operator="containsText" id="{222147BB-5D39-40FD-A1D5-7E8170E499C7}">
            <xm:f>NOT(ISERROR(SEARCH($AN$686,Y417)))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886" operator="containsText" id="{5C041024-C66B-4072-AF83-F25D235FC7A5}">
            <xm:f>NOT(ISERROR(SEARCH($AN$685,Y417)))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887" operator="containsText" id="{08C2F3D4-BBCD-4BA1-AC52-42A8414E19CA}">
            <xm:f>NOT(ISERROR(SEARCH($AN$684,Y417)))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888" operator="containsText" id="{E45AEAA3-F4A9-441C-8200-9CA2F2EC645D}">
            <xm:f>NOT(ISERROR(SEARCH($AN$683,Y417)))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889" operator="containsText" id="{D86FACB6-B8D9-4A01-9F83-EB1599F8093F}">
            <xm:f>NOT(ISERROR(SEARCH($AN$682,Y417)))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890" operator="containsText" id="{BD714AF5-F1EF-476F-AFEF-E83699E787A4}">
            <xm:f>NOT(ISERROR(SEARCH($AN$681,Y417)))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891" operator="containsText" id="{46B9E6FD-0BA5-4058-810B-F8E02B36F455}">
            <xm:f>NOT(ISERROR(SEARCH($AN$680,Y417)))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892" operator="containsText" id="{F1E5B12A-A1CC-4E36-AC13-E899DBD4DBBD}">
            <xm:f>NOT(ISERROR(SEARCH($AN$678,Y417)))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893" operator="containsText" id="{EDCB4748-1ACF-4998-B71A-4A3D1598FC57}">
            <xm:f>NOT(ISERROR(SEARCH($AN$679,Y417)))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Y417:Z421</xm:sqref>
        </x14:conditionalFormatting>
        <x14:conditionalFormatting xmlns:xm="http://schemas.microsoft.com/office/excel/2006/main">
          <x14:cfRule type="containsText" priority="5860" operator="containsText" id="{E47D1ACE-D255-4F31-B0F9-DC29B7847651}">
            <xm:f>NOT(ISERROR(SEARCH($AN$690,Y420)))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861" operator="containsText" id="{175E03A7-9095-4661-B037-842A96C4BF81}">
            <xm:f>NOT(ISERROR(SEARCH($AN$704,Y420)))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862" operator="containsText" id="{20DBE700-C795-49B4-B098-3EAF868DF354}">
            <xm:f>NOT(ISERROR(SEARCH($AN$693,Y420)))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863" operator="containsText" id="{A262C735-0174-4E0A-B39B-98EA18BFE1AF}">
            <xm:f>NOT(ISERROR(SEARCH($AN$692,Y420)))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864" operator="containsText" id="{F6FD9C33-DC3A-4B60-96C1-4F08DC5A4551}">
            <xm:f>NOT(ISERROR(SEARCH($AN$691,Y420)))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865" operator="containsText" id="{4CCE6A94-EDFF-43D0-9C5A-3D34C1359FD8}">
            <xm:f>NOT(ISERROR(SEARCH($AN$689,Y420)))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866" operator="containsText" id="{2BEFC734-E811-4DBA-9CA3-C6E7F9BD9161}">
            <xm:f>NOT(ISERROR(SEARCH($AN$687,Y420)))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867" operator="containsText" id="{EBF0D33A-EC34-414F-82DF-85FEEEB3C73D}">
            <xm:f>NOT(ISERROR(SEARCH($AN$688,Y420)))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868" operator="containsText" id="{2C845A3B-CCE3-4AD0-9B45-A9DABC14A0A2}">
            <xm:f>NOT(ISERROR(SEARCH($AN$686,Y420)))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869" operator="containsText" id="{1645A1AD-72F3-4F05-B645-2BB73831FAAF}">
            <xm:f>NOT(ISERROR(SEARCH($AN$685,Y420)))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870" operator="containsText" id="{DFFF84D3-D928-4728-A903-C66BA0255C8B}">
            <xm:f>NOT(ISERROR(SEARCH($AN$684,Y420)))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871" operator="containsText" id="{31E02C19-7D8B-4AF6-8010-71003C56A044}">
            <xm:f>NOT(ISERROR(SEARCH($AN$683,Y420)))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872" operator="containsText" id="{8A813FC3-D1E1-4545-8434-5E72445E61E3}">
            <xm:f>NOT(ISERROR(SEARCH($AN$682,Y420)))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873" operator="containsText" id="{33414982-29C1-46F2-86E4-BBD08AC0211B}">
            <xm:f>NOT(ISERROR(SEARCH($AN$681,Y420)))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874" operator="containsText" id="{42465459-5A59-47AA-A5FC-D09E530B408F}">
            <xm:f>NOT(ISERROR(SEARCH($AN$680,Y420)))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875" operator="containsText" id="{64884887-7E16-4298-9F0F-84D54676A998}">
            <xm:f>NOT(ISERROR(SEARCH($AN$678,Y420)))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876" operator="containsText" id="{D88A4FCB-CCE4-4AEF-AD5D-CAE8DD15EEE3}">
            <xm:f>NOT(ISERROR(SEARCH($AN$679,Y420)))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Y420:Z421</xm:sqref>
        </x14:conditionalFormatting>
        <x14:conditionalFormatting xmlns:xm="http://schemas.microsoft.com/office/excel/2006/main">
          <x14:cfRule type="containsText" priority="807" operator="containsText" id="{1FFCA81E-CEAC-4195-867C-4D322CEC787B}">
            <xm:f>NOT(ISERROR(SEARCH($AN$704,Y473)))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808" operator="containsText" id="{54EC6B23-E89E-4953-87D8-0BC5FEAFCDC4}">
            <xm:f>NOT(ISERROR(SEARCH($AN$693,Y473)))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863" operator="containsText" id="{77730443-10FC-4BC1-AB39-4E9B556A977C}">
            <xm:f>NOT(ISERROR(SEARCH($AN$692,Y473)))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64" operator="containsText" id="{699E548C-168B-498C-BE01-AEAA5EFBCC66}">
            <xm:f>NOT(ISERROR(SEARCH($AN$691,Y473)))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865" operator="containsText" id="{63B1BE04-0A41-4996-85F8-878D2338B04A}">
            <xm:f>NOT(ISERROR(SEARCH($AN$689,Y473)))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866" operator="containsText" id="{028B8977-9D51-40F8-A145-D46B5DD6B7E2}">
            <xm:f>NOT(ISERROR(SEARCH($AN$687,Y473)))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867" operator="containsText" id="{E438BA87-963D-4176-9F8E-4155BA77C4CB}">
            <xm:f>NOT(ISERROR(SEARCH($AN$688,Y473)))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868" operator="containsText" id="{802D5F5A-802B-4174-B0C2-06CD134F9B69}">
            <xm:f>NOT(ISERROR(SEARCH($AN$686,Y473)))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69" operator="containsText" id="{E95D3955-E0A3-489F-B7E9-66A42A86E906}">
            <xm:f>NOT(ISERROR(SEARCH($AN$685,Y473)))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870" operator="containsText" id="{34D1216D-08F9-4175-9348-B4B9BFC15A1A}">
            <xm:f>NOT(ISERROR(SEARCH($AN$684,Y473)))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71" operator="containsText" id="{B415E0E7-31F3-4E73-9CC5-4611947AC863}">
            <xm:f>NOT(ISERROR(SEARCH($AN$683,Y473)))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872" operator="containsText" id="{479746E3-9687-40D7-ABC0-E6A593C31D1F}">
            <xm:f>NOT(ISERROR(SEARCH($AN$682,Y473)))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873" operator="containsText" id="{14AA1DDE-8C14-4B3C-94F7-44CDA3911769}">
            <xm:f>NOT(ISERROR(SEARCH($AN$681,Y473)))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874" operator="containsText" id="{29AB48FB-2024-4423-8672-171ABC27C80E}">
            <xm:f>NOT(ISERROR(SEARCH($AN$680,Y473)))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875" operator="containsText" id="{F5E21E02-D295-46A3-B327-168DDCCCA213}">
            <xm:f>NOT(ISERROR(SEARCH($AN$678,Y473)))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876" operator="containsText" id="{434D6B7E-2958-4E39-8834-47DA28EBBF10}">
            <xm:f>NOT(ISERROR(SEARCH($AN$679,Y473)))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Y473:Z473</xm:sqref>
        </x14:conditionalFormatting>
        <x14:conditionalFormatting xmlns:xm="http://schemas.microsoft.com/office/excel/2006/main">
          <x14:cfRule type="containsText" priority="639" operator="containsText" id="{7D0FF168-82EB-4635-8D90-C90DEE64C1CF}">
            <xm:f>NOT(ISERROR(SEARCH($AN$690,Y473)))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Y473:Z474</xm:sqref>
        </x14:conditionalFormatting>
        <x14:conditionalFormatting xmlns:xm="http://schemas.microsoft.com/office/excel/2006/main">
          <x14:cfRule type="containsText" priority="640" operator="containsText" id="{EBCEEC2C-C7F4-4DCC-B027-6461E7A24652}">
            <xm:f>NOT(ISERROR(SEARCH($AN$704,Y474)))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641" operator="containsText" id="{7F0DFE13-F4AB-49B5-B42B-BEB08841D0FF}">
            <xm:f>NOT(ISERROR(SEARCH($AN$693,Y474)))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642" operator="containsText" id="{395FD878-4AD2-4BDE-BFF8-463E162DBF85}">
            <xm:f>NOT(ISERROR(SEARCH($AN$692,Y474)))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643" operator="containsText" id="{FFFD3A26-2241-494C-8C07-999B4C48BB21}">
            <xm:f>NOT(ISERROR(SEARCH($AN$691,Y474)))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644" operator="containsText" id="{06A08B85-5CA5-43D8-A430-FC0829D41599}">
            <xm:f>NOT(ISERROR(SEARCH($AN$689,Y474)))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Y474:Z474</xm:sqref>
        </x14:conditionalFormatting>
        <x14:conditionalFormatting xmlns:xm="http://schemas.microsoft.com/office/excel/2006/main">
          <x14:cfRule type="containsText" priority="5795" operator="containsText" id="{D25C52CD-528F-42D8-9002-D30AAAB55262}">
            <xm:f>NOT(ISERROR(SEARCH($AN$692,Y513)))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796" operator="containsText" id="{9AE03CDF-E442-493A-943E-EA0DDD85EFC7}">
            <xm:f>NOT(ISERROR(SEARCH($AN$691,Y513)))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797" operator="containsText" id="{8D257FE6-8A97-4B9F-A382-5232759DF159}">
            <xm:f>NOT(ISERROR(SEARCH($AN$689,Y513)))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798" operator="containsText" id="{5A77DE5F-098B-40BA-8FF0-9108B5FA6345}">
            <xm:f>NOT(ISERROR(SEARCH($AN$687,Y513)))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799" operator="containsText" id="{7AA7FFA3-F14E-4DB9-96AE-836C711E76E0}">
            <xm:f>NOT(ISERROR(SEARCH($AN$688,Y513)))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800" operator="containsText" id="{E7C96EB3-10ED-482B-8F57-76607A6509C2}">
            <xm:f>NOT(ISERROR(SEARCH($AN$686,Y513)))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801" operator="containsText" id="{BB8EFD08-79E7-44F1-B63A-DE8A1BEAC4DA}">
            <xm:f>NOT(ISERROR(SEARCH($AN$685,Y513)))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802" operator="containsText" id="{8A9CDDE4-38BC-4EE6-8733-A2A7DEECD93A}">
            <xm:f>NOT(ISERROR(SEARCH($AN$684,Y513)))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803" operator="containsText" id="{BDA890D0-5783-4872-8ECB-BF9B64DB4C7E}">
            <xm:f>NOT(ISERROR(SEARCH($AN$683,Y513)))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804" operator="containsText" id="{89F92C83-BE9B-482A-884D-34534296B150}">
            <xm:f>NOT(ISERROR(SEARCH($AN$682,Y513)))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805" operator="containsText" id="{46C294B6-6BFA-428A-BAD2-9C609E53EC39}">
            <xm:f>NOT(ISERROR(SEARCH($AN$681,Y513)))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806" operator="containsText" id="{392F8F09-C3A0-42F2-B4D1-977EB6784FF5}">
            <xm:f>NOT(ISERROR(SEARCH($AN$680,Y513)))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807" operator="containsText" id="{BADB86C9-F486-458E-9FB1-379C04A8CBAE}">
            <xm:f>NOT(ISERROR(SEARCH($AN$678,Y513)))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808" operator="containsText" id="{E66B9F4E-CAB9-42A7-B679-529D2C7F21BD}">
            <xm:f>NOT(ISERROR(SEARCH($AN$679,Y513)))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Y513:Z517</xm:sqref>
        </x14:conditionalFormatting>
        <x14:conditionalFormatting xmlns:xm="http://schemas.microsoft.com/office/excel/2006/main">
          <x14:cfRule type="containsText" priority="5775" operator="containsText" id="{568BA40C-21F3-454D-8587-23E0A2781CB1}">
            <xm:f>NOT(ISERROR(SEARCH($AN$690,Y516)))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776" operator="containsText" id="{7E2AC13C-65C3-492F-8D52-49C21C0A3D2C}">
            <xm:f>NOT(ISERROR(SEARCH($AN$704,Y516)))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777" operator="containsText" id="{5CAD7265-D390-4D95-81B5-3DBAC6825E05}">
            <xm:f>NOT(ISERROR(SEARCH($AN$693,Y516)))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778" operator="containsText" id="{8D5462C0-99C3-4BE0-B0BF-A0FE38B96E09}">
            <xm:f>NOT(ISERROR(SEARCH($AN$692,Y516)))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779" operator="containsText" id="{55A2BCFD-F759-4465-8B05-5A53E490323E}">
            <xm:f>NOT(ISERROR(SEARCH($AN$691,Y516)))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780" operator="containsText" id="{5389E6F3-DE92-4BCB-A96A-58E0891C5CFE}">
            <xm:f>NOT(ISERROR(SEARCH($AN$689,Y516)))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781" operator="containsText" id="{27A448E6-9D04-4E8A-B605-95706BB81B31}">
            <xm:f>NOT(ISERROR(SEARCH($AN$687,Y516)))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782" operator="containsText" id="{35DD4FDA-E673-45E5-9CE5-38DB03048AEF}">
            <xm:f>NOT(ISERROR(SEARCH($AN$688,Y516)))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783" operator="containsText" id="{2DEAF5C9-5844-4BC2-AB2A-A856EA2248DC}">
            <xm:f>NOT(ISERROR(SEARCH($AN$686,Y516)))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784" operator="containsText" id="{8A6302EF-EA38-4073-B1EA-A8C3CEA833FA}">
            <xm:f>NOT(ISERROR(SEARCH($AN$685,Y516)))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785" operator="containsText" id="{6923DCD6-184C-49AD-8678-AB5EA0CFA450}">
            <xm:f>NOT(ISERROR(SEARCH($AN$684,Y516)))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786" operator="containsText" id="{4BF48E40-D941-4E9D-B113-BF43B8C0396D}">
            <xm:f>NOT(ISERROR(SEARCH($AN$683,Y516)))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787" operator="containsText" id="{C864C8F1-429E-486A-B0A4-D83B2F04606D}">
            <xm:f>NOT(ISERROR(SEARCH($AN$682,Y516)))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788" operator="containsText" id="{42D922F9-4287-4387-8E9C-522ECED8D293}">
            <xm:f>NOT(ISERROR(SEARCH($AN$681,Y516)))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789" operator="containsText" id="{CA923A30-66D4-4C86-AD9C-D9AE0B3F8A95}">
            <xm:f>NOT(ISERROR(SEARCH($AN$680,Y516)))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790" operator="containsText" id="{D98B2602-5AC5-4095-9081-DF76AE456FD6}">
            <xm:f>NOT(ISERROR(SEARCH($AN$678,Y516)))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791" operator="containsText" id="{CCB592CC-45EB-4346-AF75-0FA3678C5A51}">
            <xm:f>NOT(ISERROR(SEARCH($AN$679,Y516)))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Y516:Z517</xm:sqref>
        </x14:conditionalFormatting>
        <x14:conditionalFormatting xmlns:xm="http://schemas.microsoft.com/office/excel/2006/main">
          <x14:cfRule type="containsText" priority="502" operator="containsText" id="{003DDCF8-1E11-4455-A401-52F132DF1F22}">
            <xm:f>NOT(ISERROR(SEARCH($AN$704,Y569)))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03" operator="containsText" id="{8F63CC73-397B-4C72-BDD4-BBB3E59511B5}">
            <xm:f>NOT(ISERROR(SEARCH($AN$693,Y569)))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58" operator="containsText" id="{A9CBB6D2-0456-458E-9726-16086189E5AD}">
            <xm:f>NOT(ISERROR(SEARCH($AN$692,Y569)))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59" operator="containsText" id="{1A0BEC1D-8415-4BEE-A86A-47DDA43B686B}">
            <xm:f>NOT(ISERROR(SEARCH($AN$691,Y569)))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60" operator="containsText" id="{67C8BE31-C90F-4774-92B8-FD6E42B4759A}">
            <xm:f>NOT(ISERROR(SEARCH($AN$689,Y569)))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61" operator="containsText" id="{5A02B471-FF25-42AA-AA9B-0600B6C39231}">
            <xm:f>NOT(ISERROR(SEARCH($AN$687,Y569)))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62" operator="containsText" id="{BBFAFEFC-E7A6-4E40-979A-8463EB606E57}">
            <xm:f>NOT(ISERROR(SEARCH($AN$688,Y569)))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63" operator="containsText" id="{7A2351EE-10A4-44D2-A7A2-59D40D335E63}">
            <xm:f>NOT(ISERROR(SEARCH($AN$686,Y569)))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64" operator="containsText" id="{748E77A0-C45B-452B-B196-C0F96D752A7B}">
            <xm:f>NOT(ISERROR(SEARCH($AN$685,Y569)))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65" operator="containsText" id="{40E52ABE-EAB6-4A4F-B858-A72BD31FE6E0}">
            <xm:f>NOT(ISERROR(SEARCH($AN$684,Y569)))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66" operator="containsText" id="{A7767DCC-8B8A-403B-9C6C-BBF50B1C38E5}">
            <xm:f>NOT(ISERROR(SEARCH($AN$683,Y569)))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67" operator="containsText" id="{B61A0F74-30DB-4AEE-A7BE-F5DFFC8F5663}">
            <xm:f>NOT(ISERROR(SEARCH($AN$682,Y569)))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68" operator="containsText" id="{46DBFD61-200E-47B4-99F1-55BCD3FB6779}">
            <xm:f>NOT(ISERROR(SEARCH($AN$681,Y569)))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69" operator="containsText" id="{90DB8114-A81F-4605-B5C3-B0139022748D}">
            <xm:f>NOT(ISERROR(SEARCH($AN$680,Y569)))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70" operator="containsText" id="{F59436AE-D757-4614-9F97-8AB09E7BE630}">
            <xm:f>NOT(ISERROR(SEARCH($AN$678,Y569)))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71" operator="containsText" id="{5F8EB6EE-9E73-4B04-9448-57799732F4A0}">
            <xm:f>NOT(ISERROR(SEARCH($AN$679,Y569)))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Y569:Z569</xm:sqref>
        </x14:conditionalFormatting>
        <x14:conditionalFormatting xmlns:xm="http://schemas.microsoft.com/office/excel/2006/main">
          <x14:cfRule type="containsText" priority="334" operator="containsText" id="{1D93EF4C-13AC-4C21-9284-236E9F22F180}">
            <xm:f>NOT(ISERROR(SEARCH($AN$690,Y569)))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Y569:Z570</xm:sqref>
        </x14:conditionalFormatting>
        <x14:conditionalFormatting xmlns:xm="http://schemas.microsoft.com/office/excel/2006/main">
          <x14:cfRule type="containsText" priority="335" operator="containsText" id="{E6A1A4DA-12CF-4FEA-ACAD-6DB9F0F4ADB2}">
            <xm:f>NOT(ISERROR(SEARCH($AN$704,Y570)))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36" operator="containsText" id="{D5281409-4187-4435-AA25-83F7F8B485CF}">
            <xm:f>NOT(ISERROR(SEARCH($AN$693,Y570)))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37" operator="containsText" id="{8A4399AD-875E-4E17-AFCE-0EB20E1DC809}">
            <xm:f>NOT(ISERROR(SEARCH($AN$692,Y570)))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38" operator="containsText" id="{A32FCAFE-F859-41A4-9E33-4309160A73C3}">
            <xm:f>NOT(ISERROR(SEARCH($AN$691,Y570)))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39" operator="containsText" id="{421B9D69-E4F7-4EC8-8DFC-A1CAF2612F67}">
            <xm:f>NOT(ISERROR(SEARCH($AN$689,Y570)))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Y570:Z570</xm:sqref>
        </x14:conditionalFormatting>
        <x14:conditionalFormatting xmlns:xm="http://schemas.microsoft.com/office/excel/2006/main">
          <x14:cfRule type="containsText" priority="5710" operator="containsText" id="{2A4EE9E8-BC83-45C0-8260-F5E6F06648FB}">
            <xm:f>NOT(ISERROR(SEARCH($AN$692,Y609)))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711" operator="containsText" id="{1542DC0D-3E6A-47D6-8CDA-3C057CA8E579}">
            <xm:f>NOT(ISERROR(SEARCH($AN$691,Y609)))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712" operator="containsText" id="{8A872023-2859-4CAE-B9B4-DFED43E188FD}">
            <xm:f>NOT(ISERROR(SEARCH($AN$689,Y609)))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713" operator="containsText" id="{1E20DC19-605B-42A4-AAB4-6DF0E0A96A68}">
            <xm:f>NOT(ISERROR(SEARCH($AN$687,Y609)))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714" operator="containsText" id="{B88B58FD-9998-49C3-9408-0924A9F17358}">
            <xm:f>NOT(ISERROR(SEARCH($AN$688,Y609)))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715" operator="containsText" id="{68B42861-85C8-4271-8664-20A2952DD71F}">
            <xm:f>NOT(ISERROR(SEARCH($AN$686,Y609)))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716" operator="containsText" id="{A8293ACD-6BCA-4A26-86A0-F0985A9628BE}">
            <xm:f>NOT(ISERROR(SEARCH($AN$685,Y609)))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717" operator="containsText" id="{A7C7FF17-69F7-4519-9129-B2F792903B5F}">
            <xm:f>NOT(ISERROR(SEARCH($AN$684,Y609)))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718" operator="containsText" id="{8E705E59-8AD1-4206-ABC1-CCA1C63117D5}">
            <xm:f>NOT(ISERROR(SEARCH($AN$683,Y609)))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719" operator="containsText" id="{BD51D33C-FD8C-4129-A95D-6111BDC5B100}">
            <xm:f>NOT(ISERROR(SEARCH($AN$682,Y609)))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720" operator="containsText" id="{B080A242-5C1B-4F4C-BBE8-2728934A1A60}">
            <xm:f>NOT(ISERROR(SEARCH($AN$681,Y609)))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721" operator="containsText" id="{23CE1AE4-B83B-464E-9CB2-5EFFD32CD125}">
            <xm:f>NOT(ISERROR(SEARCH($AN$680,Y609)))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722" operator="containsText" id="{25015ECD-D369-418B-81D2-37E305675D9D}">
            <xm:f>NOT(ISERROR(SEARCH($AN$678,Y609)))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723" operator="containsText" id="{C673FB03-9CF5-4301-9516-586E7BEE42E2}">
            <xm:f>NOT(ISERROR(SEARCH($AN$679,Y609)))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Y609:Z613</xm:sqref>
        </x14:conditionalFormatting>
        <x14:conditionalFormatting xmlns:xm="http://schemas.microsoft.com/office/excel/2006/main">
          <x14:cfRule type="containsText" priority="5690" operator="containsText" id="{CC44691A-1143-4831-AE54-257CA49E739C}">
            <xm:f>NOT(ISERROR(SEARCH($AN$690,Y612)))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691" operator="containsText" id="{F3DAB865-EB5C-4894-B5E1-87282494001E}">
            <xm:f>NOT(ISERROR(SEARCH($AN$704,Y612)))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692" operator="containsText" id="{DD91E8DB-37B3-45F7-A844-071AF37254C8}">
            <xm:f>NOT(ISERROR(SEARCH($AN$693,Y612)))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693" operator="containsText" id="{A6C7D123-3968-48D9-943D-9562FC9108F2}">
            <xm:f>NOT(ISERROR(SEARCH($AN$692,Y612)))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694" operator="containsText" id="{D07DB790-AD1C-4157-A9B4-583D7594E9C2}">
            <xm:f>NOT(ISERROR(SEARCH($AN$691,Y612)))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695" operator="containsText" id="{D38682AA-F9C4-48FE-B81F-4DE131C65A8D}">
            <xm:f>NOT(ISERROR(SEARCH($AN$689,Y612)))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696" operator="containsText" id="{8CE6561E-67CE-44D5-9AD1-D1E61F68DA50}">
            <xm:f>NOT(ISERROR(SEARCH($AN$687,Y612)))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697" operator="containsText" id="{6E4FF27C-E333-4DB5-BE48-72ABCEDE1B89}">
            <xm:f>NOT(ISERROR(SEARCH($AN$688,Y612)))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698" operator="containsText" id="{D813B17B-4D15-46C2-9CB4-EF3BD5F7C61A}">
            <xm:f>NOT(ISERROR(SEARCH($AN$686,Y612)))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699" operator="containsText" id="{37CF3195-76CF-46F6-AB9E-4AAE2D55E3C7}">
            <xm:f>NOT(ISERROR(SEARCH($AN$685,Y612)))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700" operator="containsText" id="{126D0FF0-5C21-4F64-A916-403C1AFB215C}">
            <xm:f>NOT(ISERROR(SEARCH($AN$684,Y612)))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701" operator="containsText" id="{4D725350-E18C-417D-BEEB-1FA5BAAD21CA}">
            <xm:f>NOT(ISERROR(SEARCH($AN$683,Y612)))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702" operator="containsText" id="{8B6632ED-D425-42DC-B1F4-D53D20363847}">
            <xm:f>NOT(ISERROR(SEARCH($AN$682,Y612)))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703" operator="containsText" id="{F6416F71-4AA1-4948-8C89-57F40AABC920}">
            <xm:f>NOT(ISERROR(SEARCH($AN$681,Y612)))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704" operator="containsText" id="{6FE5C7EE-566B-47EC-AEAE-1F55EB177C72}">
            <xm:f>NOT(ISERROR(SEARCH($AN$680,Y612)))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705" operator="containsText" id="{7C4343C6-C8E7-4555-890C-D013C4B1DEB0}">
            <xm:f>NOT(ISERROR(SEARCH($AN$678,Y612)))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706" operator="containsText" id="{62D9A08C-2775-4AB1-B4C7-01E908D13AE0}">
            <xm:f>NOT(ISERROR(SEARCH($AN$679,Y612)))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Y612:Z613</xm:sqref>
        </x14:conditionalFormatting>
        <x14:conditionalFormatting xmlns:xm="http://schemas.microsoft.com/office/excel/2006/main">
          <x14:cfRule type="containsText" priority="197" operator="containsText" id="{F240F2BC-19AA-430C-A54C-BE1ACBA0D2E3}">
            <xm:f>NOT(ISERROR(SEARCH($AN$704,Y665)))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98" operator="containsText" id="{79BEAE26-78F0-4A1F-A178-584FF55CECDF}">
            <xm:f>NOT(ISERROR(SEARCH($AN$693,Y665)))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53" operator="containsText" id="{71D6135B-E64C-4A35-8CC4-2DFE1BA703C8}">
            <xm:f>NOT(ISERROR(SEARCH($AN$692,Y665)))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54" operator="containsText" id="{CD2E2A2E-20DA-44EC-9EFA-DC3031A2D6A7}">
            <xm:f>NOT(ISERROR(SEARCH($AN$691,Y665)))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55" operator="containsText" id="{A119B682-64AE-4423-B301-BFE1DFF25D19}">
            <xm:f>NOT(ISERROR(SEARCH($AN$689,Y665)))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56" operator="containsText" id="{C7EFD8D0-EDFC-41FD-9ADC-2ADAFEC43E61}">
            <xm:f>NOT(ISERROR(SEARCH($AN$687,Y665)))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57" operator="containsText" id="{7B1C649B-F820-49DC-B695-0B1744B3F6DB}">
            <xm:f>NOT(ISERROR(SEARCH($AN$688,Y665)))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58" operator="containsText" id="{38935F0A-880B-41AF-A226-170EF41B7770}">
            <xm:f>NOT(ISERROR(SEARCH($AN$686,Y665)))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9" operator="containsText" id="{DF1E8E4F-3CB4-4EBF-99E7-5C0F14392829}">
            <xm:f>NOT(ISERROR(SEARCH($AN$685,Y665)))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60" operator="containsText" id="{64382A6C-FB07-4EEA-A559-BE233BF32467}">
            <xm:f>NOT(ISERROR(SEARCH($AN$684,Y665)))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61" operator="containsText" id="{A39F3771-1460-4B93-8E58-75B3C79FF032}">
            <xm:f>NOT(ISERROR(SEARCH($AN$683,Y665)))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62" operator="containsText" id="{95B472CF-EEC4-4F50-A43A-C81D8D658110}">
            <xm:f>NOT(ISERROR(SEARCH($AN$682,Y665)))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63" operator="containsText" id="{DC6C8131-6CF6-425B-B1F2-E9C06081F9F5}">
            <xm:f>NOT(ISERROR(SEARCH($AN$681,Y665)))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4" operator="containsText" id="{396C5C0B-ECD4-4ED1-825F-124BC7FB17C6}">
            <xm:f>NOT(ISERROR(SEARCH($AN$680,Y665)))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65" operator="containsText" id="{7FA8ABA9-86AC-4B97-9209-5C002C5FEB55}">
            <xm:f>NOT(ISERROR(SEARCH($AN$678,Y665)))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66" operator="containsText" id="{EDC1B4DA-BF58-4E87-A46A-5E01589BBD59}">
            <xm:f>NOT(ISERROR(SEARCH($AN$679,Y665)))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Y665:Z665</xm:sqref>
        </x14:conditionalFormatting>
        <x14:conditionalFormatting xmlns:xm="http://schemas.microsoft.com/office/excel/2006/main">
          <x14:cfRule type="containsText" priority="29" operator="containsText" id="{481E2610-76C2-467B-987A-D6D053122A27}">
            <xm:f>NOT(ISERROR(SEARCH($AN$690,Y665)))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Y665:Z666</xm:sqref>
        </x14:conditionalFormatting>
        <x14:conditionalFormatting xmlns:xm="http://schemas.microsoft.com/office/excel/2006/main">
          <x14:cfRule type="containsText" priority="30" operator="containsText" id="{41330D9A-6F7F-455C-B899-5FCC57951E1B}">
            <xm:f>NOT(ISERROR(SEARCH($AN$704,Y666)))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1" operator="containsText" id="{226409DB-8CAC-4CAC-9139-17BEAE77476A}">
            <xm:f>NOT(ISERROR(SEARCH($AN$693,Y666)))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2" operator="containsText" id="{6DB1182D-EF2D-4F0D-A36D-4E53FAEC0D6F}">
            <xm:f>NOT(ISERROR(SEARCH($AN$692,Y666)))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3" operator="containsText" id="{8ED2FF09-6B72-4E74-8712-A82623949322}">
            <xm:f>NOT(ISERROR(SEARCH($AN$691,Y666)))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4" operator="containsText" id="{56349739-8A5B-4EAE-AAA5-0AE5C7B5A1DD}">
            <xm:f>NOT(ISERROR(SEARCH($AN$689,Y666)))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Y666:Z666</xm:sqref>
        </x14:conditionalFormatting>
        <x14:conditionalFormatting xmlns:xm="http://schemas.microsoft.com/office/excel/2006/main">
          <x14:cfRule type="containsText" priority="5625" operator="containsText" id="{377066A2-9261-4C4E-89B3-CB981646699D}">
            <xm:f>NOT(ISERROR(SEARCH($AN$692,Y705)))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626" operator="containsText" id="{985D6AF2-EE22-4289-BE94-74F79E11B133}">
            <xm:f>NOT(ISERROR(SEARCH($AN$691,Y705)))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627" operator="containsText" id="{9C6A2AF2-0F8C-47CF-A90B-1EFAE545E1A2}">
            <xm:f>NOT(ISERROR(SEARCH($AN$689,Y705)))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628" operator="containsText" id="{CCA47B99-4319-4E2B-9F02-717E9265E165}">
            <xm:f>NOT(ISERROR(SEARCH($AN$687,Y705)))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629" operator="containsText" id="{66AA4A87-0EAA-461B-8340-88708E442E75}">
            <xm:f>NOT(ISERROR(SEARCH($AN$688,Y705)))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630" operator="containsText" id="{13DB6E4C-1676-494E-8863-2F79DFFDA540}">
            <xm:f>NOT(ISERROR(SEARCH($AN$686,Y705)))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631" operator="containsText" id="{139C9FA7-B9BD-4153-824D-ABE1EDD63453}">
            <xm:f>NOT(ISERROR(SEARCH($AN$685,Y705)))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632" operator="containsText" id="{697228B8-ACF5-4779-85A8-D81534823CF4}">
            <xm:f>NOT(ISERROR(SEARCH($AN$684,Y705)))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633" operator="containsText" id="{DD1BB618-58CF-424E-AEF1-BF676A86D80C}">
            <xm:f>NOT(ISERROR(SEARCH($AN$683,Y705)))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634" operator="containsText" id="{3CB3D418-D7D2-47C6-94DE-DE170C401E56}">
            <xm:f>NOT(ISERROR(SEARCH($AN$682,Y705)))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635" operator="containsText" id="{6CACF89B-0474-47A6-9588-7969B945259C}">
            <xm:f>NOT(ISERROR(SEARCH($AN$681,Y705)))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636" operator="containsText" id="{7C420A3A-5687-43E0-8E02-F62962C09810}">
            <xm:f>NOT(ISERROR(SEARCH($AN$680,Y705)))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637" operator="containsText" id="{E599CE3C-B264-42CC-88A9-44B66CC16BDA}">
            <xm:f>NOT(ISERROR(SEARCH($AN$678,Y705)))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638" operator="containsText" id="{A216BAEB-D384-4195-BC8A-D0EEE0F030B6}">
            <xm:f>NOT(ISERROR(SEARCH($AN$679,Y705)))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Y705:Z709</xm:sqref>
        </x14:conditionalFormatting>
        <x14:conditionalFormatting xmlns:xm="http://schemas.microsoft.com/office/excel/2006/main">
          <x14:cfRule type="containsText" priority="5605" operator="containsText" id="{EDE956F0-86DF-438D-8244-836511A5681E}">
            <xm:f>NOT(ISERROR(SEARCH($AN$690,Y708)))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606" operator="containsText" id="{61DF2132-AA31-4D1A-A863-0D843B079B42}">
            <xm:f>NOT(ISERROR(SEARCH($AN$704,Y708)))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607" operator="containsText" id="{2426313D-6CFA-4008-B89A-7574F7B9F9F1}">
            <xm:f>NOT(ISERROR(SEARCH($AN$693,Y708)))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608" operator="containsText" id="{9260B807-D222-4F9B-81E6-A477F00F9871}">
            <xm:f>NOT(ISERROR(SEARCH($AN$692,Y708)))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609" operator="containsText" id="{6EC5AFA1-1B02-4E22-BE84-B78C5487C14E}">
            <xm:f>NOT(ISERROR(SEARCH($AN$691,Y708)))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610" operator="containsText" id="{D504A1C7-8A25-493C-9104-4AA70F12BE8D}">
            <xm:f>NOT(ISERROR(SEARCH($AN$689,Y708)))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611" operator="containsText" id="{16121736-AC32-4673-9375-9ADA4372642F}">
            <xm:f>NOT(ISERROR(SEARCH($AN$687,Y708)))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612" operator="containsText" id="{73C6E680-8078-4971-A89A-1B1B66DD6548}">
            <xm:f>NOT(ISERROR(SEARCH($AN$688,Y708)))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613" operator="containsText" id="{296CE14B-AA0D-41CD-83F2-137E58FC41C5}">
            <xm:f>NOT(ISERROR(SEARCH($AN$686,Y708)))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614" operator="containsText" id="{E4456C50-1D04-40F9-9D94-2E2BDABBECA0}">
            <xm:f>NOT(ISERROR(SEARCH($AN$685,Y708)))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615" operator="containsText" id="{0EE3E41B-D2CD-43DD-A151-E717C102062B}">
            <xm:f>NOT(ISERROR(SEARCH($AN$684,Y708)))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616" operator="containsText" id="{71CD7041-4EC7-4187-927E-5CB9E20A50DD}">
            <xm:f>NOT(ISERROR(SEARCH($AN$683,Y708)))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617" operator="containsText" id="{63C498A5-7149-4F6F-94CF-7EC100AC71B2}">
            <xm:f>NOT(ISERROR(SEARCH($AN$682,Y708)))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618" operator="containsText" id="{833391DB-2CF1-4C09-BAF6-4BAE2E5B732A}">
            <xm:f>NOT(ISERROR(SEARCH($AN$681,Y708)))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619" operator="containsText" id="{B927B606-E222-4212-8166-B2E5B85D3ED4}">
            <xm:f>NOT(ISERROR(SEARCH($AN$680,Y708)))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620" operator="containsText" id="{24DAC568-F41C-4282-A4B7-D0B5B1307A79}">
            <xm:f>NOT(ISERROR(SEARCH($AN$678,Y708)))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621" operator="containsText" id="{D2D96ADF-56B8-4083-A33C-9D9BDBF12156}">
            <xm:f>NOT(ISERROR(SEARCH($AN$679,Y708)))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Y708:Z709</xm:sqref>
        </x14:conditionalFormatting>
        <x14:conditionalFormatting xmlns:xm="http://schemas.microsoft.com/office/excel/2006/main">
          <x14:cfRule type="containsText" priority="6129" operator="containsText" id="{8FDDDB74-2972-4DE2-A0C5-71C78C91D801}">
            <xm:f>NOT(ISERROR(SEARCH($AN$704,Y761)))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6130" operator="containsText" id="{1B4412CD-0832-41E9-B94E-631783CDE510}">
            <xm:f>NOT(ISERROR(SEARCH($AN$693,Y761)))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6229" operator="containsText" id="{70336481-A21D-4023-A8D1-A390F31C96CF}">
            <xm:f>NOT(ISERROR(SEARCH($AN$692,Y761)))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6230" operator="containsText" id="{1B7B4E12-AA89-4854-A51B-4975EF2E3135}">
            <xm:f>NOT(ISERROR(SEARCH($AN$691,Y761)))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6231" operator="containsText" id="{981CA4B6-A4D8-48E7-B30C-88CE9B5FF455}">
            <xm:f>NOT(ISERROR(SEARCH($AN$689,Y761)))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6232" operator="containsText" id="{E168D8ED-9122-43B6-9FD9-629BB9532B32}">
            <xm:f>NOT(ISERROR(SEARCH($AN$687,Y761)))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6233" operator="containsText" id="{79BB448F-9E98-4AA2-99E5-C46E45049D18}">
            <xm:f>NOT(ISERROR(SEARCH($AN$688,Y761)))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6234" operator="containsText" id="{175D22C5-626E-49B0-8E6C-7D5A315372F3}">
            <xm:f>NOT(ISERROR(SEARCH($AN$686,Y761)))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235" operator="containsText" id="{FDF02028-1759-4F13-B20D-9064026230E8}">
            <xm:f>NOT(ISERROR(SEARCH($AN$685,Y761)))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6236" operator="containsText" id="{AE17769F-C568-433D-90ED-05A188844795}">
            <xm:f>NOT(ISERROR(SEARCH($AN$684,Y761)))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237" operator="containsText" id="{03B69341-72FA-4C1C-922B-6572CC1B37F0}">
            <xm:f>NOT(ISERROR(SEARCH($AN$683,Y761)))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6238" operator="containsText" id="{2D2C91AF-B864-4309-A10A-4056BC2C225A}">
            <xm:f>NOT(ISERROR(SEARCH($AN$682,Y761)))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6239" operator="containsText" id="{A2E9D08C-B313-4340-88FD-54372630E9C0}">
            <xm:f>NOT(ISERROR(SEARCH($AN$681,Y761)))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6240" operator="containsText" id="{969394EB-D58B-4F0A-BA27-B512A337D511}">
            <xm:f>NOT(ISERROR(SEARCH($AN$680,Y761)))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6241" operator="containsText" id="{876D140E-EA12-4C40-98BB-B0E2C7BFFEB2}">
            <xm:f>NOT(ISERROR(SEARCH($AN$678,Y761)))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6242" operator="containsText" id="{68F186B9-1D6B-4076-85E6-BDDD98734BC6}">
            <xm:f>NOT(ISERROR(SEARCH($AN$679,Y761)))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Y761:Z761</xm:sqref>
        </x14:conditionalFormatting>
        <x14:conditionalFormatting xmlns:xm="http://schemas.microsoft.com/office/excel/2006/main">
          <x14:cfRule type="containsText" priority="2164" operator="containsText" id="{2885259E-A8BA-4107-874D-3DEAD50BFF62}">
            <xm:f>NOT(ISERROR(SEARCH($AN$690,Y761)))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Y761:Z762</xm:sqref>
        </x14:conditionalFormatting>
        <x14:conditionalFormatting xmlns:xm="http://schemas.microsoft.com/office/excel/2006/main">
          <x14:cfRule type="containsText" priority="2165" operator="containsText" id="{19E2D3E0-F1F9-491F-87E2-FD457256E08A}">
            <xm:f>NOT(ISERROR(SEARCH($AN$704,Y762)))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166" operator="containsText" id="{713A14B0-2D4B-4A37-BEEC-9E03BC0C1747}">
            <xm:f>NOT(ISERROR(SEARCH($AN$693,Y762)))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167" operator="containsText" id="{0C507646-5506-42C6-8F0C-3C127EB852FE}">
            <xm:f>NOT(ISERROR(SEARCH($AN$692,Y762)))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68" operator="containsText" id="{22135D62-A211-48CE-A941-ACF9AA8D5153}">
            <xm:f>NOT(ISERROR(SEARCH($AN$691,Y762)))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169" operator="containsText" id="{9AAF37F4-C563-4F39-9D3C-8FF75C0054A3}">
            <xm:f>NOT(ISERROR(SEARCH($AN$689,Y762)))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Y762:Z762</xm:sqref>
        </x14:conditionalFormatting>
        <x14:conditionalFormatting xmlns:xm="http://schemas.microsoft.com/office/excel/2006/main">
          <x14:cfRule type="containsText" priority="5290" operator="containsText" id="{696EFA64-1435-4827-AF58-41C7DFEFB0FB}">
            <xm:f>NOT(ISERROR(SEARCH($AN$692,Y33)))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291" operator="containsText" id="{E014BA1B-09FF-4AD7-A6C8-E807669337AE}">
            <xm:f>NOT(ISERROR(SEARCH($AN$691,Y33)))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292" operator="containsText" id="{0A32409D-B3E4-486D-B06F-4171D3F10CA5}">
            <xm:f>NOT(ISERROR(SEARCH($AN$689,Y33)))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293" operator="containsText" id="{5152BD64-6650-4257-936F-8332E0C67921}">
            <xm:f>NOT(ISERROR(SEARCH($AN$687,Y33)))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294" operator="containsText" id="{E06174F8-56FF-43D7-8AAF-AAC7B6204D51}">
            <xm:f>NOT(ISERROR(SEARCH($AN$688,Y33)))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295" operator="containsText" id="{E7F90AAA-E817-4A0E-8923-DDE3B709F2C4}">
            <xm:f>NOT(ISERROR(SEARCH($AN$686,Y33)))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296" operator="containsText" id="{51508CB1-1344-4F8E-B849-19D4D06ECFC6}">
            <xm:f>NOT(ISERROR(SEARCH($AN$685,Y33)))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297" operator="containsText" id="{BE4F371A-D454-434B-997A-D566DBC2E6E0}">
            <xm:f>NOT(ISERROR(SEARCH($AN$684,Y33)))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298" operator="containsText" id="{B3DABE26-C208-48EF-9D66-E085289F4635}">
            <xm:f>NOT(ISERROR(SEARCH($AN$683,Y33)))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299" operator="containsText" id="{C3406C0B-1B8F-42FC-BDB0-C3418ECF5796}">
            <xm:f>NOT(ISERROR(SEARCH($AN$682,Y33)))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300" operator="containsText" id="{475B7B8D-2F48-415D-BF87-36B626202641}">
            <xm:f>NOT(ISERROR(SEARCH($AN$681,Y33)))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301" operator="containsText" id="{722DC287-0D7D-472E-8E15-994AC3B34BCF}">
            <xm:f>NOT(ISERROR(SEARCH($AN$680,Y33)))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302" operator="containsText" id="{69FCB42B-7F25-4211-9436-6489B99AB5D1}">
            <xm:f>NOT(ISERROR(SEARCH($AN$678,Y33)))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303" operator="containsText" id="{31AEB1FD-AF8E-4A2A-B64A-1C194F876BBB}">
            <xm:f>NOT(ISERROR(SEARCH($AN$679,Y33)))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Y33:AC37</xm:sqref>
        </x14:conditionalFormatting>
        <x14:conditionalFormatting xmlns:xm="http://schemas.microsoft.com/office/excel/2006/main">
          <x14:cfRule type="containsText" priority="5270" operator="containsText" id="{50C64E52-A907-4396-8727-6C8AB176EB8D}">
            <xm:f>NOT(ISERROR(SEARCH($AN$690,Y36)))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271" operator="containsText" id="{5EDBD6F7-6857-4A43-88A0-3E55D4CE33C2}">
            <xm:f>NOT(ISERROR(SEARCH($AN$704,Y36)))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272" operator="containsText" id="{8EA88A03-3207-464B-B43D-33FCF07A3910}">
            <xm:f>NOT(ISERROR(SEARCH($AN$693,Y36)))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273" operator="containsText" id="{B8A75EC9-FD97-4193-BFEA-82F52B1B9817}">
            <xm:f>NOT(ISERROR(SEARCH($AN$692,Y36)))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274" operator="containsText" id="{466DCF39-F7E1-4CB9-9FDC-3A22E84A08CF}">
            <xm:f>NOT(ISERROR(SEARCH($AN$691,Y36)))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275" operator="containsText" id="{9ACDA096-76A7-42A3-BC79-072B801020E7}">
            <xm:f>NOT(ISERROR(SEARCH($AN$689,Y36)))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276" operator="containsText" id="{82D7EF50-D729-4981-861F-0469EAED0C3B}">
            <xm:f>NOT(ISERROR(SEARCH($AN$687,Y36)))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277" operator="containsText" id="{971A9E82-094E-4CC1-91F3-B7CB5F289B7C}">
            <xm:f>NOT(ISERROR(SEARCH($AN$688,Y36)))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278" operator="containsText" id="{4E914247-377C-4C7D-A49A-05F66DC0AF60}">
            <xm:f>NOT(ISERROR(SEARCH($AN$686,Y36)))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279" operator="containsText" id="{BC0CBB9F-8C40-44E1-ACB8-FCE04864D49B}">
            <xm:f>NOT(ISERROR(SEARCH($AN$685,Y36)))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280" operator="containsText" id="{CD5D8723-F1C3-4B88-9137-4528AE77161F}">
            <xm:f>NOT(ISERROR(SEARCH($AN$684,Y36)))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281" operator="containsText" id="{FDDFAADA-835B-4E6C-8FFD-9427FF42F0D7}">
            <xm:f>NOT(ISERROR(SEARCH($AN$683,Y36)))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282" operator="containsText" id="{F24F2830-1C24-4FC5-B707-DBF21BE2663B}">
            <xm:f>NOT(ISERROR(SEARCH($AN$682,Y36)))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283" operator="containsText" id="{6CBB3A46-7098-4615-8428-0C48C9A5A238}">
            <xm:f>NOT(ISERROR(SEARCH($AN$681,Y36)))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284" operator="containsText" id="{47AB607D-FEAD-40A9-8CF6-74E31D38629A}">
            <xm:f>NOT(ISERROR(SEARCH($AN$680,Y36)))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285" operator="containsText" id="{F20C2BED-9A4E-4B35-9E8E-8AEAFED288C5}">
            <xm:f>NOT(ISERROR(SEARCH($AN$678,Y36)))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286" operator="containsText" id="{B4652845-51E1-4A1B-B845-171DD55286D3}">
            <xm:f>NOT(ISERROR(SEARCH($AN$679,Y36)))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Y36:AC37</xm:sqref>
        </x14:conditionalFormatting>
        <x14:conditionalFormatting xmlns:xm="http://schemas.microsoft.com/office/excel/2006/main">
          <x14:cfRule type="containsText" priority="22514" operator="containsText" id="{9CC92D0B-F1B7-4AB1-9844-3AA673F700B0}">
            <xm:f>NOT(ISERROR(SEARCH($AN$690,Y86)))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515" operator="containsText" id="{8D2C5C1F-8523-4935-A9D4-15F185F6415C}">
            <xm:f>NOT(ISERROR(SEARCH($AN$704,Y86)))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516" operator="containsText" id="{BFDFE5B7-4D5B-4B63-A93D-0BBDD1244A04}">
            <xm:f>NOT(ISERROR(SEARCH($AN$693,Y86)))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517" operator="containsText" id="{FADF819E-A535-4E3D-BD10-59EAA110D970}">
            <xm:f>NOT(ISERROR(SEARCH($AN$692,Y86)))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518" operator="containsText" id="{361EBBAF-AA8F-4021-A75E-85BAEFF19FC6}">
            <xm:f>NOT(ISERROR(SEARCH($AN$691,Y86)))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519" operator="containsText" id="{6EBDE54C-F8B4-4302-9633-247F34034024}">
            <xm:f>NOT(ISERROR(SEARCH($AN$689,Y86)))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520" operator="containsText" id="{E2C840FD-F40A-4F45-9E2C-C053E472E4F6}">
            <xm:f>NOT(ISERROR(SEARCH($AN$687,Y86)))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521" operator="containsText" id="{3E9D4388-2859-49E8-B996-635703EB1835}">
            <xm:f>NOT(ISERROR(SEARCH($AN$688,Y86)))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522" operator="containsText" id="{49CE4641-7218-489E-986E-80662AB33352}">
            <xm:f>NOT(ISERROR(SEARCH($AN$686,Y86)))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523" operator="containsText" id="{DEC3541A-98D8-4906-B07C-F820772E9A47}">
            <xm:f>NOT(ISERROR(SEARCH($AN$685,Y86)))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524" operator="containsText" id="{43691454-F257-4698-BAA5-6F11BBA6A61D}">
            <xm:f>NOT(ISERROR(SEARCH($AN$684,Y86)))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525" operator="containsText" id="{03AE5098-C3BF-4A79-BBDF-4222799D495C}">
            <xm:f>NOT(ISERROR(SEARCH($AN$683,Y86)))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526" operator="containsText" id="{4084CF49-B51A-4FBD-8979-9245567A052A}">
            <xm:f>NOT(ISERROR(SEARCH($AN$682,Y86)))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527" operator="containsText" id="{5AB515A0-4389-4A6F-9239-289710710C8F}">
            <xm:f>NOT(ISERROR(SEARCH($AN$681,Y86)))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528" operator="containsText" id="{1EE65C6C-F25C-431E-88C7-67DEE3739834}">
            <xm:f>NOT(ISERROR(SEARCH($AN$680,Y86)))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529" operator="containsText" id="{555891AE-19AB-4E38-9455-7DAD37A5BF2A}">
            <xm:f>NOT(ISERROR(SEARCH($AN$678,Y86)))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530" operator="containsText" id="{E511A98B-B286-41A5-AA27-03B1D31CB39B}">
            <xm:f>NOT(ISERROR(SEARCH($AN$679,Y86)))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Y86:AC88</xm:sqref>
        </x14:conditionalFormatting>
        <x14:conditionalFormatting xmlns:xm="http://schemas.microsoft.com/office/excel/2006/main">
          <x14:cfRule type="containsText" priority="22104" operator="containsText" id="{7A259964-750B-4509-956B-87D93FEF90C4}">
            <xm:f>NOT(ISERROR(SEARCH($AN$690,Y182)))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105" operator="containsText" id="{DD244EAD-0A70-4EAB-823D-11D0B1E008AD}">
            <xm:f>NOT(ISERROR(SEARCH($AN$704,Y182)))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106" operator="containsText" id="{072E308A-8BAE-4054-B460-81952477B9C2}">
            <xm:f>NOT(ISERROR(SEARCH($AN$693,Y182)))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107" operator="containsText" id="{E4F7C2F3-BAA2-4EB8-8E15-E5CE065A6EF1}">
            <xm:f>NOT(ISERROR(SEARCH($AN$692,Y182)))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108" operator="containsText" id="{B6F8C958-A21F-4E34-A963-E5C4C6FCCF75}">
            <xm:f>NOT(ISERROR(SEARCH($AN$691,Y182)))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109" operator="containsText" id="{1DE7F87A-31C8-4C4D-83D9-6CC3B37B4034}">
            <xm:f>NOT(ISERROR(SEARCH($AN$689,Y182)))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110" operator="containsText" id="{55F352D0-C33B-4A44-89DB-6B4E44AD4452}">
            <xm:f>NOT(ISERROR(SEARCH($AN$687,Y182)))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111" operator="containsText" id="{07F60368-7D05-407A-852C-AB987600DDB7}">
            <xm:f>NOT(ISERROR(SEARCH($AN$688,Y182)))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112" operator="containsText" id="{36FBEA62-FA0E-43A8-942E-B0FD15A23D52}">
            <xm:f>NOT(ISERROR(SEARCH($AN$686,Y182)))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113" operator="containsText" id="{420F4487-FE76-4EC0-B47A-8C794B1A40CA}">
            <xm:f>NOT(ISERROR(SEARCH($AN$685,Y182)))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114" operator="containsText" id="{B0F99304-8459-47C8-AF9B-8280D8F6DAF9}">
            <xm:f>NOT(ISERROR(SEARCH($AN$684,Y182)))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115" operator="containsText" id="{0191AE5A-8FBE-447D-BF0B-6F6F98520736}">
            <xm:f>NOT(ISERROR(SEARCH($AN$683,Y182)))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116" operator="containsText" id="{7CE730A8-99ED-4F37-BBCB-499911366A14}">
            <xm:f>NOT(ISERROR(SEARCH($AN$682,Y182)))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117" operator="containsText" id="{C6922487-DD4F-4695-9B0D-AC3775190191}">
            <xm:f>NOT(ISERROR(SEARCH($AN$681,Y182)))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118" operator="containsText" id="{29FBBA4B-8E5C-4B96-9C8B-48FBC3055D48}">
            <xm:f>NOT(ISERROR(SEARCH($AN$680,Y182)))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119" operator="containsText" id="{049FE3BF-40E9-401B-8BE3-5036C5A3B129}">
            <xm:f>NOT(ISERROR(SEARCH($AN$678,Y182)))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120" operator="containsText" id="{65CCBCC6-A63E-45C6-85EE-E44E1769A366}">
            <xm:f>NOT(ISERROR(SEARCH($AN$679,Y182)))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Y182:AC184</xm:sqref>
        </x14:conditionalFormatting>
        <x14:conditionalFormatting xmlns:xm="http://schemas.microsoft.com/office/excel/2006/main">
          <x14:cfRule type="containsText" priority="5256" operator="containsText" id="{C6189E07-1E37-4357-AC4C-8B1A5260FED7}">
            <xm:f>NOT(ISERROR(SEARCH($AN$692,Y225)))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257" operator="containsText" id="{8F3C1514-0121-4E05-BEF3-483AF6756ABA}">
            <xm:f>NOT(ISERROR(SEARCH($AN$691,Y225)))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258" operator="containsText" id="{53A281DD-A50D-4817-8B36-9B7140D9AFC1}">
            <xm:f>NOT(ISERROR(SEARCH($AN$689,Y225)))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259" operator="containsText" id="{FD59B3E7-5C01-44BF-8020-40A422713C97}">
            <xm:f>NOT(ISERROR(SEARCH($AN$687,Y225)))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260" operator="containsText" id="{F993AE4B-B8FF-4F4A-95CA-CC499198EECC}">
            <xm:f>NOT(ISERROR(SEARCH($AN$688,Y225)))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261" operator="containsText" id="{C0A09697-7780-4555-97A2-27FFD3F49C88}">
            <xm:f>NOT(ISERROR(SEARCH($AN$686,Y225)))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262" operator="containsText" id="{C1224728-03C9-400C-8D3F-ACE6B3CE0BE4}">
            <xm:f>NOT(ISERROR(SEARCH($AN$685,Y225)))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263" operator="containsText" id="{0E60E940-139A-4B9C-A0A5-96226E97E003}">
            <xm:f>NOT(ISERROR(SEARCH($AN$684,Y225)))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264" operator="containsText" id="{0184E7AE-1AA9-4565-BDB6-4724CE56CD55}">
            <xm:f>NOT(ISERROR(SEARCH($AN$683,Y225)))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265" operator="containsText" id="{9EC2DB1B-1D7D-4D67-A208-8DBC3FC2B504}">
            <xm:f>NOT(ISERROR(SEARCH($AN$682,Y225)))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266" operator="containsText" id="{97CEF2EE-1C73-4F09-B08F-D6B0E26897BC}">
            <xm:f>NOT(ISERROR(SEARCH($AN$681,Y225)))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267" operator="containsText" id="{96AC5797-93BA-418F-8811-1032E4FC01B1}">
            <xm:f>NOT(ISERROR(SEARCH($AN$680,Y225)))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268" operator="containsText" id="{045A7960-4EBF-49E0-A2D6-3F185BE83916}">
            <xm:f>NOT(ISERROR(SEARCH($AN$678,Y225)))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269" operator="containsText" id="{A871F085-08BB-4616-9079-621BA9002B4B}">
            <xm:f>NOT(ISERROR(SEARCH($AN$679,Y225)))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Y225:AC229</xm:sqref>
        </x14:conditionalFormatting>
        <x14:conditionalFormatting xmlns:xm="http://schemas.microsoft.com/office/excel/2006/main">
          <x14:cfRule type="containsText" priority="5236" operator="containsText" id="{78F551BF-B2EA-4AB8-A471-FA75BF7D5C15}">
            <xm:f>NOT(ISERROR(SEARCH($AN$690,Y228)))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237" operator="containsText" id="{D59B683D-BEF3-46B5-BC0D-791C25584F4F}">
            <xm:f>NOT(ISERROR(SEARCH($AN$704,Y228)))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238" operator="containsText" id="{06A780BD-F0E5-4428-BA80-5653D3DCDD15}">
            <xm:f>NOT(ISERROR(SEARCH($AN$693,Y228)))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239" operator="containsText" id="{556CE224-06CC-41A9-B113-CA04CC5630EF}">
            <xm:f>NOT(ISERROR(SEARCH($AN$692,Y228)))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240" operator="containsText" id="{358D7AA5-6619-49E9-9245-90A14D5316BB}">
            <xm:f>NOT(ISERROR(SEARCH($AN$691,Y228)))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241" operator="containsText" id="{099044CA-7FE7-470B-B78E-281032B2B153}">
            <xm:f>NOT(ISERROR(SEARCH($AN$689,Y228)))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242" operator="containsText" id="{B56A0328-5234-4E2E-A648-FB72288F70AA}">
            <xm:f>NOT(ISERROR(SEARCH($AN$687,Y228)))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243" operator="containsText" id="{6362F3E9-E7C5-4E0F-9890-0446EBE59E0F}">
            <xm:f>NOT(ISERROR(SEARCH($AN$688,Y228)))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244" operator="containsText" id="{C0906172-C672-4E4F-82DE-D1B8D8B7F958}">
            <xm:f>NOT(ISERROR(SEARCH($AN$686,Y228)))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245" operator="containsText" id="{2C8CAA21-670C-4A90-9430-2A89D5C899AF}">
            <xm:f>NOT(ISERROR(SEARCH($AN$685,Y228)))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246" operator="containsText" id="{9DC178D5-1783-4DBB-B73A-4B9FFD4D3E58}">
            <xm:f>NOT(ISERROR(SEARCH($AN$684,Y228)))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247" operator="containsText" id="{977BB907-4EED-474B-96AF-0CFED6E078E4}">
            <xm:f>NOT(ISERROR(SEARCH($AN$683,Y228)))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248" operator="containsText" id="{92767846-E648-44F1-9DED-CD41BCE49BD2}">
            <xm:f>NOT(ISERROR(SEARCH($AN$682,Y228)))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249" operator="containsText" id="{FE4A7E9A-2CA3-40BA-9C57-9D5EDAD151C0}">
            <xm:f>NOT(ISERROR(SEARCH($AN$681,Y228)))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250" operator="containsText" id="{1778F144-8FB5-4A7F-ABF2-BA41EF8A4928}">
            <xm:f>NOT(ISERROR(SEARCH($AN$680,Y228)))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251" operator="containsText" id="{36592189-D8B5-468B-9D23-3EE48C4085D6}">
            <xm:f>NOT(ISERROR(SEARCH($AN$678,Y228)))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252" operator="containsText" id="{EF2C64DA-2108-4D7F-B28D-0DB9CA881B00}">
            <xm:f>NOT(ISERROR(SEARCH($AN$679,Y228)))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Y228:AC229</xm:sqref>
        </x14:conditionalFormatting>
        <x14:conditionalFormatting xmlns:xm="http://schemas.microsoft.com/office/excel/2006/main">
          <x14:cfRule type="containsText" priority="21694" operator="containsText" id="{B2A9380D-B06C-416A-B334-8E7797619607}">
            <xm:f>NOT(ISERROR(SEARCH($AN$690,Y278)))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1695" operator="containsText" id="{1DDAE7F3-1E2A-40D9-8970-6D044B16B7BC}">
            <xm:f>NOT(ISERROR(SEARCH($AN$704,Y278)))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1696" operator="containsText" id="{AD438263-708D-4696-AB64-3EF3A682DB52}">
            <xm:f>NOT(ISERROR(SEARCH($AN$693,Y278)))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1697" operator="containsText" id="{E624E6A2-68D7-4707-927B-1CB909B4F3D9}">
            <xm:f>NOT(ISERROR(SEARCH($AN$692,Y278)))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698" operator="containsText" id="{97B7A4EB-D6EF-4730-B549-A3D7FC52DC14}">
            <xm:f>NOT(ISERROR(SEARCH($AN$691,Y278)))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1699" operator="containsText" id="{F9A72035-190A-4E53-B9EA-74E52E1ECC67}">
            <xm:f>NOT(ISERROR(SEARCH($AN$689,Y278)))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1700" operator="containsText" id="{9A1B0850-E7E5-4C25-89F5-218EDFB7CC11}">
            <xm:f>NOT(ISERROR(SEARCH($AN$687,Y278)))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701" operator="containsText" id="{8E41E8F7-04FA-4D4A-9165-1AC1863C1CD5}">
            <xm:f>NOT(ISERROR(SEARCH($AN$688,Y278)))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702" operator="containsText" id="{B3AECB31-BE69-4D4C-877D-F71942B1C92A}">
            <xm:f>NOT(ISERROR(SEARCH($AN$686,Y278)))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703" operator="containsText" id="{4624E3E5-429A-4B62-A808-A3F1426E0382}">
            <xm:f>NOT(ISERROR(SEARCH($AN$685,Y278)))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704" operator="containsText" id="{DD426CC3-66AB-400A-8612-B70FE6ADEFE7}">
            <xm:f>NOT(ISERROR(SEARCH($AN$684,Y278)))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705" operator="containsText" id="{5E628A6D-2E8E-4179-BAB9-368AEF74B10E}">
            <xm:f>NOT(ISERROR(SEARCH($AN$683,Y278)))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706" operator="containsText" id="{F80D3E00-64BD-4E83-BA16-3195A24B4391}">
            <xm:f>NOT(ISERROR(SEARCH($AN$682,Y278)))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1707" operator="containsText" id="{BBF51AFE-2279-47BF-A080-D98FB2F46750}">
            <xm:f>NOT(ISERROR(SEARCH($AN$681,Y278)))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708" operator="containsText" id="{80ABF030-1D56-4463-AA2C-D46BE3DBFF00}">
            <xm:f>NOT(ISERROR(SEARCH($AN$680,Y278)))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709" operator="containsText" id="{AAD18636-A5BA-456B-98C4-84B828F41C79}">
            <xm:f>NOT(ISERROR(SEARCH($AN$678,Y278)))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710" operator="containsText" id="{138D1F52-07E0-42BA-B34F-F96D0742C589}">
            <xm:f>NOT(ISERROR(SEARCH($AN$679,Y278)))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Y278:AC280</xm:sqref>
        </x14:conditionalFormatting>
        <x14:conditionalFormatting xmlns:xm="http://schemas.microsoft.com/office/excel/2006/main">
          <x14:cfRule type="containsText" priority="25981" operator="containsText" id="{20406B9A-6742-40B3-865C-A27835D5E780}">
            <xm:f>NOT(ISERROR(SEARCH($AN$690,Y374)))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5982" operator="containsText" id="{A50FE8A7-C760-45A9-A4B7-ACD8788BF5B1}">
            <xm:f>NOT(ISERROR(SEARCH($AN$704,Y374)))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5983" operator="containsText" id="{BC40020B-9EE4-484B-B5DC-0940ACF2ED29}">
            <xm:f>NOT(ISERROR(SEARCH($AN$693,Y374)))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5984" operator="containsText" id="{DAF57EA9-4723-48DE-8ED4-0FAA8C60A8C9}">
            <xm:f>NOT(ISERROR(SEARCH($AN$692,Y374)))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5985" operator="containsText" id="{A74D477B-D5B6-4AFF-8CF9-96E3F2296887}">
            <xm:f>NOT(ISERROR(SEARCH($AN$691,Y374)))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5986" operator="containsText" id="{79F2C7BA-9F7E-4F87-ACF5-8E6693476AD3}">
            <xm:f>NOT(ISERROR(SEARCH($AN$689,Y374)))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5987" operator="containsText" id="{8BA017CC-218F-469E-AD66-B3E3353A172F}">
            <xm:f>NOT(ISERROR(SEARCH($AN$687,Y374)))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5988" operator="containsText" id="{277AD410-2836-4A5A-BFC8-CEDD1A0AA3D2}">
            <xm:f>NOT(ISERROR(SEARCH($AN$688,Y374)))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5989" operator="containsText" id="{B0F797A1-1FAF-4E25-8443-D523A62F5B29}">
            <xm:f>NOT(ISERROR(SEARCH($AN$686,Y374)))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990" operator="containsText" id="{3058D66F-696B-4F33-BED1-031DA4F354AE}">
            <xm:f>NOT(ISERROR(SEARCH($AN$685,Y374)))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5991" operator="containsText" id="{8D07DE43-1F1C-4EE2-B84E-B35DDF164B29}">
            <xm:f>NOT(ISERROR(SEARCH($AN$684,Y374)))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992" operator="containsText" id="{A35B71C5-11DF-43E7-A9E2-BC20442AC387}">
            <xm:f>NOT(ISERROR(SEARCH($AN$683,Y374)))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5993" operator="containsText" id="{A8B3976C-8427-47B5-AF0A-C369FCC632AA}">
            <xm:f>NOT(ISERROR(SEARCH($AN$682,Y374)))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5994" operator="containsText" id="{1487759F-62B8-4214-B333-F68699ABC33C}">
            <xm:f>NOT(ISERROR(SEARCH($AN$681,Y374)))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5995" operator="containsText" id="{64721123-7729-49B2-BDF7-DCBAAC5BA318}">
            <xm:f>NOT(ISERROR(SEARCH($AN$680,Y374)))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5996" operator="containsText" id="{E18639DB-08EC-4F1A-A1C4-042BCB73D7BD}">
            <xm:f>NOT(ISERROR(SEARCH($AN$678,Y374)))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5997" operator="containsText" id="{8ECDB79C-30CD-4050-BB96-F586AB59F31C}">
            <xm:f>NOT(ISERROR(SEARCH($AN$679,Y374)))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Y374:AC376</xm:sqref>
        </x14:conditionalFormatting>
        <x14:conditionalFormatting xmlns:xm="http://schemas.microsoft.com/office/excel/2006/main">
          <x14:cfRule type="containsText" priority="21117" operator="containsText" id="{2D6F80BC-0AC0-42D5-9BB6-22E20E999283}">
            <xm:f>NOT(ISERROR(SEARCH($AN$690,Y470)))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1118" operator="containsText" id="{4C99D4ED-5A4E-4B71-AFD6-DDB28181B578}">
            <xm:f>NOT(ISERROR(SEARCH($AN$704,Y470)))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1119" operator="containsText" id="{50C3362F-6E11-4D01-A2BA-5C0C85223350}">
            <xm:f>NOT(ISERROR(SEARCH($AN$693,Y470)))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1120" operator="containsText" id="{62276D05-B6AE-4F5B-992B-E4742062B126}">
            <xm:f>NOT(ISERROR(SEARCH($AN$692,Y470)))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121" operator="containsText" id="{42A465C0-EC99-476A-A01F-2C16DFB8DCE3}">
            <xm:f>NOT(ISERROR(SEARCH($AN$691,Y470)))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4159" operator="containsText" id="{40D38D00-F075-4A3C-AFBB-E479761BA212}">
            <xm:f>NOT(ISERROR(SEARCH($AN$689,Y470)))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4160" operator="containsText" id="{9A42AC59-7E9F-4D09-8564-683075CB9236}">
            <xm:f>NOT(ISERROR(SEARCH($AN$687,Y470)))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4161" operator="containsText" id="{35F5530E-9D1E-4F0B-BA97-5CFAFF2DE01C}">
            <xm:f>NOT(ISERROR(SEARCH($AN$688,Y470)))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4162" operator="containsText" id="{F00AE37A-CA7A-4E0A-8326-6850E4E9387E}">
            <xm:f>NOT(ISERROR(SEARCH($AN$686,Y470)))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163" operator="containsText" id="{6BD3A218-2858-46F7-A04F-AFDBBE73BEDF}">
            <xm:f>NOT(ISERROR(SEARCH($AN$685,Y470)))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4164" operator="containsText" id="{1799267E-E238-4154-9F70-D7CB4C795EB7}">
            <xm:f>NOT(ISERROR(SEARCH($AN$684,Y470)))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4165" operator="containsText" id="{47430548-EC6B-470D-B79E-AD346DBD1543}">
            <xm:f>NOT(ISERROR(SEARCH($AN$683,Y470)))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4166" operator="containsText" id="{D8F2D3DB-D703-41B9-A987-E65FAA239B17}">
            <xm:f>NOT(ISERROR(SEARCH($AN$682,Y470)))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4167" operator="containsText" id="{15E1DB8D-FC52-4E21-B69C-31AE3E25EBA7}">
            <xm:f>NOT(ISERROR(SEARCH($AN$681,Y470)))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4168" operator="containsText" id="{05ABB053-FB93-461C-AC6B-4E4A32C7C4E2}">
            <xm:f>NOT(ISERROR(SEARCH($AN$680,Y470)))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4169" operator="containsText" id="{A2ED628E-A69D-4A67-9CF3-F0E2771ED1AF}">
            <xm:f>NOT(ISERROR(SEARCH($AN$678,Y470)))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4170" operator="containsText" id="{DE6847AE-E034-48EC-B73E-3EB63A9F4E3C}">
            <xm:f>NOT(ISERROR(SEARCH($AN$679,Y470)))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Y470:AC472</xm:sqref>
        </x14:conditionalFormatting>
        <x14:conditionalFormatting xmlns:xm="http://schemas.microsoft.com/office/excel/2006/main">
          <x14:cfRule type="containsText" priority="20913" operator="containsText" id="{7B164127-01EA-464F-8A29-24428F2F00C7}">
            <xm:f>NOT(ISERROR(SEARCH($AN$690,Y566)))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0914" operator="containsText" id="{54A47CE2-DD52-4871-AC23-3838AF0EE7FE}">
            <xm:f>NOT(ISERROR(SEARCH($AN$704,Y566)))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0915" operator="containsText" id="{883C7932-F463-40EC-9D39-78A0560E705D}">
            <xm:f>NOT(ISERROR(SEARCH($AN$693,Y566)))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0916" operator="containsText" id="{BB0E2C07-E484-42F6-9057-B094AB0FB9BB}">
            <xm:f>NOT(ISERROR(SEARCH($AN$692,Y566)))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0917" operator="containsText" id="{2B1A35CD-BCBE-47A6-9789-85467A07A144}">
            <xm:f>NOT(ISERROR(SEARCH($AN$691,Y566)))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0918" operator="containsText" id="{3FD9B087-D125-49DC-B4FA-19ED41E861DD}">
            <xm:f>NOT(ISERROR(SEARCH($AN$689,Y566)))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0919" operator="containsText" id="{10E02CB8-70DB-4248-BDD2-B677081D69EC}">
            <xm:f>NOT(ISERROR(SEARCH($AN$687,Y566)))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751" operator="containsText" id="{E88867D8-211E-4AFA-97F2-C70668D8BE41}">
            <xm:f>NOT(ISERROR(SEARCH($AN$688,Y566)))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752" operator="containsText" id="{40F42F1B-64D2-4676-B6DF-DA4F1DE7B455}">
            <xm:f>NOT(ISERROR(SEARCH($AN$686,Y566)))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753" operator="containsText" id="{23A6925A-90E5-4FA2-B3B1-519115F4540E}">
            <xm:f>NOT(ISERROR(SEARCH($AN$685,Y566)))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754" operator="containsText" id="{24EAD97F-CD7D-4E6D-9DCD-733B3F772834}">
            <xm:f>NOT(ISERROR(SEARCH($AN$684,Y566)))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755" operator="containsText" id="{ED93A348-977A-45B2-9FBF-4BB41DA1EFAA}">
            <xm:f>NOT(ISERROR(SEARCH($AN$683,Y566)))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756" operator="containsText" id="{CEE975FC-44D1-424D-A927-27EE45EA7885}">
            <xm:f>NOT(ISERROR(SEARCH($AN$682,Y566)))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757" operator="containsText" id="{4B4A2584-AF3B-4115-8FAD-A4584F2183BA}">
            <xm:f>NOT(ISERROR(SEARCH($AN$681,Y566)))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758" operator="containsText" id="{1D8C593B-CF47-4777-B14E-2C0FCE0FDF1E}">
            <xm:f>NOT(ISERROR(SEARCH($AN$680,Y566)))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759" operator="containsText" id="{7CDF91DE-5418-40FF-ACEA-4E3DC9A89743}">
            <xm:f>NOT(ISERROR(SEARCH($AN$678,Y566)))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760" operator="containsText" id="{BDF29864-1845-4264-BF5A-04A4D4E33FA8}">
            <xm:f>NOT(ISERROR(SEARCH($AN$679,Y566)))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Y566:AC568</xm:sqref>
        </x14:conditionalFormatting>
        <x14:conditionalFormatting xmlns:xm="http://schemas.microsoft.com/office/excel/2006/main">
          <x14:cfRule type="containsText" priority="20709" operator="containsText" id="{9342CFEC-A299-4D54-BDB9-C4CF6CBA1F0F}">
            <xm:f>NOT(ISERROR(SEARCH($AN$690,Y662)))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0710" operator="containsText" id="{0AFCD472-ABB5-4699-8421-A708093BD769}">
            <xm:f>NOT(ISERROR(SEARCH($AN$704,Y662)))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0711" operator="containsText" id="{72C6F3A6-AAD0-494F-B7E0-6B7FDCBA38DB}">
            <xm:f>NOT(ISERROR(SEARCH($AN$693,Y662)))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0712" operator="containsText" id="{ABED01E4-44DA-408F-8781-C56B5497D0A3}">
            <xm:f>NOT(ISERROR(SEARCH($AN$692,Y662)))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0713" operator="containsText" id="{CAE161A5-0539-4204-A937-504B9B4E00E4}">
            <xm:f>NOT(ISERROR(SEARCH($AN$691,Y662)))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0714" operator="containsText" id="{50A41237-5336-47D0-849E-3C28EBE6189D}">
            <xm:f>NOT(ISERROR(SEARCH($AN$689,Y662)))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0715" operator="containsText" id="{01C9DDBF-667C-45AD-BD2D-0927C249DB05}">
            <xm:f>NOT(ISERROR(SEARCH($AN$687,Y662)))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0716" operator="containsText" id="{BDC24092-1283-4435-A68E-C03086806720}">
            <xm:f>NOT(ISERROR(SEARCH($AN$688,Y662)))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342" operator="containsText" id="{D55577D7-ECFA-4E8F-AF20-F3B53E705A71}">
            <xm:f>NOT(ISERROR(SEARCH($AN$686,Y662)))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343" operator="containsText" id="{C99475AF-1F39-43A6-BB0E-F4B93244E2AC}">
            <xm:f>NOT(ISERROR(SEARCH($AN$685,Y662)))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344" operator="containsText" id="{F771144D-0874-4742-B289-44C98FE61C4F}">
            <xm:f>NOT(ISERROR(SEARCH($AN$684,Y662)))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345" operator="containsText" id="{8A400A1D-C76A-41CD-BC95-BCE378086D41}">
            <xm:f>NOT(ISERROR(SEARCH($AN$683,Y662)))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346" operator="containsText" id="{A59ECD87-9E14-42E7-BEE4-296131835139}">
            <xm:f>NOT(ISERROR(SEARCH($AN$682,Y662)))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347" operator="containsText" id="{43D06A9C-D5D2-42B3-9ED8-F45769394B46}">
            <xm:f>NOT(ISERROR(SEARCH($AN$681,Y662)))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348" operator="containsText" id="{8A892E22-A1F9-4B79-AF9F-DA7B2D572EA2}">
            <xm:f>NOT(ISERROR(SEARCH($AN$680,Y662)))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349" operator="containsText" id="{F524585C-70C4-4AE6-837A-F6287A7082D0}">
            <xm:f>NOT(ISERROR(SEARCH($AN$678,Y662)))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350" operator="containsText" id="{1B2B5D42-AF94-4568-8F95-A3C002755F03}">
            <xm:f>NOT(ISERROR(SEARCH($AN$679,Y662)))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Y662:AC664</xm:sqref>
        </x14:conditionalFormatting>
        <x14:conditionalFormatting xmlns:xm="http://schemas.microsoft.com/office/excel/2006/main">
          <x14:cfRule type="containsText" priority="20505" operator="containsText" id="{6C9488BA-70BA-4822-80F8-6AD340789FCA}">
            <xm:f>NOT(ISERROR(SEARCH($AN$690,Y758)))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0506" operator="containsText" id="{DC021348-25AB-438E-8DAC-E8019FB5008D}">
            <xm:f>NOT(ISERROR(SEARCH($AN$704,Y758)))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0507" operator="containsText" id="{0211BB08-1A53-4C68-BD2E-E719B98CC136}">
            <xm:f>NOT(ISERROR(SEARCH($AN$693,Y758)))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0508" operator="containsText" id="{460B7C37-E8B3-4CDD-9A46-BE4B10F25EEA}">
            <xm:f>NOT(ISERROR(SEARCH($AN$692,Y758)))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0509" operator="containsText" id="{C641EC93-28DA-4C8D-B035-71BBA7BE34FE}">
            <xm:f>NOT(ISERROR(SEARCH($AN$691,Y758)))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0510" operator="containsText" id="{26A55C40-86F6-4DE4-AB04-8BE2E7D98DF1}">
            <xm:f>NOT(ISERROR(SEARCH($AN$689,Y758)))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0511" operator="containsText" id="{6C87FB18-D992-4013-AED8-EF7859168912}">
            <xm:f>NOT(ISERROR(SEARCH($AN$687,Y758)))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0512" operator="containsText" id="{18C337DA-F1A5-4F87-89C6-7536A190AE57}">
            <xm:f>NOT(ISERROR(SEARCH($AN$688,Y758)))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0513" operator="containsText" id="{F4CCFC9A-F5E2-4E51-B0F4-9ECD8BF5BF57}">
            <xm:f>NOT(ISERROR(SEARCH($AN$686,Y758)))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933" operator="containsText" id="{944FAE6B-AF75-41BC-BA20-529D7A521336}">
            <xm:f>NOT(ISERROR(SEARCH($AN$685,Y758)))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934" operator="containsText" id="{43835EB3-8F0B-4F48-9DFE-F95DF3AFE7C7}">
            <xm:f>NOT(ISERROR(SEARCH($AN$684,Y758)))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935" operator="containsText" id="{B2158803-B8DF-4510-857D-4B01FCEDF1C6}">
            <xm:f>NOT(ISERROR(SEARCH($AN$683,Y758)))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936" operator="containsText" id="{1770B498-86BB-4C90-A9AD-57BEEBE337C0}">
            <xm:f>NOT(ISERROR(SEARCH($AN$682,Y758)))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937" operator="containsText" id="{80A8A1C8-53E7-47B7-A272-39E6CF47AC1E}">
            <xm:f>NOT(ISERROR(SEARCH($AN$681,Y758)))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938" operator="containsText" id="{7B9CAC79-5502-4F3A-B6C1-30D8CE49550B}">
            <xm:f>NOT(ISERROR(SEARCH($AN$680,Y758)))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939" operator="containsText" id="{57CDC2CA-62B8-41FA-BD11-7C666A6378CA}">
            <xm:f>NOT(ISERROR(SEARCH($AN$678,Y758)))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940" operator="containsText" id="{9BA6A6B7-360E-494E-871A-6AD974251A3C}">
            <xm:f>NOT(ISERROR(SEARCH($AN$679,Y758)))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Y758:AC760</xm:sqref>
        </x14:conditionalFormatting>
        <x14:conditionalFormatting xmlns:xm="http://schemas.microsoft.com/office/excel/2006/main">
          <x14:cfRule type="containsText" priority="22451" operator="containsText" id="{F217836D-3C5A-409A-AF96-52D0D22E045C}">
            <xm:f>NOT(ISERROR(SEARCH($AN$681,Y4)))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452" operator="containsText" id="{DAB623D8-5E59-4CBA-964E-B69E51A19D0D}">
            <xm:f>NOT(ISERROR(SEARCH($AN$680,Y4)))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453" operator="containsText" id="{02A324CC-C98B-4AE8-8662-200E805165A5}">
            <xm:f>NOT(ISERROR(SEARCH($AN$678,Y4)))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454" operator="containsText" id="{521E6BD9-942D-4959-9D97-876B609F1A7E}">
            <xm:f>NOT(ISERROR(SEARCH($AN$679,Y4)))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Y4:AK22 Y23:AF28</xm:sqref>
        </x14:conditionalFormatting>
        <x14:conditionalFormatting xmlns:xm="http://schemas.microsoft.com/office/excel/2006/main">
          <x14:cfRule type="containsText" priority="22376" operator="containsText" id="{8D4FA433-F6C7-4E9B-B765-EE2AC778A7A7}">
            <xm:f>NOT(ISERROR(SEARCH($AN$681,Y29)))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377" operator="containsText" id="{F74A614F-746E-4C08-9D30-9B2ED10C6F86}">
            <xm:f>NOT(ISERROR(SEARCH($AN$680,Y29)))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378" operator="containsText" id="{9A3C9B9F-55B0-493A-9CBE-AED60F121645}">
            <xm:f>NOT(ISERROR(SEARCH($AN$678,Y29)))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379" operator="containsText" id="{9037E19F-CEBC-4717-9DC9-728EE192C249}">
            <xm:f>NOT(ISERROR(SEARCH($AN$679,Y29)))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Y29:AK32 AD33:AF37</xm:sqref>
        </x14:conditionalFormatting>
        <x14:conditionalFormatting xmlns:xm="http://schemas.microsoft.com/office/excel/2006/main">
          <x14:cfRule type="containsText" priority="22041" operator="containsText" id="{78214D0B-8E8F-44C2-AA0F-167D33AAFA88}">
            <xm:f>NOT(ISERROR(SEARCH($AN$681,Y100)))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042" operator="containsText" id="{8D69F8E9-E22D-4ED9-B886-74BA1EF133B1}">
            <xm:f>NOT(ISERROR(SEARCH($AN$680,Y100)))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043" operator="containsText" id="{6245C156-1440-4E7E-9E62-5B4BE92669BB}">
            <xm:f>NOT(ISERROR(SEARCH($AN$678,Y100)))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044" operator="containsText" id="{B407E837-171C-4257-981E-171563E320BB}">
            <xm:f>NOT(ISERROR(SEARCH($AN$679,Y100)))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Y100:AK118 Y119:AF124</xm:sqref>
        </x14:conditionalFormatting>
        <x14:conditionalFormatting xmlns:xm="http://schemas.microsoft.com/office/excel/2006/main">
          <x14:cfRule type="containsText" priority="21966" operator="containsText" id="{D4C0D7EC-7BFC-4723-8B38-90740FDEB89E}">
            <xm:f>NOT(ISERROR(SEARCH($AN$681,Y125)))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967" operator="containsText" id="{0D31049F-4AD0-4847-9AA9-2B08FBB02B79}">
            <xm:f>NOT(ISERROR(SEARCH($AN$680,Y125)))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968" operator="containsText" id="{8327C132-6C0C-4C15-9C66-AF5EB09D4CB1}">
            <xm:f>NOT(ISERROR(SEARCH($AN$678,Y125)))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969" operator="containsText" id="{16C26E8D-9897-406E-80B4-324B826E40BC}">
            <xm:f>NOT(ISERROR(SEARCH($AN$679,Y125)))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Y125:AK128 AD129:AF133</xm:sqref>
        </x14:conditionalFormatting>
        <x14:conditionalFormatting xmlns:xm="http://schemas.microsoft.com/office/excel/2006/main">
          <x14:cfRule type="containsText" priority="21631" operator="containsText" id="{873E5E05-01BA-472E-9E72-8484E5AACBF8}">
            <xm:f>NOT(ISERROR(SEARCH($AN$681,Y196)))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632" operator="containsText" id="{ACD94302-02CB-469D-B021-767B6B041B22}">
            <xm:f>NOT(ISERROR(SEARCH($AN$680,Y196)))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633" operator="containsText" id="{34ADFC00-2183-4FFD-AB6B-5E89BF5CD11C}">
            <xm:f>NOT(ISERROR(SEARCH($AN$678,Y196)))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634" operator="containsText" id="{F119620F-3AA0-4156-AC86-1C17BB1E8F0A}">
            <xm:f>NOT(ISERROR(SEARCH($AN$679,Y196)))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Y196:AK214 Y215:AF220</xm:sqref>
        </x14:conditionalFormatting>
        <x14:conditionalFormatting xmlns:xm="http://schemas.microsoft.com/office/excel/2006/main">
          <x14:cfRule type="containsText" priority="21556" operator="containsText" id="{3A0579D0-EE0D-411F-B265-A1C089F9590D}">
            <xm:f>NOT(ISERROR(SEARCH($AN$681,Y221)))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557" operator="containsText" id="{698FD01A-B7B6-4DF5-8D23-19C056860294}">
            <xm:f>NOT(ISERROR(SEARCH($AN$680,Y221)))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558" operator="containsText" id="{0128E5A3-B281-47D2-8B18-099DD5C6B6C5}">
            <xm:f>NOT(ISERROR(SEARCH($AN$678,Y221)))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559" operator="containsText" id="{A1EF9766-AC6B-44EA-B751-565A40C84C9C}">
            <xm:f>NOT(ISERROR(SEARCH($AN$679,Y221)))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Y221:AK224 AD225:AF229</xm:sqref>
        </x14:conditionalFormatting>
        <x14:conditionalFormatting xmlns:xm="http://schemas.microsoft.com/office/excel/2006/main">
          <x14:cfRule type="containsText" priority="25915" operator="containsText" id="{C3F734C8-91DA-43F4-A0DA-3887F5786438}">
            <xm:f>NOT(ISERROR(SEARCH($AN$681,Y292)))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5916" operator="containsText" id="{9E5E6060-E1CC-46F8-B9C5-6AD283ADBFD8}">
            <xm:f>NOT(ISERROR(SEARCH($AN$680,Y292)))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5917" operator="containsText" id="{F8CE1719-3C79-4804-B615-A4FD8A10B40F}">
            <xm:f>NOT(ISERROR(SEARCH($AN$678,Y292)))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5918" operator="containsText" id="{70BB54B4-0194-4B26-8190-D662BFB3B6DF}">
            <xm:f>NOT(ISERROR(SEARCH($AN$679,Y292)))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Y292:AK310 Y311:AF316 Y317:AK320</xm:sqref>
        </x14:conditionalFormatting>
        <x14:conditionalFormatting xmlns:xm="http://schemas.microsoft.com/office/excel/2006/main">
          <x14:cfRule type="containsText" priority="24091" operator="containsText" id="{9BF5A98B-81FF-4FAF-A789-138D886EA505}">
            <xm:f>NOT(ISERROR(SEARCH($AN$681,Y388)))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4092" operator="containsText" id="{E13EB81D-DD2F-40F9-A4B5-99E80143D5C2}">
            <xm:f>NOT(ISERROR(SEARCH($AN$680,Y388)))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4093" operator="containsText" id="{6DF9D73E-8520-41FC-A563-D935FFFC5973}">
            <xm:f>NOT(ISERROR(SEARCH($AN$678,Y388)))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4094" operator="containsText" id="{D772DD3F-6C47-4D9A-A1A6-B7B5460EA808}">
            <xm:f>NOT(ISERROR(SEARCH($AN$679,Y388)))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Y388:AK406 Y407:AF412 Y413:AK416</xm:sqref>
        </x14:conditionalFormatting>
        <x14:conditionalFormatting xmlns:xm="http://schemas.microsoft.com/office/excel/2006/main">
          <x14:cfRule type="containsText" priority="23681" operator="containsText" id="{4C6CD700-00CE-4BD0-8E64-1940C60A8FA1}">
            <xm:f>NOT(ISERROR(SEARCH($AN$681,Y484)))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682" operator="containsText" id="{663B386D-594C-4F91-915B-ABCFD4685DE9}">
            <xm:f>NOT(ISERROR(SEARCH($AN$680,Y484)))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683" operator="containsText" id="{E3552895-7240-4328-9707-04921D6C3627}">
            <xm:f>NOT(ISERROR(SEARCH($AN$678,Y484)))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684" operator="containsText" id="{99AA8E3E-403C-4583-A626-2A74D6C3F1F3}">
            <xm:f>NOT(ISERROR(SEARCH($AN$679,Y484)))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Y484:AK502 Y503:AF508 Y509:AK512</xm:sqref>
        </x14:conditionalFormatting>
        <x14:conditionalFormatting xmlns:xm="http://schemas.microsoft.com/office/excel/2006/main">
          <x14:cfRule type="containsText" priority="23271" operator="containsText" id="{D3F69598-042E-4E67-88B1-5F98EB8B2225}">
            <xm:f>NOT(ISERROR(SEARCH($AN$681,Y580)))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272" operator="containsText" id="{F1197760-6592-4F1F-8147-DE0BE6784C1E}">
            <xm:f>NOT(ISERROR(SEARCH($AN$680,Y580)))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273" operator="containsText" id="{A50A6170-A2B8-47D0-A4A4-18D27E061B7F}">
            <xm:f>NOT(ISERROR(SEARCH($AN$678,Y580)))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274" operator="containsText" id="{23E47A0E-A49B-4485-9587-E3F6BBC5ACFC}">
            <xm:f>NOT(ISERROR(SEARCH($AN$679,Y580)))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Y580:AK598 Y599:AF604 Y605:AK608</xm:sqref>
        </x14:conditionalFormatting>
        <x14:conditionalFormatting xmlns:xm="http://schemas.microsoft.com/office/excel/2006/main">
          <x14:cfRule type="containsText" priority="22861" operator="containsText" id="{03D42EE4-09A5-42E9-AC8C-137632446A20}">
            <xm:f>NOT(ISERROR(SEARCH($AN$681,Y676)))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862" operator="containsText" id="{CC572917-21CD-4A38-AD5E-7CD7BD6E0265}">
            <xm:f>NOT(ISERROR(SEARCH($AN$680,Y676)))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863" operator="containsText" id="{08D6C798-FAED-4BD3-86F5-390237ABC319}">
            <xm:f>NOT(ISERROR(SEARCH($AN$678,Y676)))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864" operator="containsText" id="{E6237895-9289-4CCF-93C7-A373B0E44E68}">
            <xm:f>NOT(ISERROR(SEARCH($AN$679,Y676)))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Y676:AK694 Y695:AF700 Y701:AK704</xm:sqref>
        </x14:conditionalFormatting>
        <x14:conditionalFormatting xmlns:xm="http://schemas.microsoft.com/office/excel/2006/main">
          <x14:cfRule type="containsText" priority="1865" operator="containsText" id="{E2FCE700-4CE5-4875-AE83-24C9A3338541}">
            <xm:f>NOT(ISERROR(SEARCH($AN$687,Z90)))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866" operator="containsText" id="{1FC44121-DC23-4680-B9B8-8FFFD93F3760}">
            <xm:f>NOT(ISERROR(SEARCH($AN$688,Z90)))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867" operator="containsText" id="{A2D5208F-3544-4CEF-B00D-B4A028EB12F1}">
            <xm:f>NOT(ISERROR(SEARCH($AN$686,Z90)))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68" operator="containsText" id="{ED5A1139-3C4D-4B41-9A8D-747731BC05D3}">
            <xm:f>NOT(ISERROR(SEARCH($AN$685,Z90)))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869" operator="containsText" id="{350A6205-1243-4CAD-9404-BE83E0FD243E}">
            <xm:f>NOT(ISERROR(SEARCH($AN$684,Z90)))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70" operator="containsText" id="{78AFD614-6CE4-43EB-9992-C2598F27F470}">
            <xm:f>NOT(ISERROR(SEARCH($AN$683,Z90)))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871" operator="containsText" id="{81869F30-2980-4729-9746-3C16891B1CA7}">
            <xm:f>NOT(ISERROR(SEARCH($AN$682,Z90)))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872" operator="containsText" id="{30B29CDF-E3B2-4D4B-8E3A-08A6A19AAB83}">
            <xm:f>NOT(ISERROR(SEARCH($AN$681,Z90)))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873" operator="containsText" id="{3C6D4271-B551-494F-8ABA-509329C929D6}">
            <xm:f>NOT(ISERROR(SEARCH($AN$680,Z90)))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874" operator="containsText" id="{B36CC171-9AFC-48D0-B663-B86692CD7F6B}">
            <xm:f>NOT(ISERROR(SEARCH($AN$678,Z90)))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875" operator="containsText" id="{B74DF222-A12D-4923-8688-97A892F7235C}">
            <xm:f>NOT(ISERROR(SEARCH($AN$679,Z90)))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Z90</xm:sqref>
        </x14:conditionalFormatting>
        <x14:conditionalFormatting xmlns:xm="http://schemas.microsoft.com/office/excel/2006/main">
          <x14:cfRule type="containsText" priority="1992" operator="containsText" id="{6E1CEF9D-0F00-40A9-9D02-9CD746C91BD6}">
            <xm:f>NOT(ISERROR(SEARCH($AN$690,Z91)))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993" operator="containsText" id="{04FB4D9A-B342-4A54-ACC2-FC11609B0983}">
            <xm:f>NOT(ISERROR(SEARCH($AN$704,Z91)))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994" operator="containsText" id="{0A01760F-FF76-4405-BFF7-EF0F8DCD896A}">
            <xm:f>NOT(ISERROR(SEARCH($AN$693,Z91)))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995" operator="containsText" id="{B7CD649C-4C56-4CEB-A4BA-81B3B8815B9B}">
            <xm:f>NOT(ISERROR(SEARCH($AN$692,Z91)))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996" operator="containsText" id="{E022E500-78A9-46AC-A510-9D86DE50E155}">
            <xm:f>NOT(ISERROR(SEARCH($AN$691,Z91)))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997" operator="containsText" id="{6F20EC23-838D-4289-83C2-5C69BD5A2425}">
            <xm:f>NOT(ISERROR(SEARCH($AN$689,Z91)))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998" operator="containsText" id="{A0474802-B49D-4C56-B679-B01DB0BEC1B9}">
            <xm:f>NOT(ISERROR(SEARCH($AN$687,Z91)))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999" operator="containsText" id="{A6DE552E-C1AD-4C4B-BE93-39C0255F9E7E}">
            <xm:f>NOT(ISERROR(SEARCH($AN$688,Z91)))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000" operator="containsText" id="{4C26B6C4-C88B-4FE4-BEDB-64AED851BAEB}">
            <xm:f>NOT(ISERROR(SEARCH($AN$686,Z91)))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001" operator="containsText" id="{3651B8F4-581C-4894-AE61-E185BB9CD38B}">
            <xm:f>NOT(ISERROR(SEARCH($AN$685,Z91)))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002" operator="containsText" id="{C736FE93-53CE-4036-A696-07F815EC2193}">
            <xm:f>NOT(ISERROR(SEARCH($AN$684,Z91)))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003" operator="containsText" id="{B469C7B7-1AC7-4B16-A208-409731D0EB15}">
            <xm:f>NOT(ISERROR(SEARCH($AN$683,Z91)))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004" operator="containsText" id="{8D9129C8-B039-44B2-A30A-48E025AEBE5C}">
            <xm:f>NOT(ISERROR(SEARCH($AN$682,Z91)))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005" operator="containsText" id="{434F93DA-6EA5-4CA3-A0AE-8FD2AB8F3AE2}">
            <xm:f>NOT(ISERROR(SEARCH($AN$681,Z91)))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006" operator="containsText" id="{852FDB58-17FB-40DA-B0AA-92ED9FB242A3}">
            <xm:f>NOT(ISERROR(SEARCH($AN$680,Z91)))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007" operator="containsText" id="{B1CC83CA-0FB7-43F9-9892-9E79D6D8218B}">
            <xm:f>NOT(ISERROR(SEARCH($AN$678,Z91)))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008" operator="containsText" id="{9F3A76D6-121B-4DE1-8E3C-7B18CC0AE1C0}">
            <xm:f>NOT(ISERROR(SEARCH($AN$679,Z91)))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Z91:Z92</xm:sqref>
        </x14:conditionalFormatting>
        <x14:conditionalFormatting xmlns:xm="http://schemas.microsoft.com/office/excel/2006/main">
          <x14:cfRule type="containsText" priority="2029" operator="containsText" id="{0871FF18-6944-4926-BFA8-D28EE9C23BEE}">
            <xm:f>NOT(ISERROR(SEARCH($AN$689,Z93)))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030" operator="containsText" id="{347A676C-0769-4556-B5D0-82D2EEC52934}">
            <xm:f>NOT(ISERROR(SEARCH($AN$687,Z93)))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031" operator="containsText" id="{FED3549B-2C41-4355-BC84-DF55250DA80B}">
            <xm:f>NOT(ISERROR(SEARCH($AN$688,Z93)))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032" operator="containsText" id="{8F3A702C-3D45-436A-9656-80238CF229C7}">
            <xm:f>NOT(ISERROR(SEARCH($AN$686,Z93)))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033" operator="containsText" id="{89D13986-A8F3-46A6-8B05-E98A91B27572}">
            <xm:f>NOT(ISERROR(SEARCH($AN$685,Z93)))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034" operator="containsText" id="{2273C510-40F7-4832-930C-8BA82B7CFC52}">
            <xm:f>NOT(ISERROR(SEARCH($AN$684,Z93)))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035" operator="containsText" id="{E68CDA46-2360-4BF2-A4A9-194E607D935A}">
            <xm:f>NOT(ISERROR(SEARCH($AN$683,Z93)))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036" operator="containsText" id="{4F6D171D-A9FF-41D3-85F8-032C1D0D1E5A}">
            <xm:f>NOT(ISERROR(SEARCH($AN$682,Z93)))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037" operator="containsText" id="{3BC4CEB2-26A4-49B1-BAB5-6158CDC1428A}">
            <xm:f>NOT(ISERROR(SEARCH($AN$681,Z93)))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038" operator="containsText" id="{4A7E5824-3021-4037-B9BF-950F0FE25B03}">
            <xm:f>NOT(ISERROR(SEARCH($AN$680,Z93)))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039" operator="containsText" id="{2EC068CC-19F7-4032-AAD5-AA0BC652EEBE}">
            <xm:f>NOT(ISERROR(SEARCH($AN$678,Z93)))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040" operator="containsText" id="{683614D0-2BA0-4D13-891F-23BA3C3E3BDC}">
            <xm:f>NOT(ISERROR(SEARCH($AN$679,Z93)))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041" operator="containsText" id="{584B833B-99AD-4F64-A04F-B15C30852400}">
            <xm:f>NOT(ISERROR(SEARCH($AN$690,Z93)))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042" operator="containsText" id="{A2411BC6-4EB7-4F2C-8A5A-17373AEBE44F}">
            <xm:f>NOT(ISERROR(SEARCH($AN$704,Z93)))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043" operator="containsText" id="{B104DB7A-4CE6-46C2-8967-1626A3777A46}">
            <xm:f>NOT(ISERROR(SEARCH($AN$693,Z93)))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044" operator="containsText" id="{94A87C55-B8DB-4248-A575-E7238D1DFF2B}">
            <xm:f>NOT(ISERROR(SEARCH($AN$692,Z93)))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045" operator="containsText" id="{F8A38D6B-8B1C-4457-8F2A-75FB5198D896}">
            <xm:f>NOT(ISERROR(SEARCH($AN$691,Z93)))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046" operator="containsText" id="{FA355464-C7D3-49A2-BF42-0C100C9EE1E0}">
            <xm:f>NOT(ISERROR(SEARCH($AN$689,Z93)))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047" operator="containsText" id="{42D0E706-32E2-4C69-B020-E0D9FAB4D418}">
            <xm:f>NOT(ISERROR(SEARCH($AN$687,Z93)))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048" operator="containsText" id="{C3857318-9475-4600-983C-4531770CF8F4}">
            <xm:f>NOT(ISERROR(SEARCH($AN$688,Z93)))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049" operator="containsText" id="{0E711FAB-FD2B-4247-A0EE-04AFBDF71AB6}">
            <xm:f>NOT(ISERROR(SEARCH($AN$686,Z93)))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050" operator="containsText" id="{3DD5AE64-B6FE-4647-9A79-17A524DA667E}">
            <xm:f>NOT(ISERROR(SEARCH($AN$685,Z93)))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051" operator="containsText" id="{CA206B97-1351-4FAB-9A55-8DF0FD9D40E2}">
            <xm:f>NOT(ISERROR(SEARCH($AN$684,Z93)))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052" operator="containsText" id="{936A8CC1-5EC9-4DD3-A311-ADD74B86C78F}">
            <xm:f>NOT(ISERROR(SEARCH($AN$683,Z93)))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053" operator="containsText" id="{DE681ACF-2B42-4DD6-A1D1-A8AC2F7499B9}">
            <xm:f>NOT(ISERROR(SEARCH($AN$682,Z93)))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054" operator="containsText" id="{A0288EAD-F4C0-4F8F-9FEC-25F29EC25729}">
            <xm:f>NOT(ISERROR(SEARCH($AN$681,Z93)))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055" operator="containsText" id="{1006E1BA-E231-4D8F-ABDB-A630BD204ABC}">
            <xm:f>NOT(ISERROR(SEARCH($AN$680,Z93)))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056" operator="containsText" id="{2B0A57F5-2A8A-4E33-856D-35D828D57504}">
            <xm:f>NOT(ISERROR(SEARCH($AN$678,Z93)))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057" operator="containsText" id="{C49C7D36-16A4-45B0-88CE-ABD3FD4663AD}">
            <xm:f>NOT(ISERROR(SEARCH($AN$679,Z93)))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Z93</xm:sqref>
        </x14:conditionalFormatting>
        <x14:conditionalFormatting xmlns:xm="http://schemas.microsoft.com/office/excel/2006/main">
          <x14:cfRule type="containsText" priority="1560" operator="containsText" id="{8AAEFEBF-C0A6-4B99-B603-6BC5929F3FB8}">
            <xm:f>NOT(ISERROR(SEARCH($AN$687,Z186)))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561" operator="containsText" id="{147A47BE-DBFD-4D29-9506-9F8090735A72}">
            <xm:f>NOT(ISERROR(SEARCH($AN$688,Z186)))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562" operator="containsText" id="{AF7DA77F-1495-4C8B-9D36-6FC843208675}">
            <xm:f>NOT(ISERROR(SEARCH($AN$686,Z186)))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563" operator="containsText" id="{5E72951E-FD68-4532-805B-E7A4F37DB4A3}">
            <xm:f>NOT(ISERROR(SEARCH($AN$685,Z186)))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564" operator="containsText" id="{39C8EA56-584E-4718-9B9D-3226E1CDCA6D}">
            <xm:f>NOT(ISERROR(SEARCH($AN$684,Z186)))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565" operator="containsText" id="{7086039E-E896-4DB6-99A2-A8DCDF07AF60}">
            <xm:f>NOT(ISERROR(SEARCH($AN$683,Z186)))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566" operator="containsText" id="{765B27E7-4A87-453C-866F-D019F79F9B40}">
            <xm:f>NOT(ISERROR(SEARCH($AN$682,Z186)))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567" operator="containsText" id="{2E595C50-3D4A-4920-BB5E-73171DFE73D2}">
            <xm:f>NOT(ISERROR(SEARCH($AN$681,Z186)))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568" operator="containsText" id="{D2EAABA3-4F14-4291-94CB-DF3B536F9BF6}">
            <xm:f>NOT(ISERROR(SEARCH($AN$680,Z186)))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569" operator="containsText" id="{10C9C716-02D7-4EED-AA93-32DD1B1DE36D}">
            <xm:f>NOT(ISERROR(SEARCH($AN$678,Z186)))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570" operator="containsText" id="{C5CB13C8-B8D9-4D89-91DE-378FD6ACEC05}">
            <xm:f>NOT(ISERROR(SEARCH($AN$679,Z186)))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Z186</xm:sqref>
        </x14:conditionalFormatting>
        <x14:conditionalFormatting xmlns:xm="http://schemas.microsoft.com/office/excel/2006/main">
          <x14:cfRule type="containsText" priority="1687" operator="containsText" id="{2048C2BB-D002-41AB-B753-2182901472D4}">
            <xm:f>NOT(ISERROR(SEARCH($AN$690,Z187)))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688" operator="containsText" id="{6E738C3A-87CC-4B19-873A-5F9DEE421850}">
            <xm:f>NOT(ISERROR(SEARCH($AN$704,Z187)))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689" operator="containsText" id="{6512EA86-7C0A-43F8-A031-ADB017D57199}">
            <xm:f>NOT(ISERROR(SEARCH($AN$693,Z187)))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690" operator="containsText" id="{5653212C-FC8C-4E85-B32C-2230BF3DCDD8}">
            <xm:f>NOT(ISERROR(SEARCH($AN$692,Z187)))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691" operator="containsText" id="{757001B0-D5B9-4054-AB9A-FAE8F77EFF58}">
            <xm:f>NOT(ISERROR(SEARCH($AN$691,Z187)))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692" operator="containsText" id="{B137063B-6DBB-453A-8811-74450243550C}">
            <xm:f>NOT(ISERROR(SEARCH($AN$689,Z187)))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693" operator="containsText" id="{23DBB354-0613-4830-999C-350B22361503}">
            <xm:f>NOT(ISERROR(SEARCH($AN$687,Z187)))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694" operator="containsText" id="{F44F4E86-D266-483B-B1C2-B3D13908B1D3}">
            <xm:f>NOT(ISERROR(SEARCH($AN$688,Z187)))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695" operator="containsText" id="{BD4D5FA6-8DFC-4DA4-BE1F-2F7C853B58D4}">
            <xm:f>NOT(ISERROR(SEARCH($AN$686,Z187)))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96" operator="containsText" id="{D5EA1B55-DC81-4B6A-A603-03641424D08C}">
            <xm:f>NOT(ISERROR(SEARCH($AN$685,Z187)))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697" operator="containsText" id="{ED0828F4-5EC8-4D36-89A3-B672BF7CBB1F}">
            <xm:f>NOT(ISERROR(SEARCH($AN$684,Z187)))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98" operator="containsText" id="{F4292B92-61AF-481C-9DF1-93BA5A6C37E1}">
            <xm:f>NOT(ISERROR(SEARCH($AN$683,Z187)))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699" operator="containsText" id="{0848C5BE-094D-498D-A24A-A4135EE59C41}">
            <xm:f>NOT(ISERROR(SEARCH($AN$682,Z187)))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700" operator="containsText" id="{0CDCBCDC-C54E-405C-92A4-3A19674FC132}">
            <xm:f>NOT(ISERROR(SEARCH($AN$681,Z187)))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701" operator="containsText" id="{2B38A82E-BC1C-45F1-A257-B4611C734720}">
            <xm:f>NOT(ISERROR(SEARCH($AN$680,Z187)))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702" operator="containsText" id="{06663AB6-DCF9-4BA0-8DBB-42776463A005}">
            <xm:f>NOT(ISERROR(SEARCH($AN$678,Z187)))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703" operator="containsText" id="{5D04D3FF-459B-4CEF-A221-947B86F04E5F}">
            <xm:f>NOT(ISERROR(SEARCH($AN$679,Z187)))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Z187:Z188</xm:sqref>
        </x14:conditionalFormatting>
        <x14:conditionalFormatting xmlns:xm="http://schemas.microsoft.com/office/excel/2006/main">
          <x14:cfRule type="containsText" priority="1724" operator="containsText" id="{5E5EF73D-0EF9-42AA-B365-906D72ECE0AD}">
            <xm:f>NOT(ISERROR(SEARCH($AN$689,Z189)))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725" operator="containsText" id="{1B5C463F-B785-4107-BEC5-2835081ED2CF}">
            <xm:f>NOT(ISERROR(SEARCH($AN$687,Z189)))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726" operator="containsText" id="{982F4614-C454-4890-B4B3-C20A8FA1B418}">
            <xm:f>NOT(ISERROR(SEARCH($AN$688,Z189)))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727" operator="containsText" id="{4207CCD3-121E-4563-B3D8-DC21434B012E}">
            <xm:f>NOT(ISERROR(SEARCH($AN$686,Z189)))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728" operator="containsText" id="{EF85231F-A59F-42F2-AA7B-F3D9A1C0A782}">
            <xm:f>NOT(ISERROR(SEARCH($AN$685,Z189)))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729" operator="containsText" id="{E35DDF9B-B14C-49F2-B15C-CFE8DEDF8CA0}">
            <xm:f>NOT(ISERROR(SEARCH($AN$684,Z189)))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730" operator="containsText" id="{C9A914ED-C1AB-4CBC-9ECA-2273CFD5F65A}">
            <xm:f>NOT(ISERROR(SEARCH($AN$683,Z189)))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731" operator="containsText" id="{29F05F80-3336-4642-8CFA-5072CB50BFAA}">
            <xm:f>NOT(ISERROR(SEARCH($AN$682,Z189)))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732" operator="containsText" id="{F3F87E4E-95EA-4360-90F5-C57A9F80742D}">
            <xm:f>NOT(ISERROR(SEARCH($AN$681,Z189)))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733" operator="containsText" id="{06E2053A-68A8-432E-9340-5E5D51D29411}">
            <xm:f>NOT(ISERROR(SEARCH($AN$680,Z189)))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734" operator="containsText" id="{FD68B375-63D6-42FA-A0EE-EC3233216296}">
            <xm:f>NOT(ISERROR(SEARCH($AN$678,Z189)))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735" operator="containsText" id="{DCBAD588-2A9A-462F-B95B-B3F81B455D3E}">
            <xm:f>NOT(ISERROR(SEARCH($AN$679,Z189)))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736" operator="containsText" id="{5B846BCB-7A61-47CE-B5CB-FE7E63A7B4B3}">
            <xm:f>NOT(ISERROR(SEARCH($AN$690,Z189)))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737" operator="containsText" id="{D827E00A-3F35-4FB1-976A-CCD17A24CDEE}">
            <xm:f>NOT(ISERROR(SEARCH($AN$704,Z189)))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738" operator="containsText" id="{A6853E6C-6F4B-4289-B3BE-4CDECA3B6CD7}">
            <xm:f>NOT(ISERROR(SEARCH($AN$693,Z189)))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739" operator="containsText" id="{2B1C8458-D884-44B2-924F-B36CDFBA500D}">
            <xm:f>NOT(ISERROR(SEARCH($AN$692,Z189)))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740" operator="containsText" id="{219C9E9B-761F-4525-8568-FF2158E4AFCE}">
            <xm:f>NOT(ISERROR(SEARCH($AN$691,Z189)))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741" operator="containsText" id="{292EF360-0910-4040-A80D-BDA7E20169B6}">
            <xm:f>NOT(ISERROR(SEARCH($AN$689,Z189)))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742" operator="containsText" id="{F71F026B-4EE9-4564-89AB-6D4B0388538C}">
            <xm:f>NOT(ISERROR(SEARCH($AN$687,Z189)))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743" operator="containsText" id="{69CC987F-AF48-4CCF-8F29-53FE72BF6789}">
            <xm:f>NOT(ISERROR(SEARCH($AN$688,Z189)))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744" operator="containsText" id="{71034887-66E1-4608-A2A5-9AEDB4E27980}">
            <xm:f>NOT(ISERROR(SEARCH($AN$686,Z189)))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745" operator="containsText" id="{F50BFC48-36F2-4F78-8184-606477104B5D}">
            <xm:f>NOT(ISERROR(SEARCH($AN$685,Z189)))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746" operator="containsText" id="{5DEB6934-0217-4141-A0F0-91FD44E74240}">
            <xm:f>NOT(ISERROR(SEARCH($AN$684,Z189)))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747" operator="containsText" id="{F92CA21C-CCF9-482E-A9C9-1D52DEDC5E63}">
            <xm:f>NOT(ISERROR(SEARCH($AN$683,Z189)))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748" operator="containsText" id="{C6D44DCF-22EB-4C91-8252-279FAD7610AE}">
            <xm:f>NOT(ISERROR(SEARCH($AN$682,Z189)))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749" operator="containsText" id="{D2370216-C81E-4A5E-857A-AA2B9666495D}">
            <xm:f>NOT(ISERROR(SEARCH($AN$681,Z189)))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750" operator="containsText" id="{82AE68C3-1EBA-4F71-B074-28FBC4682DB0}">
            <xm:f>NOT(ISERROR(SEARCH($AN$680,Z189)))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751" operator="containsText" id="{076D1A9F-7876-48B8-A29C-DF416E11AA49}">
            <xm:f>NOT(ISERROR(SEARCH($AN$678,Z189)))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752" operator="containsText" id="{6D747CF1-6C61-45F0-9DE8-DFEBB20C7CE7}">
            <xm:f>NOT(ISERROR(SEARCH($AN$679,Z189)))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Z189</xm:sqref>
        </x14:conditionalFormatting>
        <x14:conditionalFormatting xmlns:xm="http://schemas.microsoft.com/office/excel/2006/main">
          <x14:cfRule type="containsText" priority="1255" operator="containsText" id="{C2534BE5-2E80-4D90-A2AF-490D35688C5B}">
            <xm:f>NOT(ISERROR(SEARCH($AN$687,Z282)))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256" operator="containsText" id="{066423AB-2754-4293-980E-FF39700F1F3B}">
            <xm:f>NOT(ISERROR(SEARCH($AN$688,Z282)))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57" operator="containsText" id="{7DF12893-4C33-45D8-BB95-FD25E0351810}">
            <xm:f>NOT(ISERROR(SEARCH($AN$686,Z282)))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58" operator="containsText" id="{A7A8AF08-8201-4D37-961A-91642A6F56D3}">
            <xm:f>NOT(ISERROR(SEARCH($AN$685,Z282)))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59" operator="containsText" id="{C29AFDF5-A7EB-4156-BCDE-2F82901583EE}">
            <xm:f>NOT(ISERROR(SEARCH($AN$684,Z282)))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60" operator="containsText" id="{BE2C4D80-5DC9-4527-842F-3ACB70D80ABB}">
            <xm:f>NOT(ISERROR(SEARCH($AN$683,Z282)))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61" operator="containsText" id="{A49A2670-FE28-4B2C-A0CD-F8B96F091F3C}">
            <xm:f>NOT(ISERROR(SEARCH($AN$682,Z282)))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62" operator="containsText" id="{A4D2C584-0B41-46CE-8D51-798A8722762E}">
            <xm:f>NOT(ISERROR(SEARCH($AN$681,Z282)))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63" operator="containsText" id="{638AED52-4A7E-4745-A985-667B51645BF2}">
            <xm:f>NOT(ISERROR(SEARCH($AN$680,Z282)))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64" operator="containsText" id="{ABBE79A1-E7AE-4CF3-A7C3-466CBCD30F50}">
            <xm:f>NOT(ISERROR(SEARCH($AN$678,Z282)))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65" operator="containsText" id="{E6B8F467-6278-4AA4-91AE-8263D205B595}">
            <xm:f>NOT(ISERROR(SEARCH($AN$679,Z282)))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Z282</xm:sqref>
        </x14:conditionalFormatting>
        <x14:conditionalFormatting xmlns:xm="http://schemas.microsoft.com/office/excel/2006/main">
          <x14:cfRule type="containsText" priority="1382" operator="containsText" id="{78A5BBF0-4AE9-4CC8-B64E-2D5302395D03}">
            <xm:f>NOT(ISERROR(SEARCH($AN$690,Z283)))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383" operator="containsText" id="{281BBDB9-87A1-4A97-98A9-67300C57EB3D}">
            <xm:f>NOT(ISERROR(SEARCH($AN$704,Z283)))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384" operator="containsText" id="{3499ABEA-832F-4C6F-96FE-BD5616CFD9F6}">
            <xm:f>NOT(ISERROR(SEARCH($AN$693,Z283)))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385" operator="containsText" id="{D43CA1C2-C4B4-450F-B8F6-5E397AEF01E2}">
            <xm:f>NOT(ISERROR(SEARCH($AN$692,Z283)))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86" operator="containsText" id="{26318942-F1CB-4E91-A802-CAFEFFBFD296}">
            <xm:f>NOT(ISERROR(SEARCH($AN$691,Z283)))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387" operator="containsText" id="{C54BF679-F910-41F0-A518-514D5D53485E}">
            <xm:f>NOT(ISERROR(SEARCH($AN$689,Z283)))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388" operator="containsText" id="{7A3FCB05-C86E-410A-9F02-8C378E6A582F}">
            <xm:f>NOT(ISERROR(SEARCH($AN$687,Z283)))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389" operator="containsText" id="{C99C89C2-744A-4E1D-A644-2A212D33E5A9}">
            <xm:f>NOT(ISERROR(SEARCH($AN$688,Z283)))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390" operator="containsText" id="{0E3C33F9-44DB-4643-AAA2-6991493256BE}">
            <xm:f>NOT(ISERROR(SEARCH($AN$686,Z283)))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91" operator="containsText" id="{6EEC6BA1-3754-409E-A3C9-B94C1CF6C860}">
            <xm:f>NOT(ISERROR(SEARCH($AN$685,Z283)))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392" operator="containsText" id="{171D8CB5-25DB-4B0D-BCB9-958FE7916F05}">
            <xm:f>NOT(ISERROR(SEARCH($AN$684,Z283)))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93" operator="containsText" id="{F0D1694C-D7C8-4ADA-BF8E-20819F836647}">
            <xm:f>NOT(ISERROR(SEARCH($AN$683,Z283)))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394" operator="containsText" id="{61693906-A3B4-4FCD-976C-4F40619C188B}">
            <xm:f>NOT(ISERROR(SEARCH($AN$682,Z283)))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395" operator="containsText" id="{DE68894A-3F5B-4663-A55A-8E686602DB77}">
            <xm:f>NOT(ISERROR(SEARCH($AN$681,Z283)))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96" operator="containsText" id="{3DED8EEF-55BD-4CCB-AE8D-404C91093960}">
            <xm:f>NOT(ISERROR(SEARCH($AN$680,Z283)))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97" operator="containsText" id="{C2C475CF-ABA5-4FE0-ADB8-C9CD720F28F6}">
            <xm:f>NOT(ISERROR(SEARCH($AN$678,Z283)))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98" operator="containsText" id="{BB128BAA-30A5-4692-81FA-31F70C36EF38}">
            <xm:f>NOT(ISERROR(SEARCH($AN$679,Z283)))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Z283:Z284</xm:sqref>
        </x14:conditionalFormatting>
        <x14:conditionalFormatting xmlns:xm="http://schemas.microsoft.com/office/excel/2006/main">
          <x14:cfRule type="containsText" priority="1419" operator="containsText" id="{DA74E726-1DDA-47FE-8A2A-B80A3EE5923A}">
            <xm:f>NOT(ISERROR(SEARCH($AN$689,Z285)))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420" operator="containsText" id="{F4AB5273-3C08-4ABA-9FB4-AEEFF31515E5}">
            <xm:f>NOT(ISERROR(SEARCH($AN$687,Z285)))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421" operator="containsText" id="{3B2CC01F-7D06-461B-A9E6-AFE90E157997}">
            <xm:f>NOT(ISERROR(SEARCH($AN$688,Z285)))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422" operator="containsText" id="{BAA3DB9F-7108-497C-9DF7-AD33CD308DB1}">
            <xm:f>NOT(ISERROR(SEARCH($AN$686,Z285)))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423" operator="containsText" id="{C18FA94E-22ED-431A-9C3A-DA63F79E7EEF}">
            <xm:f>NOT(ISERROR(SEARCH($AN$685,Z285)))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424" operator="containsText" id="{7E2B8920-9798-451E-9DF1-62E249644223}">
            <xm:f>NOT(ISERROR(SEARCH($AN$684,Z285)))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425" operator="containsText" id="{E9A8A8EE-394D-4AC5-AF62-3E253B0F34A4}">
            <xm:f>NOT(ISERROR(SEARCH($AN$683,Z285)))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426" operator="containsText" id="{6E3AF311-0892-411F-BF29-84BF379A1F6E}">
            <xm:f>NOT(ISERROR(SEARCH($AN$682,Z285)))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427" operator="containsText" id="{0D59973A-2913-46EC-A2A8-6E70656DAC6C}">
            <xm:f>NOT(ISERROR(SEARCH($AN$681,Z285)))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428" operator="containsText" id="{768DF804-DEF8-415C-B611-D270F473007A}">
            <xm:f>NOT(ISERROR(SEARCH($AN$680,Z285)))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429" operator="containsText" id="{706820B5-CAD6-42FC-BC29-679F51A636CC}">
            <xm:f>NOT(ISERROR(SEARCH($AN$678,Z285)))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430" operator="containsText" id="{50D80A39-54E6-4AB3-A7AA-240834396F2A}">
            <xm:f>NOT(ISERROR(SEARCH($AN$679,Z285)))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431" operator="containsText" id="{F92EFFCA-C268-4DBB-AC51-2497F70EB90F}">
            <xm:f>NOT(ISERROR(SEARCH($AN$690,Z285)))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432" operator="containsText" id="{8DE305CC-5C36-487B-8D9F-816CD437869C}">
            <xm:f>NOT(ISERROR(SEARCH($AN$704,Z285)))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433" operator="containsText" id="{169E4EC7-7F7E-44CC-B6BA-CAD9B227D618}">
            <xm:f>NOT(ISERROR(SEARCH($AN$693,Z285)))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434" operator="containsText" id="{1ABE9A48-C3FD-4C98-AC2E-37BF23241979}">
            <xm:f>NOT(ISERROR(SEARCH($AN$692,Z285)))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35" operator="containsText" id="{F4E343F1-DE2C-48C1-95DE-D0A6EA950228}">
            <xm:f>NOT(ISERROR(SEARCH($AN$691,Z285)))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436" operator="containsText" id="{A2E5F1A5-EA92-4A12-AFF3-D22F570D4D67}">
            <xm:f>NOT(ISERROR(SEARCH($AN$689,Z285)))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437" operator="containsText" id="{76B6DCA2-B738-44E1-B7F1-AD83BE09020F}">
            <xm:f>NOT(ISERROR(SEARCH($AN$687,Z285)))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438" operator="containsText" id="{250BA929-5258-4D35-AE11-32772ED60436}">
            <xm:f>NOT(ISERROR(SEARCH($AN$688,Z285)))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439" operator="containsText" id="{5219CBD0-0CCA-41A2-ACE3-DF89EA020EDB}">
            <xm:f>NOT(ISERROR(SEARCH($AN$686,Z285)))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440" operator="containsText" id="{C9ADE32A-3B87-4F80-B667-56C605C6F64F}">
            <xm:f>NOT(ISERROR(SEARCH($AN$685,Z285)))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441" operator="containsText" id="{5E341ACC-5844-404A-8213-FB02E5AF478A}">
            <xm:f>NOT(ISERROR(SEARCH($AN$684,Z285)))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442" operator="containsText" id="{B9AAD324-7149-4BB5-A9BC-63E48CB6B4AC}">
            <xm:f>NOT(ISERROR(SEARCH($AN$683,Z285)))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443" operator="containsText" id="{D9026D86-D955-4129-B063-C71E5BD93B0D}">
            <xm:f>NOT(ISERROR(SEARCH($AN$682,Z285)))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444" operator="containsText" id="{D369369F-71FA-43CB-BF3F-B1E90E6B09EB}">
            <xm:f>NOT(ISERROR(SEARCH($AN$681,Z285)))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445" operator="containsText" id="{CCAD0884-EF15-40BD-A57D-F2753AB5DFE1}">
            <xm:f>NOT(ISERROR(SEARCH($AN$680,Z285)))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446" operator="containsText" id="{E2645D13-6E2E-4874-B709-090F832D6FE0}">
            <xm:f>NOT(ISERROR(SEARCH($AN$678,Z285)))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447" operator="containsText" id="{6CCA47AC-AFB1-418D-BE5B-4C4E27995A5A}">
            <xm:f>NOT(ISERROR(SEARCH($AN$679,Z285)))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Z285</xm:sqref>
        </x14:conditionalFormatting>
        <x14:conditionalFormatting xmlns:xm="http://schemas.microsoft.com/office/excel/2006/main">
          <x14:cfRule type="containsText" priority="950" operator="containsText" id="{C772728F-B409-47A1-9241-FE9CFD109D42}">
            <xm:f>NOT(ISERROR(SEARCH($AN$687,Z378)))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951" operator="containsText" id="{52767CD3-16C1-4F95-B34C-FA6351480926}">
            <xm:f>NOT(ISERROR(SEARCH($AN$688,Z378)))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52" operator="containsText" id="{C3B83260-652F-4895-8E4E-F912DD9014AE}">
            <xm:f>NOT(ISERROR(SEARCH($AN$686,Z378)))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53" operator="containsText" id="{CA65E2B7-A069-4A6F-B251-323E8833D130}">
            <xm:f>NOT(ISERROR(SEARCH($AN$685,Z378)))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54" operator="containsText" id="{B657A021-55B9-4192-A1ED-FDF4072C4692}">
            <xm:f>NOT(ISERROR(SEARCH($AN$684,Z378)))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55" operator="containsText" id="{CCFD2AAA-FF22-47E2-A7BB-F81EB60F64DC}">
            <xm:f>NOT(ISERROR(SEARCH($AN$683,Z378)))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56" operator="containsText" id="{A7B30970-A47D-46A3-AAF2-C1C5A00C2B6C}">
            <xm:f>NOT(ISERROR(SEARCH($AN$682,Z378)))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57" operator="containsText" id="{E9E62886-FB85-4FBF-83FF-FB3812634F03}">
            <xm:f>NOT(ISERROR(SEARCH($AN$681,Z378)))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58" operator="containsText" id="{93279E57-908F-4E54-BDB5-988A81E12D33}">
            <xm:f>NOT(ISERROR(SEARCH($AN$680,Z378)))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59" operator="containsText" id="{76C6D92C-4FF4-4E4C-9390-414649403A83}">
            <xm:f>NOT(ISERROR(SEARCH($AN$678,Z378)))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60" operator="containsText" id="{C8350BD2-5D43-4DB1-891F-99B988191AB1}">
            <xm:f>NOT(ISERROR(SEARCH($AN$679,Z378)))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Z378</xm:sqref>
        </x14:conditionalFormatting>
        <x14:conditionalFormatting xmlns:xm="http://schemas.microsoft.com/office/excel/2006/main">
          <x14:cfRule type="containsText" priority="1077" operator="containsText" id="{FFBB4B11-60BF-44EB-93CF-6D99567403CA}">
            <xm:f>NOT(ISERROR(SEARCH($AN$690,Z379)))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078" operator="containsText" id="{FCEA5709-F8D3-4858-8E47-65C48E7CB641}">
            <xm:f>NOT(ISERROR(SEARCH($AN$704,Z379)))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079" operator="containsText" id="{AD78A9ED-7D7D-4A60-859F-07A0CB78C0C4}">
            <xm:f>NOT(ISERROR(SEARCH($AN$693,Z379)))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080" operator="containsText" id="{DD4BA296-D58E-4592-BBF2-A9885FE7FE12}">
            <xm:f>NOT(ISERROR(SEARCH($AN$692,Z379)))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81" operator="containsText" id="{40922A2D-CF7B-4082-8390-2085370FCF6B}">
            <xm:f>NOT(ISERROR(SEARCH($AN$691,Z379)))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082" operator="containsText" id="{5A716E75-F956-46B6-A86E-DBB201AB467E}">
            <xm:f>NOT(ISERROR(SEARCH($AN$689,Z379)))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083" operator="containsText" id="{947DFD8C-CECA-4026-A29A-A42FB5B5603E}">
            <xm:f>NOT(ISERROR(SEARCH($AN$687,Z379)))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84" operator="containsText" id="{CD031074-1A11-4CD1-AD54-B9BDC8A0146E}">
            <xm:f>NOT(ISERROR(SEARCH($AN$688,Z379)))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85" operator="containsText" id="{E746C7DF-74F5-45DE-91E7-AE9F0D4BCEF6}">
            <xm:f>NOT(ISERROR(SEARCH($AN$686,Z379)))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86" operator="containsText" id="{6EBD4B2F-B0EA-429E-B58D-2D5FF0EC3C16}">
            <xm:f>NOT(ISERROR(SEARCH($AN$685,Z379)))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87" operator="containsText" id="{BC8B53FB-2E68-4F2D-8408-C7A910F99367}">
            <xm:f>NOT(ISERROR(SEARCH($AN$684,Z379)))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88" operator="containsText" id="{E0FC6E0B-CE7C-4390-B8C7-1D3F51A4F208}">
            <xm:f>NOT(ISERROR(SEARCH($AN$683,Z379)))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89" operator="containsText" id="{C06D5055-E935-4724-AB2C-18E24C7F0E5C}">
            <xm:f>NOT(ISERROR(SEARCH($AN$682,Z379)))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90" operator="containsText" id="{85F006FE-7A20-4807-9752-63F5AB4A9DF8}">
            <xm:f>NOT(ISERROR(SEARCH($AN$681,Z379)))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91" operator="containsText" id="{02CDB7FA-0F4E-4FEA-BFA9-CDEA2408EB17}">
            <xm:f>NOT(ISERROR(SEARCH($AN$680,Z379)))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92" operator="containsText" id="{C618E995-E390-472C-BD8B-BBC9E3BB63EE}">
            <xm:f>NOT(ISERROR(SEARCH($AN$678,Z379)))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93" operator="containsText" id="{8CBCEBEB-33E9-482F-9EC8-53E0D20C6AB1}">
            <xm:f>NOT(ISERROR(SEARCH($AN$679,Z379)))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Z379:Z380</xm:sqref>
        </x14:conditionalFormatting>
        <x14:conditionalFormatting xmlns:xm="http://schemas.microsoft.com/office/excel/2006/main">
          <x14:cfRule type="containsText" priority="1114" operator="containsText" id="{EA9495EE-4A54-4824-BBE5-FA283206E6A6}">
            <xm:f>NOT(ISERROR(SEARCH($AN$689,Z381)))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115" operator="containsText" id="{ED0CC9A4-DB7E-4E6F-B62A-949370C8D238}">
            <xm:f>NOT(ISERROR(SEARCH($AN$687,Z381)))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116" operator="containsText" id="{E8D2BA8D-77AD-4515-8B37-75FE696D1FEA}">
            <xm:f>NOT(ISERROR(SEARCH($AN$688,Z381)))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17" operator="containsText" id="{C17FD524-0F1F-4D08-AC57-3968373CCCDB}">
            <xm:f>NOT(ISERROR(SEARCH($AN$686,Z381)))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18" operator="containsText" id="{BCE80149-BC09-479C-B73F-0E47BB6FAE89}">
            <xm:f>NOT(ISERROR(SEARCH($AN$685,Z381)))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19" operator="containsText" id="{DA15EDFC-4D28-4BB4-9C71-EDB00B7FB69D}">
            <xm:f>NOT(ISERROR(SEARCH($AN$684,Z381)))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20" operator="containsText" id="{3CABAE64-FF79-4B16-9CE1-AA3CD502D0C4}">
            <xm:f>NOT(ISERROR(SEARCH($AN$683,Z381)))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21" operator="containsText" id="{4D9E1D68-3B57-4ED7-9A4B-520746684BC1}">
            <xm:f>NOT(ISERROR(SEARCH($AN$682,Z381)))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22" operator="containsText" id="{4C56A908-ED44-4302-B555-62067925CA99}">
            <xm:f>NOT(ISERROR(SEARCH($AN$681,Z381)))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23" operator="containsText" id="{9CF745D5-7774-47AF-B85C-67F965D33D39}">
            <xm:f>NOT(ISERROR(SEARCH($AN$680,Z381)))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24" operator="containsText" id="{33605A19-0DE5-47F3-BAF6-49F15E139F47}">
            <xm:f>NOT(ISERROR(SEARCH($AN$678,Z381)))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25" operator="containsText" id="{F7262309-C2FF-41C2-BF30-27DA7F02CC45}">
            <xm:f>NOT(ISERROR(SEARCH($AN$679,Z381)))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126" operator="containsText" id="{1F0236E2-D44B-472D-BE5E-96A8131FB5A5}">
            <xm:f>NOT(ISERROR(SEARCH($AN$690,Z381)))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127" operator="containsText" id="{8FC8465B-5731-4EB6-88A0-0745D8D81D02}">
            <xm:f>NOT(ISERROR(SEARCH($AN$704,Z381)))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128" operator="containsText" id="{943862FC-075C-461C-9257-133E9703A984}">
            <xm:f>NOT(ISERROR(SEARCH($AN$693,Z381)))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129" operator="containsText" id="{6CE60C97-E0D6-46AB-8AB9-648C675D4F49}">
            <xm:f>NOT(ISERROR(SEARCH($AN$692,Z381)))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30" operator="containsText" id="{CEBCD747-250C-48D6-B648-8C32A2A63580}">
            <xm:f>NOT(ISERROR(SEARCH($AN$691,Z381)))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131" operator="containsText" id="{AD90C505-D2D9-44CA-8214-05B5F97D380A}">
            <xm:f>NOT(ISERROR(SEARCH($AN$689,Z381)))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132" operator="containsText" id="{B9FC936F-2429-4CF2-8502-56C0F4216F2C}">
            <xm:f>NOT(ISERROR(SEARCH($AN$687,Z381)))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133" operator="containsText" id="{013049C3-F34F-4FA7-8AA2-02B4FE580DB6}">
            <xm:f>NOT(ISERROR(SEARCH($AN$688,Z381)))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34" operator="containsText" id="{0ABAD6DD-EA48-41AD-AC64-C62241BED1C8}">
            <xm:f>NOT(ISERROR(SEARCH($AN$686,Z381)))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35" operator="containsText" id="{3D4967F6-6250-4BFF-B109-C14003A465E5}">
            <xm:f>NOT(ISERROR(SEARCH($AN$685,Z381)))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36" operator="containsText" id="{153F5866-81C3-41F4-A9A0-E5DE1BB487F4}">
            <xm:f>NOT(ISERROR(SEARCH($AN$684,Z381)))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37" operator="containsText" id="{DE3C347F-4328-471C-B78E-B5D6A5A39E0D}">
            <xm:f>NOT(ISERROR(SEARCH($AN$683,Z381)))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38" operator="containsText" id="{64F2EE32-C18C-4531-A1E5-EBF13163A93D}">
            <xm:f>NOT(ISERROR(SEARCH($AN$682,Z381)))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39" operator="containsText" id="{2B9D433A-4E5B-4886-94C6-DDAA7C6F9319}">
            <xm:f>NOT(ISERROR(SEARCH($AN$681,Z381)))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40" operator="containsText" id="{3A4F235D-E417-426D-A8B9-E3A98BBF0D1F}">
            <xm:f>NOT(ISERROR(SEARCH($AN$680,Z381)))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41" operator="containsText" id="{DF8AE0FC-BB8B-4D26-ADB6-C35B435FA595}">
            <xm:f>NOT(ISERROR(SEARCH($AN$678,Z381)))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42" operator="containsText" id="{2B9CC1BE-EDA5-4F96-BDEE-C87DCA8F1FA2}">
            <xm:f>NOT(ISERROR(SEARCH($AN$679,Z381)))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Z381</xm:sqref>
        </x14:conditionalFormatting>
        <x14:conditionalFormatting xmlns:xm="http://schemas.microsoft.com/office/excel/2006/main">
          <x14:cfRule type="containsText" priority="645" operator="containsText" id="{12FD3B48-9D70-4ABA-B14B-5A11B405F0F0}">
            <xm:f>NOT(ISERROR(SEARCH($AN$687,Z474)))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646" operator="containsText" id="{5A800B2C-65D1-4408-BE49-8CAE6033C4B8}">
            <xm:f>NOT(ISERROR(SEARCH($AN$688,Z474)))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647" operator="containsText" id="{DB4C4FBB-4376-4E84-BB28-3AAB500FD15C}">
            <xm:f>NOT(ISERROR(SEARCH($AN$686,Z474)))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48" operator="containsText" id="{F075CD55-708F-436A-92D6-C47C063EF97E}">
            <xm:f>NOT(ISERROR(SEARCH($AN$685,Z474)))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649" operator="containsText" id="{A7012543-EC0D-46BA-A0BB-0DC95E79D1CB}">
            <xm:f>NOT(ISERROR(SEARCH($AN$684,Z474)))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50" operator="containsText" id="{05D32B9E-F1EC-48C9-BF84-6972E1AF2CA9}">
            <xm:f>NOT(ISERROR(SEARCH($AN$683,Z474)))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651" operator="containsText" id="{6F19002C-6983-4212-9921-FE9F50BBCBE0}">
            <xm:f>NOT(ISERROR(SEARCH($AN$682,Z474)))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652" operator="containsText" id="{822CC144-CAC1-4876-8147-41170F704BD4}">
            <xm:f>NOT(ISERROR(SEARCH($AN$681,Z474)))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653" operator="containsText" id="{B5100A63-9D9A-41A1-BA38-1FAE4EB94EE7}">
            <xm:f>NOT(ISERROR(SEARCH($AN$680,Z474)))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654" operator="containsText" id="{DDC3BA04-DD22-4D1A-B8A2-79B65E079A78}">
            <xm:f>NOT(ISERROR(SEARCH($AN$678,Z474)))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655" operator="containsText" id="{B46559C2-D810-496E-B4B8-BABD94365980}">
            <xm:f>NOT(ISERROR(SEARCH($AN$679,Z474)))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Z474</xm:sqref>
        </x14:conditionalFormatting>
        <x14:conditionalFormatting xmlns:xm="http://schemas.microsoft.com/office/excel/2006/main">
          <x14:cfRule type="containsText" priority="772" operator="containsText" id="{CEC8F66F-2189-428B-8367-D6E1DF24756E}">
            <xm:f>NOT(ISERROR(SEARCH($AN$690,Z475)))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773" operator="containsText" id="{5528E8BD-45C9-4279-AE3E-C0C52E78FD02}">
            <xm:f>NOT(ISERROR(SEARCH($AN$704,Z475)))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774" operator="containsText" id="{B62A68B7-E9CD-4E69-B8AB-4A83309789EB}">
            <xm:f>NOT(ISERROR(SEARCH($AN$693,Z475)))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775" operator="containsText" id="{4A6A1986-53C4-4BC7-B6D3-84B6686F54F9}">
            <xm:f>NOT(ISERROR(SEARCH($AN$692,Z475)))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776" operator="containsText" id="{9DFBAE66-09EE-4523-B960-7B469C055F48}">
            <xm:f>NOT(ISERROR(SEARCH($AN$691,Z475)))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777" operator="containsText" id="{CB11612D-8051-4CDD-9BDA-495E7EA90D30}">
            <xm:f>NOT(ISERROR(SEARCH($AN$689,Z475)))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778" operator="containsText" id="{1620E904-099C-4808-9FE1-6377933E4B96}">
            <xm:f>NOT(ISERROR(SEARCH($AN$687,Z475)))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779" operator="containsText" id="{1913F918-1BFF-4A84-8566-BC166EDE5D9B}">
            <xm:f>NOT(ISERROR(SEARCH($AN$688,Z475)))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780" operator="containsText" id="{67BEED4D-6FAB-4979-9B18-A8C2E192D0F6}">
            <xm:f>NOT(ISERROR(SEARCH($AN$686,Z475)))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781" operator="containsText" id="{02017545-33B1-4C49-8FB1-39BB15C19323}">
            <xm:f>NOT(ISERROR(SEARCH($AN$685,Z475)))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782" operator="containsText" id="{2184EF89-5F4D-4DB3-972D-8445CE91A740}">
            <xm:f>NOT(ISERROR(SEARCH($AN$684,Z475)))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783" operator="containsText" id="{CCDAEC46-E7C9-4B8F-BEBC-DA516680AE0D}">
            <xm:f>NOT(ISERROR(SEARCH($AN$683,Z475)))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784" operator="containsText" id="{CAB4B00D-93A4-4327-A8CF-14B5F542D215}">
            <xm:f>NOT(ISERROR(SEARCH($AN$682,Z475)))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785" operator="containsText" id="{C9B0A84F-0F49-4F66-8465-3A7F2170DABC}">
            <xm:f>NOT(ISERROR(SEARCH($AN$681,Z475)))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786" operator="containsText" id="{219C6D67-34F3-491B-8F51-4319F6AA1E8C}">
            <xm:f>NOT(ISERROR(SEARCH($AN$680,Z475)))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787" operator="containsText" id="{36B2522E-8FFF-49D5-A88E-59C529C6E740}">
            <xm:f>NOT(ISERROR(SEARCH($AN$678,Z475)))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788" operator="containsText" id="{173D667D-DEB3-4A9E-B9C1-E8F7C0AA54B9}">
            <xm:f>NOT(ISERROR(SEARCH($AN$679,Z475)))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Z475:Z476</xm:sqref>
        </x14:conditionalFormatting>
        <x14:conditionalFormatting xmlns:xm="http://schemas.microsoft.com/office/excel/2006/main">
          <x14:cfRule type="containsText" priority="809" operator="containsText" id="{F9F5DBF9-6388-4FE6-AF31-09B1BEE73424}">
            <xm:f>NOT(ISERROR(SEARCH($AN$689,Z477)))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810" operator="containsText" id="{A1E1DB38-75E9-4E8D-AF71-559C76567020}">
            <xm:f>NOT(ISERROR(SEARCH($AN$687,Z477)))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811" operator="containsText" id="{B20C469C-3C0C-4525-A549-8EDCB3F18975}">
            <xm:f>NOT(ISERROR(SEARCH($AN$688,Z477)))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812" operator="containsText" id="{E9413BEC-A845-4E43-B5BA-69EFAE1DA301}">
            <xm:f>NOT(ISERROR(SEARCH($AN$686,Z477)))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13" operator="containsText" id="{C804BCE7-2180-41EA-BE0C-101371A86E6F}">
            <xm:f>NOT(ISERROR(SEARCH($AN$685,Z477)))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814" operator="containsText" id="{D4113875-2ADE-47E5-BBDE-8691EE7B3512}">
            <xm:f>NOT(ISERROR(SEARCH($AN$684,Z477)))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15" operator="containsText" id="{FCF9296C-2666-4B5A-96E8-A6C7C3E6AD75}">
            <xm:f>NOT(ISERROR(SEARCH($AN$683,Z477)))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816" operator="containsText" id="{6D81CAB3-FA05-4E7A-8AA3-5D38AB156FC6}">
            <xm:f>NOT(ISERROR(SEARCH($AN$682,Z477)))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817" operator="containsText" id="{0679F105-EB0E-4688-A274-952E115F3D26}">
            <xm:f>NOT(ISERROR(SEARCH($AN$681,Z477)))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818" operator="containsText" id="{CCF98A33-9BDB-444C-A474-25672885936E}">
            <xm:f>NOT(ISERROR(SEARCH($AN$680,Z477)))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819" operator="containsText" id="{D5D366C4-E773-47F1-868F-EE0FF15CF71B}">
            <xm:f>NOT(ISERROR(SEARCH($AN$678,Z477)))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820" operator="containsText" id="{046813D5-0D96-4738-9780-CF4FB0982BCB}">
            <xm:f>NOT(ISERROR(SEARCH($AN$679,Z477)))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821" operator="containsText" id="{A039DD34-08EE-4B6E-8439-68FE6AA609FD}">
            <xm:f>NOT(ISERROR(SEARCH($AN$690,Z477)))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822" operator="containsText" id="{2B300254-84DE-4BF9-9307-2371FB152DA0}">
            <xm:f>NOT(ISERROR(SEARCH($AN$704,Z477)))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823" operator="containsText" id="{EE6F3704-0BDC-4367-A6CA-0E855C4C7DA1}">
            <xm:f>NOT(ISERROR(SEARCH($AN$693,Z477)))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824" operator="containsText" id="{D3E76085-D172-430A-A039-5D9756E4C1FB}">
            <xm:f>NOT(ISERROR(SEARCH($AN$692,Z477)))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25" operator="containsText" id="{31EE5562-37D6-4E4E-8ACE-26AA85395A18}">
            <xm:f>NOT(ISERROR(SEARCH($AN$691,Z477)))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826" operator="containsText" id="{FBA61125-B686-4E0A-BBB8-0917CA08C2DE}">
            <xm:f>NOT(ISERROR(SEARCH($AN$689,Z477)))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827" operator="containsText" id="{16557E9C-CD7E-4C3F-A176-64B4E84F6A05}">
            <xm:f>NOT(ISERROR(SEARCH($AN$687,Z477)))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828" operator="containsText" id="{5E612E59-D6F3-4B79-944F-18FE8DA6F7C9}">
            <xm:f>NOT(ISERROR(SEARCH($AN$688,Z477)))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829" operator="containsText" id="{F0D07744-6191-46FF-9F7E-A821A0998968}">
            <xm:f>NOT(ISERROR(SEARCH($AN$686,Z477)))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30" operator="containsText" id="{DBB95D10-5A52-4DAF-9997-82B42A899807}">
            <xm:f>NOT(ISERROR(SEARCH($AN$685,Z477)))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831" operator="containsText" id="{94C2BF22-C223-477E-B1E2-1AC100B71AB9}">
            <xm:f>NOT(ISERROR(SEARCH($AN$684,Z477)))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32" operator="containsText" id="{95E295AE-F988-4935-8679-CC60499A72E0}">
            <xm:f>NOT(ISERROR(SEARCH($AN$683,Z477)))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833" operator="containsText" id="{F09DBBFF-A608-402A-96F3-4771168039F4}">
            <xm:f>NOT(ISERROR(SEARCH($AN$682,Z477)))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834" operator="containsText" id="{90B76047-9F74-45DC-AC6F-A5E4BAA6AEA0}">
            <xm:f>NOT(ISERROR(SEARCH($AN$681,Z477)))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835" operator="containsText" id="{31248C67-639F-4288-8650-2F7E7987CE33}">
            <xm:f>NOT(ISERROR(SEARCH($AN$680,Z477)))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836" operator="containsText" id="{AF687EF8-B31A-43B3-B516-9B3196ED3EAE}">
            <xm:f>NOT(ISERROR(SEARCH($AN$678,Z477)))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837" operator="containsText" id="{C9DB7862-B18A-48FF-B7E3-A98922B7BF01}">
            <xm:f>NOT(ISERROR(SEARCH($AN$679,Z477)))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Z477</xm:sqref>
        </x14:conditionalFormatting>
        <x14:conditionalFormatting xmlns:xm="http://schemas.microsoft.com/office/excel/2006/main">
          <x14:cfRule type="containsText" priority="340" operator="containsText" id="{F7006115-167D-41F6-9CC0-AD3BD1C8C7AE}">
            <xm:f>NOT(ISERROR(SEARCH($AN$687,Z570)))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41" operator="containsText" id="{49E49B0E-0589-4C97-AD62-B4BB2DD99E6C}">
            <xm:f>NOT(ISERROR(SEARCH($AN$688,Z570)))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42" operator="containsText" id="{1C39DA6F-4660-4C9A-8406-4C2E16585CAD}">
            <xm:f>NOT(ISERROR(SEARCH($AN$686,Z570)))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43" operator="containsText" id="{4884EEFD-0A7B-4E0A-95B2-204FD7DA27FD}">
            <xm:f>NOT(ISERROR(SEARCH($AN$685,Z570)))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44" operator="containsText" id="{EA89F9A6-FFE7-46B2-838C-7F53FAFA9631}">
            <xm:f>NOT(ISERROR(SEARCH($AN$684,Z570)))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45" operator="containsText" id="{B09B24BE-8FE0-447E-BE61-3E51883C42AF}">
            <xm:f>NOT(ISERROR(SEARCH($AN$683,Z570)))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46" operator="containsText" id="{8F46290A-A9C7-49F8-AE8A-080176C31602}">
            <xm:f>NOT(ISERROR(SEARCH($AN$682,Z570)))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47" operator="containsText" id="{0B85F4D3-EF84-4FFC-8679-5F136301EA70}">
            <xm:f>NOT(ISERROR(SEARCH($AN$681,Z570)))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48" operator="containsText" id="{687E3409-3E5C-44DF-BD19-08D530DAFB78}">
            <xm:f>NOT(ISERROR(SEARCH($AN$680,Z570)))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49" operator="containsText" id="{0531A1A6-0D39-4608-852B-948E241CB009}">
            <xm:f>NOT(ISERROR(SEARCH($AN$678,Z570)))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50" operator="containsText" id="{5E2FC9DA-AD41-41B4-8382-C39B2DA83866}">
            <xm:f>NOT(ISERROR(SEARCH($AN$679,Z570)))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Z570</xm:sqref>
        </x14:conditionalFormatting>
        <x14:conditionalFormatting xmlns:xm="http://schemas.microsoft.com/office/excel/2006/main">
          <x14:cfRule type="containsText" priority="467" operator="containsText" id="{64440D11-2F5D-4536-853C-BE8515CF9392}">
            <xm:f>NOT(ISERROR(SEARCH($AN$690,Z571)))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68" operator="containsText" id="{299A838E-1696-4C28-98F0-CE28A26744EB}">
            <xm:f>NOT(ISERROR(SEARCH($AN$704,Z571)))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69" operator="containsText" id="{E68395B2-9BEC-48C2-8CA1-E60ED6D29696}">
            <xm:f>NOT(ISERROR(SEARCH($AN$693,Z571)))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70" operator="containsText" id="{509A8829-AA0C-4824-BC42-FDAC549E7030}">
            <xm:f>NOT(ISERROR(SEARCH($AN$692,Z571)))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71" operator="containsText" id="{0DDFDFC9-7C1B-46FC-90C6-52D46E7E0E17}">
            <xm:f>NOT(ISERROR(SEARCH($AN$691,Z571)))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72" operator="containsText" id="{C2F8489A-74E4-45C7-8FB0-B2AC966E219C}">
            <xm:f>NOT(ISERROR(SEARCH($AN$689,Z571)))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73" operator="containsText" id="{E80D7D8A-FE90-4D19-9C79-9CB26B292E8E}">
            <xm:f>NOT(ISERROR(SEARCH($AN$687,Z571)))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74" operator="containsText" id="{43BEFC54-6FA7-42AE-BDAD-A931F372E39A}">
            <xm:f>NOT(ISERROR(SEARCH($AN$688,Z571)))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75" operator="containsText" id="{87237487-EF6A-4403-98B6-D522BF21BA0D}">
            <xm:f>NOT(ISERROR(SEARCH($AN$686,Z571)))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76" operator="containsText" id="{9941CA15-98FD-41FA-A854-4C67A04D89EE}">
            <xm:f>NOT(ISERROR(SEARCH($AN$685,Z571)))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77" operator="containsText" id="{2AFEAE7A-179D-4433-9CE0-2B8DBA90DABD}">
            <xm:f>NOT(ISERROR(SEARCH($AN$684,Z571)))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78" operator="containsText" id="{1ECAE3D2-8183-42EA-9919-BBFE0438B2ED}">
            <xm:f>NOT(ISERROR(SEARCH($AN$683,Z571)))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79" operator="containsText" id="{46F90C1A-376B-45C1-9F2A-A9278C13A0CB}">
            <xm:f>NOT(ISERROR(SEARCH($AN$682,Z571)))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80" operator="containsText" id="{2393E367-6544-483D-8C0F-6ED2A5885CE6}">
            <xm:f>NOT(ISERROR(SEARCH($AN$681,Z571)))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81" operator="containsText" id="{6965881E-0BA9-42D6-9265-88D7B7D8E89E}">
            <xm:f>NOT(ISERROR(SEARCH($AN$680,Z571)))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82" operator="containsText" id="{97957A85-7EC1-44E8-86B2-F6C64DF90B7F}">
            <xm:f>NOT(ISERROR(SEARCH($AN$678,Z571)))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83" operator="containsText" id="{8D3870E7-F20F-4DA3-BBC1-86DEC8560A3B}">
            <xm:f>NOT(ISERROR(SEARCH($AN$679,Z571)))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Z571:Z572</xm:sqref>
        </x14:conditionalFormatting>
        <x14:conditionalFormatting xmlns:xm="http://schemas.microsoft.com/office/excel/2006/main">
          <x14:cfRule type="containsText" priority="504" operator="containsText" id="{D5CDDB30-566A-43C7-A42B-7A653C855FCA}">
            <xm:f>NOT(ISERROR(SEARCH($AN$689,Z573)))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05" operator="containsText" id="{1D726D76-0CD6-4B98-81DE-898C206E3007}">
            <xm:f>NOT(ISERROR(SEARCH($AN$687,Z573)))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06" operator="containsText" id="{787EAF6E-E0D9-4D09-89A9-9DFFC2E9CB37}">
            <xm:f>NOT(ISERROR(SEARCH($AN$688,Z573)))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07" operator="containsText" id="{ACCC506C-AA7C-410E-BAFF-D62290936098}">
            <xm:f>NOT(ISERROR(SEARCH($AN$686,Z573)))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08" operator="containsText" id="{0A37F831-EF08-4FDE-98FA-0AE7C5C10E82}">
            <xm:f>NOT(ISERROR(SEARCH($AN$685,Z573)))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09" operator="containsText" id="{6495FADA-A814-4F39-8E5B-B174ED841D57}">
            <xm:f>NOT(ISERROR(SEARCH($AN$684,Z573)))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10" operator="containsText" id="{BAC6B096-21C8-4B49-B54B-9627D2112BBE}">
            <xm:f>NOT(ISERROR(SEARCH($AN$683,Z573)))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11" operator="containsText" id="{CF692660-7888-49F3-ABA0-C7977B8AA49F}">
            <xm:f>NOT(ISERROR(SEARCH($AN$682,Z573)))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12" operator="containsText" id="{BAABF98C-24A5-49AB-8CBB-1231CDBF9256}">
            <xm:f>NOT(ISERROR(SEARCH($AN$681,Z573)))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13" operator="containsText" id="{AD8F5BB7-6FA1-4564-AB5F-328699452EA7}">
            <xm:f>NOT(ISERROR(SEARCH($AN$680,Z573)))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14" operator="containsText" id="{76C453A8-FA77-484E-9F9C-63DA2E073CE4}">
            <xm:f>NOT(ISERROR(SEARCH($AN$678,Z573)))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15" operator="containsText" id="{345E1783-61DD-49B1-9223-5668676CEC03}">
            <xm:f>NOT(ISERROR(SEARCH($AN$679,Z573)))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16" operator="containsText" id="{C26995E3-5575-485B-BBEC-32A2A160D29C}">
            <xm:f>NOT(ISERROR(SEARCH($AN$690,Z573)))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17" operator="containsText" id="{19C7B50A-0005-4CF2-8FB5-2E00FF78915E}">
            <xm:f>NOT(ISERROR(SEARCH($AN$704,Z573)))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18" operator="containsText" id="{7090D4BD-B72E-40B6-AAA8-5BA9CD7A483D}">
            <xm:f>NOT(ISERROR(SEARCH($AN$693,Z573)))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19" operator="containsText" id="{F2CD0151-9DB1-427A-BDDD-DBE33F92739C}">
            <xm:f>NOT(ISERROR(SEARCH($AN$692,Z573)))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20" operator="containsText" id="{58F0684E-C268-4C3B-94ED-5575613BBAA1}">
            <xm:f>NOT(ISERROR(SEARCH($AN$691,Z573)))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21" operator="containsText" id="{3FB5AAEE-BEEC-4AFF-8DDE-1A721763A9F9}">
            <xm:f>NOT(ISERROR(SEARCH($AN$689,Z573)))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22" operator="containsText" id="{128A6BFA-FFD0-4239-BC3F-A46B74C68D4B}">
            <xm:f>NOT(ISERROR(SEARCH($AN$687,Z573)))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23" operator="containsText" id="{565A65AE-9CD5-4FBB-9685-25FEFB245347}">
            <xm:f>NOT(ISERROR(SEARCH($AN$688,Z573)))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24" operator="containsText" id="{1751DB2F-3FAA-48A1-9A4B-1B2FB7FF66E2}">
            <xm:f>NOT(ISERROR(SEARCH($AN$686,Z573)))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25" operator="containsText" id="{F8138CDA-A886-4D75-A2F6-B9EEA9DA9DF8}">
            <xm:f>NOT(ISERROR(SEARCH($AN$685,Z573)))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26" operator="containsText" id="{48B06C0D-85C3-468A-810A-D8032D9D169B}">
            <xm:f>NOT(ISERROR(SEARCH($AN$684,Z573)))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27" operator="containsText" id="{4F714E47-376D-425C-A240-ACC3BF1AEE47}">
            <xm:f>NOT(ISERROR(SEARCH($AN$683,Z573)))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28" operator="containsText" id="{B395902F-C18F-4D3A-8A3B-767256A0B6DD}">
            <xm:f>NOT(ISERROR(SEARCH($AN$682,Z573)))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29" operator="containsText" id="{644A2639-EACD-44BB-A7EE-BB7E7183D705}">
            <xm:f>NOT(ISERROR(SEARCH($AN$681,Z573)))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30" operator="containsText" id="{2A552066-7F50-4C7F-8497-CC13B5B4BE5B}">
            <xm:f>NOT(ISERROR(SEARCH($AN$680,Z573)))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31" operator="containsText" id="{F9385F3E-523E-4204-A43A-FEF54E37AE9A}">
            <xm:f>NOT(ISERROR(SEARCH($AN$678,Z573)))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32" operator="containsText" id="{994C43B5-0D4E-4A0E-B3BD-164CEF71BA76}">
            <xm:f>NOT(ISERROR(SEARCH($AN$679,Z573)))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Z573</xm:sqref>
        </x14:conditionalFormatting>
        <x14:conditionalFormatting xmlns:xm="http://schemas.microsoft.com/office/excel/2006/main">
          <x14:cfRule type="containsText" priority="35" operator="containsText" id="{EE2E8820-EF04-421F-AFD7-7897E728AAF7}">
            <xm:f>NOT(ISERROR(SEARCH($AN$687,Z666)))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6" operator="containsText" id="{9800898C-CE36-41C8-8B17-D36FB7FDA5CD}">
            <xm:f>NOT(ISERROR(SEARCH($AN$688,Z666)))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7" operator="containsText" id="{5263C737-8CA4-4DA4-919F-CE3A640C8640}">
            <xm:f>NOT(ISERROR(SEARCH($AN$686,Z666)))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8" operator="containsText" id="{B1487E80-5E06-43BF-A5FA-A21402D4FEB4}">
            <xm:f>NOT(ISERROR(SEARCH($AN$685,Z666)))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9" operator="containsText" id="{7E388F72-334F-4228-B0A9-F9D5FAA273C7}">
            <xm:f>NOT(ISERROR(SEARCH($AN$684,Z666)))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0" operator="containsText" id="{012E75DB-C86F-4FF3-9E3E-875857302D3C}">
            <xm:f>NOT(ISERROR(SEARCH($AN$683,Z666)))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1" operator="containsText" id="{7F8DC6ED-BEF6-4577-912F-C8437DD1CE13}">
            <xm:f>NOT(ISERROR(SEARCH($AN$682,Z666)))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2" operator="containsText" id="{3D32B964-38C4-4862-91A1-BDECB1A09DB1}">
            <xm:f>NOT(ISERROR(SEARCH($AN$681,Z666)))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3" operator="containsText" id="{300B7E02-7C1E-4955-B536-C3A460EC384E}">
            <xm:f>NOT(ISERROR(SEARCH($AN$680,Z666)))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4" operator="containsText" id="{517B1ECF-1DF5-4F35-B5F2-98E91389FC06}">
            <xm:f>NOT(ISERROR(SEARCH($AN$678,Z666)))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5" operator="containsText" id="{C8785FF7-5FB9-49CF-A498-43A3A0932925}">
            <xm:f>NOT(ISERROR(SEARCH($AN$679,Z666)))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Z666</xm:sqref>
        </x14:conditionalFormatting>
        <x14:conditionalFormatting xmlns:xm="http://schemas.microsoft.com/office/excel/2006/main">
          <x14:cfRule type="containsText" priority="162" operator="containsText" id="{AD39BCF0-4C80-4B2B-8B0B-EE06FAE4595A}">
            <xm:f>NOT(ISERROR(SEARCH($AN$690,Z667)))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63" operator="containsText" id="{DF3A0F6D-AF18-4127-B983-08BEB9A1D053}">
            <xm:f>NOT(ISERROR(SEARCH($AN$704,Z667)))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64" operator="containsText" id="{0F1D227B-63C4-41FA-B08B-3FABFD9ED555}">
            <xm:f>NOT(ISERROR(SEARCH($AN$693,Z667)))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65" operator="containsText" id="{79FEB07E-8AE2-4885-B483-534E3230FD73}">
            <xm:f>NOT(ISERROR(SEARCH($AN$692,Z667)))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66" operator="containsText" id="{01D9F518-1129-4DA5-AF4A-0D41C3E66818}">
            <xm:f>NOT(ISERROR(SEARCH($AN$691,Z667)))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67" operator="containsText" id="{667A636F-34DC-4F4F-9CC8-C803A22E0C04}">
            <xm:f>NOT(ISERROR(SEARCH($AN$689,Z667)))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68" operator="containsText" id="{364BFB2F-6C3C-46D2-B687-1AA51FB73693}">
            <xm:f>NOT(ISERROR(SEARCH($AN$687,Z667)))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69" operator="containsText" id="{2272E73F-99E8-475C-82B4-4ABCCC12C87A}">
            <xm:f>NOT(ISERROR(SEARCH($AN$688,Z667)))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70" operator="containsText" id="{9739402F-04B4-4AF4-A090-60572CDF71D4}">
            <xm:f>NOT(ISERROR(SEARCH($AN$686,Z667)))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71" operator="containsText" id="{DE22367A-FCA6-47A6-9DE7-7988EEE9FD69}">
            <xm:f>NOT(ISERROR(SEARCH($AN$685,Z667)))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72" operator="containsText" id="{D25B8636-F8C5-476E-9776-8C5323772278}">
            <xm:f>NOT(ISERROR(SEARCH($AN$684,Z667)))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73" operator="containsText" id="{D4030DA4-924D-46F5-97D2-6796E5540B34}">
            <xm:f>NOT(ISERROR(SEARCH($AN$683,Z667)))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74" operator="containsText" id="{4425E4B1-EDF4-4979-9BBD-F2A976B2805E}">
            <xm:f>NOT(ISERROR(SEARCH($AN$682,Z667)))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75" operator="containsText" id="{E93927D7-1888-479A-88C1-5C42BD6BBCD2}">
            <xm:f>NOT(ISERROR(SEARCH($AN$681,Z667)))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76" operator="containsText" id="{7F5016B2-A031-425A-B669-4092A971D8E1}">
            <xm:f>NOT(ISERROR(SEARCH($AN$680,Z667)))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77" operator="containsText" id="{AC9057B4-D568-4559-B663-1FB0EC6D85FE}">
            <xm:f>NOT(ISERROR(SEARCH($AN$678,Z667)))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78" operator="containsText" id="{E8DF7B2B-F752-4E01-895A-704A3C074DD6}">
            <xm:f>NOT(ISERROR(SEARCH($AN$679,Z667)))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Z667:Z668</xm:sqref>
        </x14:conditionalFormatting>
        <x14:conditionalFormatting xmlns:xm="http://schemas.microsoft.com/office/excel/2006/main">
          <x14:cfRule type="containsText" priority="199" operator="containsText" id="{BDFB6156-DF90-4BB6-ACB2-CF26C48B15E0}">
            <xm:f>NOT(ISERROR(SEARCH($AN$689,Z669)))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00" operator="containsText" id="{17F82D79-1FE5-4BF5-B233-C9E30980053D}">
            <xm:f>NOT(ISERROR(SEARCH($AN$687,Z669)))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01" operator="containsText" id="{553B2FD2-C5E0-49F7-9E97-AE86866CF06B}">
            <xm:f>NOT(ISERROR(SEARCH($AN$688,Z669)))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02" operator="containsText" id="{C3585A2F-6208-406C-BCCA-8CCB4AD092C8}">
            <xm:f>NOT(ISERROR(SEARCH($AN$686,Z669)))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03" operator="containsText" id="{3511817B-8B59-49A8-A720-1B587B7FE5CD}">
            <xm:f>NOT(ISERROR(SEARCH($AN$685,Z669)))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04" operator="containsText" id="{FAD25F7D-1CB5-4F27-9369-B5462572E7B3}">
            <xm:f>NOT(ISERROR(SEARCH($AN$684,Z669)))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05" operator="containsText" id="{7165724E-AEA5-4DC0-8FD6-1E7D21D73332}">
            <xm:f>NOT(ISERROR(SEARCH($AN$683,Z669)))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06" operator="containsText" id="{054B725C-86EF-45FE-B069-8C470940AC28}">
            <xm:f>NOT(ISERROR(SEARCH($AN$682,Z669)))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07" operator="containsText" id="{13B7193F-BD9E-40DA-9F0A-5B0047628C80}">
            <xm:f>NOT(ISERROR(SEARCH($AN$681,Z669)))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08" operator="containsText" id="{C9A0A166-9DC2-420C-8366-2688D46D9475}">
            <xm:f>NOT(ISERROR(SEARCH($AN$680,Z669)))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09" operator="containsText" id="{1423B730-6804-4C47-AF27-75BBD1A1E23A}">
            <xm:f>NOT(ISERROR(SEARCH($AN$678,Z669)))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0" operator="containsText" id="{CCBF1F2D-6AEB-4908-A128-2C0B4050C08B}">
            <xm:f>NOT(ISERROR(SEARCH($AN$679,Z669)))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11" operator="containsText" id="{1779EACD-30EB-40A0-9223-4368566D9D20}">
            <xm:f>NOT(ISERROR(SEARCH($AN$690,Z669)))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12" operator="containsText" id="{597988AD-E48C-4839-B0D7-D384B6AC8E34}">
            <xm:f>NOT(ISERROR(SEARCH($AN$704,Z669)))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13" operator="containsText" id="{821C04C9-7FFB-4787-B3BC-C19D30A151A3}">
            <xm:f>NOT(ISERROR(SEARCH($AN$693,Z669)))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14" operator="containsText" id="{E68F3EBA-D09E-4A03-8800-40DC400C546A}">
            <xm:f>NOT(ISERROR(SEARCH($AN$692,Z669)))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5" operator="containsText" id="{78D3B393-0DC6-4F89-AFB0-9159CF286635}">
            <xm:f>NOT(ISERROR(SEARCH($AN$691,Z669)))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16" operator="containsText" id="{42E9126D-D132-449A-9443-811E65D4A64A}">
            <xm:f>NOT(ISERROR(SEARCH($AN$689,Z669)))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17" operator="containsText" id="{361FF771-BB72-4A55-9383-C2621C526E62}">
            <xm:f>NOT(ISERROR(SEARCH($AN$687,Z669)))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8" operator="containsText" id="{516353A6-900D-491D-92BE-0B5A6DE7B90E}">
            <xm:f>NOT(ISERROR(SEARCH($AN$688,Z669)))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9" operator="containsText" id="{763A2E25-2014-47E4-A412-FE4B9FFBB3A5}">
            <xm:f>NOT(ISERROR(SEARCH($AN$686,Z669)))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0" operator="containsText" id="{06801378-B1A2-4BC9-8051-465199E901BF}">
            <xm:f>NOT(ISERROR(SEARCH($AN$685,Z669)))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1" operator="containsText" id="{0D0C11DD-F152-43B6-8466-084C9EE591E3}">
            <xm:f>NOT(ISERROR(SEARCH($AN$684,Z669)))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2" operator="containsText" id="{F1B0C1A0-4C92-4746-88F2-170D573C23C9}">
            <xm:f>NOT(ISERROR(SEARCH($AN$683,Z669)))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3" operator="containsText" id="{FD3F668A-EDC9-41F5-B3B0-5DECEF150FA5}">
            <xm:f>NOT(ISERROR(SEARCH($AN$682,Z669)))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4" operator="containsText" id="{8E43FE93-CAE5-4C32-91B1-1830CEFB8C5A}">
            <xm:f>NOT(ISERROR(SEARCH($AN$681,Z669)))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5" operator="containsText" id="{2775E0F6-2222-403C-988D-EA86E4706EBA}">
            <xm:f>NOT(ISERROR(SEARCH($AN$680,Z669)))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6" operator="containsText" id="{4F835554-BBA6-43C0-AABC-0F8685698CBF}">
            <xm:f>NOT(ISERROR(SEARCH($AN$678,Z669)))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7" operator="containsText" id="{4608F7F0-849B-426A-B53B-93AC0465C36D}">
            <xm:f>NOT(ISERROR(SEARCH($AN$679,Z669)))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Z669</xm:sqref>
        </x14:conditionalFormatting>
        <x14:conditionalFormatting xmlns:xm="http://schemas.microsoft.com/office/excel/2006/main">
          <x14:cfRule type="containsText" priority="2170" operator="containsText" id="{F84D9F0E-EACE-4C96-BEF8-1F39307DB324}">
            <xm:f>NOT(ISERROR(SEARCH($AN$687,Z762)))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71" operator="containsText" id="{5F98E40B-A14D-41BD-8638-DEE45F975FC0}">
            <xm:f>NOT(ISERROR(SEARCH($AN$688,Z762)))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72" operator="containsText" id="{9E93E296-D6FB-478B-8626-4DB6D588423A}">
            <xm:f>NOT(ISERROR(SEARCH($AN$686,Z762)))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73" operator="containsText" id="{135B7B8B-4878-41D6-B9F2-40AD1F7CEC69}">
            <xm:f>NOT(ISERROR(SEARCH($AN$685,Z762)))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74" operator="containsText" id="{ADE5432C-EA2A-4171-8D59-386AD1ED0196}">
            <xm:f>NOT(ISERROR(SEARCH($AN$684,Z762)))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75" operator="containsText" id="{DD679C1D-E2DC-457F-B56D-12FE5EA83C02}">
            <xm:f>NOT(ISERROR(SEARCH($AN$683,Z762)))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76" operator="containsText" id="{D839A11F-BAD0-4800-933E-3ABD8604007C}">
            <xm:f>NOT(ISERROR(SEARCH($AN$682,Z762)))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177" operator="containsText" id="{E764A62A-4BCE-4D64-9688-C29808D940CD}">
            <xm:f>NOT(ISERROR(SEARCH($AN$681,Z762)))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78" operator="containsText" id="{09132150-8F56-46C1-B479-AFAB73609235}">
            <xm:f>NOT(ISERROR(SEARCH($AN$680,Z762)))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79" operator="containsText" id="{E35756BA-720A-4645-9F8F-4F46CBF2BDF8}">
            <xm:f>NOT(ISERROR(SEARCH($AN$678,Z762)))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80" operator="containsText" id="{E0037BB4-CFCB-46AC-825B-599CC58497FA}">
            <xm:f>NOT(ISERROR(SEARCH($AN$679,Z762)))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Z762</xm:sqref>
        </x14:conditionalFormatting>
        <x14:conditionalFormatting xmlns:xm="http://schemas.microsoft.com/office/excel/2006/main">
          <x14:cfRule type="containsText" priority="2324" operator="containsText" id="{B16B9ACA-816C-4C5C-987E-DDE525CC1340}">
            <xm:f>NOT(ISERROR(SEARCH($AN$690,Z763)))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325" operator="containsText" id="{02D5AFFF-102D-43D9-ADA1-526D3A002CCB}">
            <xm:f>NOT(ISERROR(SEARCH($AN$704,Z763)))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326" operator="containsText" id="{B81D57F7-F6BC-4CA1-B60E-D9C880971450}">
            <xm:f>NOT(ISERROR(SEARCH($AN$693,Z763)))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327" operator="containsText" id="{B3A3D242-B66B-494B-A3EE-633948B62B1A}">
            <xm:f>NOT(ISERROR(SEARCH($AN$692,Z763)))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328" operator="containsText" id="{B11145D9-3F2A-4047-8ECC-02838F6D0610}">
            <xm:f>NOT(ISERROR(SEARCH($AN$691,Z763)))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329" operator="containsText" id="{3219F6EE-B610-49C8-B025-8F1A8FF2AB0C}">
            <xm:f>NOT(ISERROR(SEARCH($AN$689,Z763)))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30" operator="containsText" id="{410E8550-2D3E-4019-9297-06FDE22F16BE}">
            <xm:f>NOT(ISERROR(SEARCH($AN$687,Z763)))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31" operator="containsText" id="{3E2F5173-5D4A-48F3-9FF0-5512FA176EE5}">
            <xm:f>NOT(ISERROR(SEARCH($AN$688,Z763)))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32" operator="containsText" id="{909BEC56-E5E8-49C2-B8D9-415E377222F2}">
            <xm:f>NOT(ISERROR(SEARCH($AN$686,Z763)))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33" operator="containsText" id="{E20ED926-9E2F-4BD2-9A21-91329BC00C64}">
            <xm:f>NOT(ISERROR(SEARCH($AN$685,Z763)))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34" operator="containsText" id="{FEF89F91-A178-450C-856C-D706B3D73FF8}">
            <xm:f>NOT(ISERROR(SEARCH($AN$684,Z763)))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35" operator="containsText" id="{65284785-16B3-4BB1-9650-B0611E648001}">
            <xm:f>NOT(ISERROR(SEARCH($AN$683,Z763)))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36" operator="containsText" id="{03FDEF0E-409D-4E70-8CA8-41AE245C88A8}">
            <xm:f>NOT(ISERROR(SEARCH($AN$682,Z763)))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37" operator="containsText" id="{1E6C82F8-2B8B-4AEA-9AA5-D2BFECAA91F4}">
            <xm:f>NOT(ISERROR(SEARCH($AN$681,Z763)))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38" operator="containsText" id="{F0DF8439-3CE0-4069-81B3-588FDBA80BD3}">
            <xm:f>NOT(ISERROR(SEARCH($AN$680,Z763)))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39" operator="containsText" id="{E6867AA3-2ED3-4751-9D4B-73FCC7F0A71A}">
            <xm:f>NOT(ISERROR(SEARCH($AN$678,Z763)))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40" operator="containsText" id="{615FB1BA-CB87-46C8-8D15-01DF83AB76D4}">
            <xm:f>NOT(ISERROR(SEARCH($AN$679,Z763)))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Z763:Z764</xm:sqref>
        </x14:conditionalFormatting>
        <x14:conditionalFormatting xmlns:xm="http://schemas.microsoft.com/office/excel/2006/main">
          <x14:cfRule type="containsText" priority="6136" operator="containsText" id="{0DA237F1-7416-4B6E-B459-277838047EAB}">
            <xm:f>NOT(ISERROR(SEARCH($AN$689,Z765)))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6137" operator="containsText" id="{DC3D5199-978B-45D1-A46E-8A79E7D86AF2}">
            <xm:f>NOT(ISERROR(SEARCH($AN$687,Z765)))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6138" operator="containsText" id="{EFB9AC64-3FB7-4267-81E1-95C89F269AE0}">
            <xm:f>NOT(ISERROR(SEARCH($AN$688,Z765)))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6148" operator="containsText" id="{9E978083-8A0D-45AA-B1CE-D18E06041315}">
            <xm:f>NOT(ISERROR(SEARCH($AN$686,Z765)))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149" operator="containsText" id="{3D9F5B04-60BE-48F9-B004-0BDE4D82167E}">
            <xm:f>NOT(ISERROR(SEARCH($AN$685,Z765)))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6150" operator="containsText" id="{AAED5D67-DF2E-44DA-B17D-19DC3B36AA8C}">
            <xm:f>NOT(ISERROR(SEARCH($AN$684,Z765)))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151" operator="containsText" id="{5E109283-71D5-4529-9B76-E9EE8FFFB96B}">
            <xm:f>NOT(ISERROR(SEARCH($AN$683,Z765)))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6152" operator="containsText" id="{91BDC3C6-E5B0-477D-999B-2BBB423B08A8}">
            <xm:f>NOT(ISERROR(SEARCH($AN$682,Z765)))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6153" operator="containsText" id="{C6B2C3CD-5789-4346-AD36-FC259E2452A4}">
            <xm:f>NOT(ISERROR(SEARCH($AN$681,Z765)))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6154" operator="containsText" id="{E6228D60-B573-4376-989A-7A2ADE3CF730}">
            <xm:f>NOT(ISERROR(SEARCH($AN$680,Z765)))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6155" operator="containsText" id="{44058F46-4761-444C-9440-EC84442BE8DD}">
            <xm:f>NOT(ISERROR(SEARCH($AN$678,Z765)))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6156" operator="containsText" id="{F98BE20E-D9E4-4950-A465-AA22A3ED68AF}">
            <xm:f>NOT(ISERROR(SEARCH($AN$679,Z765)))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157" operator="containsText" id="{606F948E-E01F-4462-91EA-E6F268100EBC}">
            <xm:f>NOT(ISERROR(SEARCH($AN$690,Z765)))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6158" operator="containsText" id="{8B9DA782-EB14-44FE-8C1D-33F85529C4CB}">
            <xm:f>NOT(ISERROR(SEARCH($AN$704,Z765)))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6159" operator="containsText" id="{CB97A9E3-10EB-4DD5-841C-9367FAA01A09}">
            <xm:f>NOT(ISERROR(SEARCH($AN$693,Z765)))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6160" operator="containsText" id="{2F1D5097-D85D-4E17-9B30-244A11327603}">
            <xm:f>NOT(ISERROR(SEARCH($AN$692,Z765)))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6161" operator="containsText" id="{18FF5BB1-5D01-42D8-9ACA-264D80B6C042}">
            <xm:f>NOT(ISERROR(SEARCH($AN$691,Z765)))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6162" operator="containsText" id="{197D7CD4-FD09-453B-9CF8-12E44B327E58}">
            <xm:f>NOT(ISERROR(SEARCH($AN$689,Z765)))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6163" operator="containsText" id="{5DAF1F10-C31B-4BE1-B790-AD4DAEB81FD8}">
            <xm:f>NOT(ISERROR(SEARCH($AN$687,Z765)))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6164" operator="containsText" id="{DC86296F-2E69-409E-BB7B-7BAC28A75433}">
            <xm:f>NOT(ISERROR(SEARCH($AN$688,Z765)))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6165" operator="containsText" id="{3DA0EF69-4658-4CC9-B1CC-3ED95B470B5B}">
            <xm:f>NOT(ISERROR(SEARCH($AN$686,Z765)))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166" operator="containsText" id="{49A11588-FEC1-4386-B426-392676A57757}">
            <xm:f>NOT(ISERROR(SEARCH($AN$685,Z765)))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6167" operator="containsText" id="{0C700BB2-447E-4FE7-8196-2B2821413E12}">
            <xm:f>NOT(ISERROR(SEARCH($AN$684,Z765)))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168" operator="containsText" id="{DB66B69F-4350-492D-A8C2-560EC449EBC3}">
            <xm:f>NOT(ISERROR(SEARCH($AN$683,Z765)))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6169" operator="containsText" id="{C87444BD-1E42-443F-8B88-B3D3568EFECA}">
            <xm:f>NOT(ISERROR(SEARCH($AN$682,Z765)))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6170" operator="containsText" id="{2C32144E-934C-43F2-9E05-1E0B370BD0D3}">
            <xm:f>NOT(ISERROR(SEARCH($AN$681,Z765)))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6171" operator="containsText" id="{29C611EB-735E-437F-9FAE-E85776EF1D60}">
            <xm:f>NOT(ISERROR(SEARCH($AN$680,Z765)))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6172" operator="containsText" id="{FA481C7B-BCBE-478C-BA3D-7FCC4C5B4481}">
            <xm:f>NOT(ISERROR(SEARCH($AN$678,Z765)))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6173" operator="containsText" id="{8F5AB8F3-AE27-456B-937A-2783297D9B44}">
            <xm:f>NOT(ISERROR(SEARCH($AN$679,Z765)))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Z765</xm:sqref>
        </x14:conditionalFormatting>
        <x14:conditionalFormatting xmlns:xm="http://schemas.microsoft.com/office/excel/2006/main">
          <x14:cfRule type="containsText" priority="2125" operator="containsText" id="{8011845F-920D-4AF6-8B06-1AFFFF0A68AA}">
            <xm:f>NOT(ISERROR(SEARCH($AN$687,AA89)))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26" operator="containsText" id="{F1A89DE4-AB9B-423E-9E94-DB00B0D5FD12}">
            <xm:f>NOT(ISERROR(SEARCH($AN$688,AA89)))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27" operator="containsText" id="{6A9874A1-BE53-4D9F-88F2-26D0193FA076}">
            <xm:f>NOT(ISERROR(SEARCH($AN$686,AA89)))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28" operator="containsText" id="{47A0CA4C-2318-4F66-BA30-760D4D1F84DC}">
            <xm:f>NOT(ISERROR(SEARCH($AN$685,AA89)))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29" operator="containsText" id="{C0638076-F8E1-4106-90BE-E63C7F488650}">
            <xm:f>NOT(ISERROR(SEARCH($AN$684,AA89)))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30" operator="containsText" id="{DF14C14F-B617-448D-8983-7A8F2D6E8BA7}">
            <xm:f>NOT(ISERROR(SEARCH($AN$683,AA89)))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31" operator="containsText" id="{FCC98987-A42B-4E5C-953D-C4E7E253E771}">
            <xm:f>NOT(ISERROR(SEARCH($AN$682,AA89)))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132" operator="containsText" id="{CD6ADAAA-84DB-4787-90B2-79BCE77E3D01}">
            <xm:f>NOT(ISERROR(SEARCH($AN$681,AA89)))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33" operator="containsText" id="{BBC4EA0C-27D2-4F82-AC1A-6B84B5593CE9}">
            <xm:f>NOT(ISERROR(SEARCH($AN$680,AA89)))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34" operator="containsText" id="{D09EC2DE-1DFC-4155-A4DF-62D0C63B03D5}">
            <xm:f>NOT(ISERROR(SEARCH($AN$678,AA89)))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35" operator="containsText" id="{F27433DE-33AF-40C0-B725-A26CFDE61360}">
            <xm:f>NOT(ISERROR(SEARCH($AN$679,AA89)))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AA89</xm:sqref>
        </x14:conditionalFormatting>
        <x14:conditionalFormatting xmlns:xm="http://schemas.microsoft.com/office/excel/2006/main">
          <x14:cfRule type="containsText" priority="2097" operator="containsText" id="{1356038A-A91B-468C-8CE0-A45B8A046263}">
            <xm:f>NOT(ISERROR(SEARCH($AN$690,AA89)))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098" operator="containsText" id="{BA69CEEF-CAAE-4530-8991-AC78CAB4D72A}">
            <xm:f>NOT(ISERROR(SEARCH($AN$704,AA89)))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099" operator="containsText" id="{F43A40D0-3D68-4CB8-BF90-0D638C81703D}">
            <xm:f>NOT(ISERROR(SEARCH($AN$693,AA89)))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100" operator="containsText" id="{97E432E8-BBA7-4F22-AB6F-8A060AA465FB}">
            <xm:f>NOT(ISERROR(SEARCH($AN$692,AA89)))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01" operator="containsText" id="{A7CDB7F3-A128-4672-B324-52EF884886DA}">
            <xm:f>NOT(ISERROR(SEARCH($AN$691,AA89)))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102" operator="containsText" id="{0E450B22-6D5E-4C75-951A-2B7D887159B4}">
            <xm:f>NOT(ISERROR(SEARCH($AN$689,AA89)))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AA89:AA93</xm:sqref>
        </x14:conditionalFormatting>
        <x14:conditionalFormatting xmlns:xm="http://schemas.microsoft.com/office/excel/2006/main">
          <x14:cfRule type="containsText" priority="2113" operator="containsText" id="{5F444D4B-5DD7-49EB-8A6D-13A18A426959}">
            <xm:f>NOT(ISERROR(SEARCH($AN$679,AA90)))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AA90:AA91</xm:sqref>
        </x14:conditionalFormatting>
        <x14:conditionalFormatting xmlns:xm="http://schemas.microsoft.com/office/excel/2006/main">
          <x14:cfRule type="containsText" priority="2103" operator="containsText" id="{4EDD9510-4419-4FC0-BFD5-8638FE48DB80}">
            <xm:f>NOT(ISERROR(SEARCH($AN$687,AA90)))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04" operator="containsText" id="{7D50A9F6-7356-4337-ACD8-F073A6ACA7F6}">
            <xm:f>NOT(ISERROR(SEARCH($AN$688,AA90)))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05" operator="containsText" id="{7C62F1C5-72BF-48F5-9FFA-A71F53F29550}">
            <xm:f>NOT(ISERROR(SEARCH($AN$686,AA90)))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06" operator="containsText" id="{5E8B4C3B-1AF3-4F64-9181-0A237BA7F804}">
            <xm:f>NOT(ISERROR(SEARCH($AN$685,AA90)))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07" operator="containsText" id="{59464650-27FE-46F4-94B7-CB5A40EC7276}">
            <xm:f>NOT(ISERROR(SEARCH($AN$684,AA90)))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08" operator="containsText" id="{EA2DAE7C-E595-4622-92AF-FCDC17DD1EEA}">
            <xm:f>NOT(ISERROR(SEARCH($AN$683,AA90)))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09" operator="containsText" id="{FAF09648-2B93-45BB-9E03-6254A2F5394E}">
            <xm:f>NOT(ISERROR(SEARCH($AN$682,AA90)))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110" operator="containsText" id="{553AA6A5-2C91-4C8C-9A78-92E7FD650421}">
            <xm:f>NOT(ISERROR(SEARCH($AN$681,AA90)))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11" operator="containsText" id="{5C882599-F11A-4134-B780-133F9D163859}">
            <xm:f>NOT(ISERROR(SEARCH($AN$680,AA90)))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12" operator="containsText" id="{72CC73A5-0044-4022-8B86-3D54AA3B68C4}">
            <xm:f>NOT(ISERROR(SEARCH($AN$678,AA90)))</xm:f>
            <xm:f>$AN$678</xm:f>
            <x14:dxf>
              <fill>
                <patternFill>
                  <bgColor theme="9"/>
                </patternFill>
              </fill>
            </x14:dxf>
          </x14:cfRule>
          <xm:sqref>AA90:AA92</xm:sqref>
        </x14:conditionalFormatting>
        <x14:conditionalFormatting xmlns:xm="http://schemas.microsoft.com/office/excel/2006/main">
          <x14:cfRule type="containsText" priority="2124" operator="containsText" id="{6D4AA924-4285-4EF8-B87E-F662B6BC0010}">
            <xm:f>NOT(ISERROR(SEARCH($AN$679,AA92)))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AA92:AA93</xm:sqref>
        </x14:conditionalFormatting>
        <x14:conditionalFormatting xmlns:xm="http://schemas.microsoft.com/office/excel/2006/main">
          <x14:cfRule type="containsText" priority="2114" operator="containsText" id="{2B718BDE-3FEA-488B-9B9C-6ADAEAE31EE9}">
            <xm:f>NOT(ISERROR(SEARCH($AN$687,AA93)))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15" operator="containsText" id="{3CFE695F-DC3E-47B3-8870-462307DD8E97}">
            <xm:f>NOT(ISERROR(SEARCH($AN$688,AA93)))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16" operator="containsText" id="{71B25471-1257-4317-A17E-5C15E7A9C7E2}">
            <xm:f>NOT(ISERROR(SEARCH($AN$686,AA93)))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17" operator="containsText" id="{864C8C02-5C44-4998-BEAD-98DBD9E676C0}">
            <xm:f>NOT(ISERROR(SEARCH($AN$685,AA93)))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18" operator="containsText" id="{9430342A-0842-4741-BFDC-272B7BBC0BE6}">
            <xm:f>NOT(ISERROR(SEARCH($AN$684,AA93)))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19" operator="containsText" id="{4DDA6C14-6116-43E8-AE1E-4807AE919B52}">
            <xm:f>NOT(ISERROR(SEARCH($AN$683,AA93)))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20" operator="containsText" id="{860C948F-4EB7-456A-8CD8-F82C1B5B5419}">
            <xm:f>NOT(ISERROR(SEARCH($AN$682,AA93)))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121" operator="containsText" id="{6E68A62B-A970-4BB7-B48A-F8BCD169EFCE}">
            <xm:f>NOT(ISERROR(SEARCH($AN$681,AA93)))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22" operator="containsText" id="{742C290B-783A-4984-B0E9-22E4CD3664AE}">
            <xm:f>NOT(ISERROR(SEARCH($AN$680,AA93)))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23" operator="containsText" id="{46AE0CDF-B033-4328-8033-95154701C1CE}">
            <xm:f>NOT(ISERROR(SEARCH($AN$678,AA93)))</xm:f>
            <xm:f>$AN$678</xm:f>
            <x14:dxf>
              <fill>
                <patternFill>
                  <bgColor theme="9"/>
                </patternFill>
              </fill>
            </x14:dxf>
          </x14:cfRule>
          <xm:sqref>AA93</xm:sqref>
        </x14:conditionalFormatting>
        <x14:conditionalFormatting xmlns:xm="http://schemas.microsoft.com/office/excel/2006/main">
          <x14:cfRule type="containsText" priority="1820" operator="containsText" id="{06E9195B-559C-4646-9625-7D5C96FFC2F3}">
            <xm:f>NOT(ISERROR(SEARCH($AN$687,AA185)))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821" operator="containsText" id="{24583794-24F8-4568-8CAA-2B7DCC6C19EC}">
            <xm:f>NOT(ISERROR(SEARCH($AN$688,AA185)))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822" operator="containsText" id="{CD68AAF2-1D55-4E86-8F6A-F383D08729AE}">
            <xm:f>NOT(ISERROR(SEARCH($AN$686,AA185)))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23" operator="containsText" id="{46D0840A-1D8B-4F81-B27B-B69AADD6DAB3}">
            <xm:f>NOT(ISERROR(SEARCH($AN$685,AA185)))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824" operator="containsText" id="{EEAA94B3-29DF-4371-AD46-3B703255CD5C}">
            <xm:f>NOT(ISERROR(SEARCH($AN$684,AA185)))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25" operator="containsText" id="{6F38199A-D511-424C-8FBD-31C0D6A1C073}">
            <xm:f>NOT(ISERROR(SEARCH($AN$683,AA185)))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826" operator="containsText" id="{1248543B-583F-41B5-B1CF-5572D9E43E15}">
            <xm:f>NOT(ISERROR(SEARCH($AN$682,AA185)))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827" operator="containsText" id="{BA14BA6A-E07E-4F72-B3C8-6F4D64FDEADA}">
            <xm:f>NOT(ISERROR(SEARCH($AN$681,AA185)))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828" operator="containsText" id="{3FE37C7A-71D8-4775-A7E4-D59FAD011FA4}">
            <xm:f>NOT(ISERROR(SEARCH($AN$680,AA185)))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829" operator="containsText" id="{888D22BE-D431-4B12-80B8-EE4C700BDEF1}">
            <xm:f>NOT(ISERROR(SEARCH($AN$678,AA185)))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830" operator="containsText" id="{900660B5-651C-4C0D-873A-BF8960A50752}">
            <xm:f>NOT(ISERROR(SEARCH($AN$679,AA185)))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AA185</xm:sqref>
        </x14:conditionalFormatting>
        <x14:conditionalFormatting xmlns:xm="http://schemas.microsoft.com/office/excel/2006/main">
          <x14:cfRule type="containsText" priority="1792" operator="containsText" id="{22E35F3A-361A-4CCE-94F3-ACDDF4B7AD0E}">
            <xm:f>NOT(ISERROR(SEARCH($AN$690,AA185)))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793" operator="containsText" id="{575E042E-DD9E-4D1C-B302-654139781BC6}">
            <xm:f>NOT(ISERROR(SEARCH($AN$704,AA185)))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794" operator="containsText" id="{C2B99159-5623-4AF6-AE8A-AFACDF88E907}">
            <xm:f>NOT(ISERROR(SEARCH($AN$693,AA185)))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795" operator="containsText" id="{17407173-C9C3-4117-935F-8FC3245BD95E}">
            <xm:f>NOT(ISERROR(SEARCH($AN$692,AA185)))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796" operator="containsText" id="{D4190983-D081-47BA-B509-B27BEB5EA669}">
            <xm:f>NOT(ISERROR(SEARCH($AN$691,AA185)))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797" operator="containsText" id="{4DADCEFD-3F16-4D71-B2FB-8B409E80DCDE}">
            <xm:f>NOT(ISERROR(SEARCH($AN$689,AA185)))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AA185:AA189</xm:sqref>
        </x14:conditionalFormatting>
        <x14:conditionalFormatting xmlns:xm="http://schemas.microsoft.com/office/excel/2006/main">
          <x14:cfRule type="containsText" priority="1808" operator="containsText" id="{B6A04685-B9AE-4AA9-9699-407A9E1159D1}">
            <xm:f>NOT(ISERROR(SEARCH($AN$679,AA186)))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AA186:AA187</xm:sqref>
        </x14:conditionalFormatting>
        <x14:conditionalFormatting xmlns:xm="http://schemas.microsoft.com/office/excel/2006/main">
          <x14:cfRule type="containsText" priority="1798" operator="containsText" id="{2C5D2E94-36B7-43CE-83D8-D7BD84A043D0}">
            <xm:f>NOT(ISERROR(SEARCH($AN$687,AA186)))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799" operator="containsText" id="{62AD4C11-923D-4889-9481-C41F6DE7E0C1}">
            <xm:f>NOT(ISERROR(SEARCH($AN$688,AA186)))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800" operator="containsText" id="{A138ECCA-B735-4B22-97AC-72A1B3C67335}">
            <xm:f>NOT(ISERROR(SEARCH($AN$686,AA186)))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01" operator="containsText" id="{8B15F037-A005-4F0C-BBE8-53E21D0AD0C7}">
            <xm:f>NOT(ISERROR(SEARCH($AN$685,AA186)))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802" operator="containsText" id="{E9DF8BB7-75BA-41B0-BCB8-9FC18EE081DA}">
            <xm:f>NOT(ISERROR(SEARCH($AN$684,AA186)))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03" operator="containsText" id="{24F5EE28-A2F6-40C8-B669-E93D2EF67CAF}">
            <xm:f>NOT(ISERROR(SEARCH($AN$683,AA186)))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804" operator="containsText" id="{CBF61E8A-DACD-4D39-A39E-0F8E0CB22847}">
            <xm:f>NOT(ISERROR(SEARCH($AN$682,AA186)))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805" operator="containsText" id="{CFDD8E41-36C5-472F-9307-5CD94125CB4D}">
            <xm:f>NOT(ISERROR(SEARCH($AN$681,AA186)))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806" operator="containsText" id="{A2E37B15-40DC-4CDB-87B0-2EC23806F4F3}">
            <xm:f>NOT(ISERROR(SEARCH($AN$680,AA186)))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807" operator="containsText" id="{FC60AD18-18A1-4429-B8F1-2228D1F97A7B}">
            <xm:f>NOT(ISERROR(SEARCH($AN$678,AA186)))</xm:f>
            <xm:f>$AN$678</xm:f>
            <x14:dxf>
              <fill>
                <patternFill>
                  <bgColor theme="9"/>
                </patternFill>
              </fill>
            </x14:dxf>
          </x14:cfRule>
          <xm:sqref>AA186:AA188</xm:sqref>
        </x14:conditionalFormatting>
        <x14:conditionalFormatting xmlns:xm="http://schemas.microsoft.com/office/excel/2006/main">
          <x14:cfRule type="containsText" priority="1819" operator="containsText" id="{4B04598F-2737-43AC-AE51-F787F939134C}">
            <xm:f>NOT(ISERROR(SEARCH($AN$679,AA188)))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AA188:AA189</xm:sqref>
        </x14:conditionalFormatting>
        <x14:conditionalFormatting xmlns:xm="http://schemas.microsoft.com/office/excel/2006/main">
          <x14:cfRule type="containsText" priority="1809" operator="containsText" id="{85DA92B4-9783-446B-9A62-238EDA00F8AE}">
            <xm:f>NOT(ISERROR(SEARCH($AN$687,AA189)))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810" operator="containsText" id="{FE659F70-D15D-4E8E-A3D0-9703DAFCA081}">
            <xm:f>NOT(ISERROR(SEARCH($AN$688,AA189)))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811" operator="containsText" id="{DB72EDA5-27F2-4C58-B65E-C4CA26544AB7}">
            <xm:f>NOT(ISERROR(SEARCH($AN$686,AA189)))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12" operator="containsText" id="{547610F8-CF04-420D-9A9D-A1CBADCDF613}">
            <xm:f>NOT(ISERROR(SEARCH($AN$685,AA189)))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813" operator="containsText" id="{DC861536-5A17-44E5-B16C-153F812C4F54}">
            <xm:f>NOT(ISERROR(SEARCH($AN$684,AA189)))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14" operator="containsText" id="{AF47029F-9849-4E66-AC41-6887D30B0D08}">
            <xm:f>NOT(ISERROR(SEARCH($AN$683,AA189)))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815" operator="containsText" id="{19C592B8-609C-4873-8A2C-B0FD0CBCEFC6}">
            <xm:f>NOT(ISERROR(SEARCH($AN$682,AA189)))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816" operator="containsText" id="{14B8277C-4FDD-4D9A-863C-B18BC9601232}">
            <xm:f>NOT(ISERROR(SEARCH($AN$681,AA189)))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817" operator="containsText" id="{0F842E8C-420F-41C4-B160-3D09B9413A76}">
            <xm:f>NOT(ISERROR(SEARCH($AN$680,AA189)))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818" operator="containsText" id="{C6934DCA-B2CF-4294-9B56-CB2DDCA62966}">
            <xm:f>NOT(ISERROR(SEARCH($AN$678,AA189)))</xm:f>
            <xm:f>$AN$678</xm:f>
            <x14:dxf>
              <fill>
                <patternFill>
                  <bgColor theme="9"/>
                </patternFill>
              </fill>
            </x14:dxf>
          </x14:cfRule>
          <xm:sqref>AA189</xm:sqref>
        </x14:conditionalFormatting>
        <x14:conditionalFormatting xmlns:xm="http://schemas.microsoft.com/office/excel/2006/main">
          <x14:cfRule type="containsText" priority="1515" operator="containsText" id="{A67D11E8-FB49-4DBF-82B5-156E15C0D2B8}">
            <xm:f>NOT(ISERROR(SEARCH($AN$687,AA281)))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516" operator="containsText" id="{7FFA2606-05D8-4CAD-A652-7CB3992C637D}">
            <xm:f>NOT(ISERROR(SEARCH($AN$688,AA281)))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517" operator="containsText" id="{92FBA121-471D-4E6C-9D17-415B1D54CBF1}">
            <xm:f>NOT(ISERROR(SEARCH($AN$686,AA281)))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518" operator="containsText" id="{B57F49E7-BD44-43E7-8A5F-AB1F40358E40}">
            <xm:f>NOT(ISERROR(SEARCH($AN$685,AA281)))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519" operator="containsText" id="{1D4E8BE4-BEF5-4642-9A89-1DADB98A311D}">
            <xm:f>NOT(ISERROR(SEARCH($AN$684,AA281)))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520" operator="containsText" id="{9B2D7700-4F25-4F31-810E-CF7166C04EA0}">
            <xm:f>NOT(ISERROR(SEARCH($AN$683,AA281)))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521" operator="containsText" id="{FAA75FC0-E1B4-4F24-9B34-55342A47F842}">
            <xm:f>NOT(ISERROR(SEARCH($AN$682,AA281)))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522" operator="containsText" id="{575ACBC4-4E03-439A-8E91-A269CA3F0380}">
            <xm:f>NOT(ISERROR(SEARCH($AN$681,AA281)))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523" operator="containsText" id="{2086470D-3FB8-4E4D-A3B6-258C66E138A5}">
            <xm:f>NOT(ISERROR(SEARCH($AN$680,AA281)))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524" operator="containsText" id="{1CEEFBDD-BE71-401A-916F-E3C4B87A61C3}">
            <xm:f>NOT(ISERROR(SEARCH($AN$678,AA281)))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525" operator="containsText" id="{62FCAB06-B96D-4FCB-859F-C677F8D92790}">
            <xm:f>NOT(ISERROR(SEARCH($AN$679,AA281)))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AA281</xm:sqref>
        </x14:conditionalFormatting>
        <x14:conditionalFormatting xmlns:xm="http://schemas.microsoft.com/office/excel/2006/main">
          <x14:cfRule type="containsText" priority="1487" operator="containsText" id="{E40839C9-96A8-4CD8-B836-6F974FD92762}">
            <xm:f>NOT(ISERROR(SEARCH($AN$690,AA281)))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488" operator="containsText" id="{CAE1B04C-868A-4392-9015-5707686B66C1}">
            <xm:f>NOT(ISERROR(SEARCH($AN$704,AA281)))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489" operator="containsText" id="{BEABA78F-7728-4839-8F8A-5D7ECDCB76AA}">
            <xm:f>NOT(ISERROR(SEARCH($AN$693,AA281)))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490" operator="containsText" id="{2165BA5F-D517-4160-A14B-2485C34CF836}">
            <xm:f>NOT(ISERROR(SEARCH($AN$692,AA281)))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91" operator="containsText" id="{9136521E-AF9E-44F2-8D37-F9BD598E1885}">
            <xm:f>NOT(ISERROR(SEARCH($AN$691,AA281)))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492" operator="containsText" id="{F63DF6A5-C6C8-4830-B78E-F6CBCC958E5C}">
            <xm:f>NOT(ISERROR(SEARCH($AN$689,AA281)))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AA281:AA285</xm:sqref>
        </x14:conditionalFormatting>
        <x14:conditionalFormatting xmlns:xm="http://schemas.microsoft.com/office/excel/2006/main">
          <x14:cfRule type="containsText" priority="1503" operator="containsText" id="{95855CE7-0C40-408C-BD1E-AA72AAB49D69}">
            <xm:f>NOT(ISERROR(SEARCH($AN$679,AA282)))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AA282:AA283</xm:sqref>
        </x14:conditionalFormatting>
        <x14:conditionalFormatting xmlns:xm="http://schemas.microsoft.com/office/excel/2006/main">
          <x14:cfRule type="containsText" priority="1493" operator="containsText" id="{6ACB41F8-D59C-40F4-837A-FA7456789E4B}">
            <xm:f>NOT(ISERROR(SEARCH($AN$687,AA282)))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494" operator="containsText" id="{5D74768F-F62B-4C2D-A009-BC2CDBE7AAD9}">
            <xm:f>NOT(ISERROR(SEARCH($AN$688,AA282)))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495" operator="containsText" id="{84CE597A-4F1A-4C6C-AE8D-99FCD92FED28}">
            <xm:f>NOT(ISERROR(SEARCH($AN$686,AA282)))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496" operator="containsText" id="{F82863A7-ED1A-436A-B83E-4B1DE3BEEC16}">
            <xm:f>NOT(ISERROR(SEARCH($AN$685,AA282)))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497" operator="containsText" id="{9B072A00-42BA-4527-BD03-F10128A67D77}">
            <xm:f>NOT(ISERROR(SEARCH($AN$684,AA282)))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498" operator="containsText" id="{F54B70F8-E1C7-4335-AF03-ADEA0AF1BB6D}">
            <xm:f>NOT(ISERROR(SEARCH($AN$683,AA282)))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499" operator="containsText" id="{54C61A38-B520-4A01-8B13-84572D7B56DA}">
            <xm:f>NOT(ISERROR(SEARCH($AN$682,AA282)))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500" operator="containsText" id="{033877A6-A1D6-4BF9-BC6E-E6FAA9FA2DD5}">
            <xm:f>NOT(ISERROR(SEARCH($AN$681,AA282)))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501" operator="containsText" id="{3A08503E-AEF3-4007-91E5-00BFC6F83F91}">
            <xm:f>NOT(ISERROR(SEARCH($AN$680,AA282)))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502" operator="containsText" id="{C4293965-B10F-43FB-944D-6F6BDC8E49B5}">
            <xm:f>NOT(ISERROR(SEARCH($AN$678,AA282)))</xm:f>
            <xm:f>$AN$678</xm:f>
            <x14:dxf>
              <fill>
                <patternFill>
                  <bgColor theme="9"/>
                </patternFill>
              </fill>
            </x14:dxf>
          </x14:cfRule>
          <xm:sqref>AA282:AA284</xm:sqref>
        </x14:conditionalFormatting>
        <x14:conditionalFormatting xmlns:xm="http://schemas.microsoft.com/office/excel/2006/main">
          <x14:cfRule type="containsText" priority="1514" operator="containsText" id="{50C047B0-3CE4-4185-83EF-36210A6D3D3B}">
            <xm:f>NOT(ISERROR(SEARCH($AN$679,AA284)))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AA284:AA285</xm:sqref>
        </x14:conditionalFormatting>
        <x14:conditionalFormatting xmlns:xm="http://schemas.microsoft.com/office/excel/2006/main">
          <x14:cfRule type="containsText" priority="1504" operator="containsText" id="{10461E0D-B961-4719-9816-3E7BBBF68B6C}">
            <xm:f>NOT(ISERROR(SEARCH($AN$687,AA285)))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505" operator="containsText" id="{28867E62-D084-4775-9D34-FBF2D5902BC1}">
            <xm:f>NOT(ISERROR(SEARCH($AN$688,AA285)))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506" operator="containsText" id="{C67046CB-131C-457D-9564-7BBECBC9F546}">
            <xm:f>NOT(ISERROR(SEARCH($AN$686,AA285)))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507" operator="containsText" id="{4B1215E6-BB36-4CFA-B743-A356037C0062}">
            <xm:f>NOT(ISERROR(SEARCH($AN$685,AA285)))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508" operator="containsText" id="{091B6002-272F-431A-9E46-09C7A0A0DBA2}">
            <xm:f>NOT(ISERROR(SEARCH($AN$684,AA285)))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509" operator="containsText" id="{452AA5DE-792F-40F7-9CE1-97C09E926E45}">
            <xm:f>NOT(ISERROR(SEARCH($AN$683,AA285)))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510" operator="containsText" id="{59E5DF1C-100F-44F9-8EC4-74E468502BE2}">
            <xm:f>NOT(ISERROR(SEARCH($AN$682,AA285)))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511" operator="containsText" id="{1CA917D3-D470-4D0B-A6BF-A0218C6E8C3C}">
            <xm:f>NOT(ISERROR(SEARCH($AN$681,AA285)))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512" operator="containsText" id="{C7EBA856-0628-4F02-B1EC-A426492AF66E}">
            <xm:f>NOT(ISERROR(SEARCH($AN$680,AA285)))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513" operator="containsText" id="{B3C490B0-F46F-40D9-990A-B969D675B966}">
            <xm:f>NOT(ISERROR(SEARCH($AN$678,AA285)))</xm:f>
            <xm:f>$AN$678</xm:f>
            <x14:dxf>
              <fill>
                <patternFill>
                  <bgColor theme="9"/>
                </patternFill>
              </fill>
            </x14:dxf>
          </x14:cfRule>
          <xm:sqref>AA285</xm:sqref>
        </x14:conditionalFormatting>
        <x14:conditionalFormatting xmlns:xm="http://schemas.microsoft.com/office/excel/2006/main">
          <x14:cfRule type="containsText" priority="25825" operator="containsText" id="{47E4D700-36DB-4359-AE19-DFF694F235F2}">
            <xm:f>NOT(ISERROR(SEARCH($AN$681,AA321)))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5826" operator="containsText" id="{CBE31067-C676-4769-99C3-8E79DE079B9B}">
            <xm:f>NOT(ISERROR(SEARCH($AN$680,AA321)))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5827" operator="containsText" id="{AE70E1AD-4934-4852-8A14-3958B52D32B0}">
            <xm:f>NOT(ISERROR(SEARCH($AN$678,AA321)))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5828" operator="containsText" id="{34883DFD-AE58-4EB4-84AA-89A33B8F464E}">
            <xm:f>NOT(ISERROR(SEARCH($AN$679,AA321)))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AA321:AA325 AD321:AF325</xm:sqref>
        </x14:conditionalFormatting>
        <x14:conditionalFormatting xmlns:xm="http://schemas.microsoft.com/office/excel/2006/main">
          <x14:cfRule type="containsText" priority="1210" operator="containsText" id="{84785A9A-E6D7-4185-81BD-B3EB93B99450}">
            <xm:f>NOT(ISERROR(SEARCH($AN$687,AA377)))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211" operator="containsText" id="{C96971C4-0D13-4CA0-8ED4-D3D18B9CD33F}">
            <xm:f>NOT(ISERROR(SEARCH($AN$688,AA377)))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12" operator="containsText" id="{592E394C-AE41-4D72-BEED-076D3A2B6051}">
            <xm:f>NOT(ISERROR(SEARCH($AN$686,AA377)))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13" operator="containsText" id="{5BA885B4-5F9F-4E76-B049-43C81589A17F}">
            <xm:f>NOT(ISERROR(SEARCH($AN$685,AA377)))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14" operator="containsText" id="{561EDC32-0AA2-4113-837D-42E6557D6B7A}">
            <xm:f>NOT(ISERROR(SEARCH($AN$684,AA377)))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15" operator="containsText" id="{2DCAB24C-CEE8-41A9-9C5E-CC8A5419A90D}">
            <xm:f>NOT(ISERROR(SEARCH($AN$683,AA377)))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16" operator="containsText" id="{65CFB3EF-FA6D-4820-8E7F-DF6890335C6E}">
            <xm:f>NOT(ISERROR(SEARCH($AN$682,AA377)))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17" operator="containsText" id="{D3231F01-B198-475A-B258-9D8E204BF6DC}">
            <xm:f>NOT(ISERROR(SEARCH($AN$681,AA377)))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18" operator="containsText" id="{F2131042-9A95-48DF-BD7A-7C3D2A11190C}">
            <xm:f>NOT(ISERROR(SEARCH($AN$680,AA377)))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19" operator="containsText" id="{52CF96E6-3118-4000-9573-B2FBA41B1F17}">
            <xm:f>NOT(ISERROR(SEARCH($AN$678,AA377)))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20" operator="containsText" id="{A378A567-CA85-407B-B866-F7CD085AA9A8}">
            <xm:f>NOT(ISERROR(SEARCH($AN$679,AA377)))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AA377</xm:sqref>
        </x14:conditionalFormatting>
        <x14:conditionalFormatting xmlns:xm="http://schemas.microsoft.com/office/excel/2006/main">
          <x14:cfRule type="containsText" priority="1182" operator="containsText" id="{D2D3C321-27EC-429F-8F79-1BA6BD44C9EC}">
            <xm:f>NOT(ISERROR(SEARCH($AN$690,AA377)))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183" operator="containsText" id="{9404EB61-A06E-45F2-9248-7C1245A9BD7D}">
            <xm:f>NOT(ISERROR(SEARCH($AN$704,AA377)))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184" operator="containsText" id="{59498E5F-699E-488F-8344-0A0D121DFFC8}">
            <xm:f>NOT(ISERROR(SEARCH($AN$693,AA377)))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185" operator="containsText" id="{0212264D-CF8E-47AF-A14A-FCD95E0AF59A}">
            <xm:f>NOT(ISERROR(SEARCH($AN$692,AA377)))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86" operator="containsText" id="{3708BA55-83A9-442B-87F6-FF4F961803A8}">
            <xm:f>NOT(ISERROR(SEARCH($AN$691,AA377)))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187" operator="containsText" id="{A5B68572-F333-47C5-B297-B295CCC77DAD}">
            <xm:f>NOT(ISERROR(SEARCH($AN$689,AA377)))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AA377:AA381</xm:sqref>
        </x14:conditionalFormatting>
        <x14:conditionalFormatting xmlns:xm="http://schemas.microsoft.com/office/excel/2006/main">
          <x14:cfRule type="containsText" priority="1198" operator="containsText" id="{C69C8790-3F10-436A-B182-07157B8789FC}">
            <xm:f>NOT(ISERROR(SEARCH($AN$679,AA378)))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AA378:AA379</xm:sqref>
        </x14:conditionalFormatting>
        <x14:conditionalFormatting xmlns:xm="http://schemas.microsoft.com/office/excel/2006/main">
          <x14:cfRule type="containsText" priority="1188" operator="containsText" id="{D085F382-54B5-4DF7-9D0A-8C89A766C49D}">
            <xm:f>NOT(ISERROR(SEARCH($AN$687,AA378)))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189" operator="containsText" id="{02EF0E11-8EF5-492F-B725-9330D8ED7361}">
            <xm:f>NOT(ISERROR(SEARCH($AN$688,AA378)))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90" operator="containsText" id="{F3A37DE8-684D-4589-B603-5CA13BEC1CFE}">
            <xm:f>NOT(ISERROR(SEARCH($AN$686,AA378)))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91" operator="containsText" id="{4102D1DE-E884-47D2-B82F-459D267C70FF}">
            <xm:f>NOT(ISERROR(SEARCH($AN$685,AA378)))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92" operator="containsText" id="{E754C6D3-4285-45F0-9CCE-B1FF42573157}">
            <xm:f>NOT(ISERROR(SEARCH($AN$684,AA378)))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93" operator="containsText" id="{0A8E6AF3-A510-4E13-BC6F-A69704D955EF}">
            <xm:f>NOT(ISERROR(SEARCH($AN$683,AA378)))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94" operator="containsText" id="{520AC074-5FE6-4B7D-B183-8D0CA74626C0}">
            <xm:f>NOT(ISERROR(SEARCH($AN$682,AA378)))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95" operator="containsText" id="{72C7D9F5-AE6C-46C1-911D-43A77A4636BD}">
            <xm:f>NOT(ISERROR(SEARCH($AN$681,AA378)))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96" operator="containsText" id="{1A9412E9-2633-4E42-873A-C0ABC2933479}">
            <xm:f>NOT(ISERROR(SEARCH($AN$680,AA378)))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97" operator="containsText" id="{2F9D5E10-BC89-4F7A-9155-10B153501A25}">
            <xm:f>NOT(ISERROR(SEARCH($AN$678,AA378)))</xm:f>
            <xm:f>$AN$678</xm:f>
            <x14:dxf>
              <fill>
                <patternFill>
                  <bgColor theme="9"/>
                </patternFill>
              </fill>
            </x14:dxf>
          </x14:cfRule>
          <xm:sqref>AA378:AA380</xm:sqref>
        </x14:conditionalFormatting>
        <x14:conditionalFormatting xmlns:xm="http://schemas.microsoft.com/office/excel/2006/main">
          <x14:cfRule type="containsText" priority="1209" operator="containsText" id="{8F1384F5-6BA9-487F-AA99-AF19D1775B19}">
            <xm:f>NOT(ISERROR(SEARCH($AN$679,AA380)))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AA380:AA381</xm:sqref>
        </x14:conditionalFormatting>
        <x14:conditionalFormatting xmlns:xm="http://schemas.microsoft.com/office/excel/2006/main">
          <x14:cfRule type="containsText" priority="1199" operator="containsText" id="{011364C9-685A-4FCA-AE4F-AA08B88907C2}">
            <xm:f>NOT(ISERROR(SEARCH($AN$687,AA381)))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200" operator="containsText" id="{F1BCE6A0-0AC0-4104-A843-298F0A5CEB29}">
            <xm:f>NOT(ISERROR(SEARCH($AN$688,AA381)))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01" operator="containsText" id="{5BFC5B56-AB9C-42D7-BEC1-678262B90677}">
            <xm:f>NOT(ISERROR(SEARCH($AN$686,AA381)))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02" operator="containsText" id="{5F826E06-67C4-427B-8835-5013C9D7E221}">
            <xm:f>NOT(ISERROR(SEARCH($AN$685,AA381)))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03" operator="containsText" id="{8F56E328-EFA4-444E-B5D6-D44646AD8FD7}">
            <xm:f>NOT(ISERROR(SEARCH($AN$684,AA381)))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04" operator="containsText" id="{D22D5818-E913-47C8-B972-9AA6324E8204}">
            <xm:f>NOT(ISERROR(SEARCH($AN$683,AA381)))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05" operator="containsText" id="{610B2AC9-EFA0-4A72-93A4-5E59E7F1F40E}">
            <xm:f>NOT(ISERROR(SEARCH($AN$682,AA381)))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06" operator="containsText" id="{621DE059-FB96-43E6-A013-5B6A0C9E43C3}">
            <xm:f>NOT(ISERROR(SEARCH($AN$681,AA381)))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07" operator="containsText" id="{F6D408D8-BEC1-4BF0-9D67-FA933E74FB41}">
            <xm:f>NOT(ISERROR(SEARCH($AN$680,AA381)))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08" operator="containsText" id="{2624C67E-9717-4F53-9F87-137B05B614B2}">
            <xm:f>NOT(ISERROR(SEARCH($AN$678,AA381)))</xm:f>
            <xm:f>$AN$678</xm:f>
            <x14:dxf>
              <fill>
                <patternFill>
                  <bgColor theme="9"/>
                </patternFill>
              </fill>
            </x14:dxf>
          </x14:cfRule>
          <xm:sqref>AA381</xm:sqref>
        </x14:conditionalFormatting>
        <x14:conditionalFormatting xmlns:xm="http://schemas.microsoft.com/office/excel/2006/main">
          <x14:cfRule type="containsText" priority="5897" operator="containsText" id="{65BEB60F-0A55-4439-9930-1183BC26CDDB}">
            <xm:f>NOT(ISERROR(SEARCH($AN$692,AA417)))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898" operator="containsText" id="{3E36EA28-91A4-4622-8136-929EBEC0E7B8}">
            <xm:f>NOT(ISERROR(SEARCH($AN$691,AA417)))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899" operator="containsText" id="{B73AB395-9D50-4C2F-9A54-39E00C48A4E3}">
            <xm:f>NOT(ISERROR(SEARCH($AN$689,AA417)))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900" operator="containsText" id="{A9026B60-9D2C-4630-98E8-56A725A8417C}">
            <xm:f>NOT(ISERROR(SEARCH($AN$687,AA417)))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901" operator="containsText" id="{93D2B30A-5590-4128-83FB-6F82B924F88B}">
            <xm:f>NOT(ISERROR(SEARCH($AN$688,AA417)))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902" operator="containsText" id="{35BBA4DB-BA9A-40CE-ADF5-E47307454580}">
            <xm:f>NOT(ISERROR(SEARCH($AN$686,AA417)))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903" operator="containsText" id="{100D9732-3CE2-47CD-BF8D-554A2343D2AA}">
            <xm:f>NOT(ISERROR(SEARCH($AN$685,AA417)))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904" operator="containsText" id="{38560464-8B81-4ACB-B06B-68B76553F973}">
            <xm:f>NOT(ISERROR(SEARCH($AN$684,AA417)))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905" operator="containsText" id="{F5DB9794-E509-497B-84CD-26F762A00E36}">
            <xm:f>NOT(ISERROR(SEARCH($AN$683,AA417)))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906" operator="containsText" id="{C72CB0E0-0D0F-4074-BED2-BF080C0FD0F8}">
            <xm:f>NOT(ISERROR(SEARCH($AN$682,AA417)))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907" operator="containsText" id="{A5A0BB53-52C1-4500-AD99-990E25CE98B0}">
            <xm:f>NOT(ISERROR(SEARCH($AN$681,AA417)))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908" operator="containsText" id="{4A31D719-8012-45A9-A42F-77321821FD6E}">
            <xm:f>NOT(ISERROR(SEARCH($AN$680,AA417)))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909" operator="containsText" id="{8EDDA052-0549-44DD-B898-03E3CE9937CC}">
            <xm:f>NOT(ISERROR(SEARCH($AN$678,AA417)))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910" operator="containsText" id="{72568A3D-2AF5-489D-8FD5-333B791225CF}">
            <xm:f>NOT(ISERROR(SEARCH($AN$679,AA417)))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AA417:AA421</xm:sqref>
        </x14:conditionalFormatting>
        <x14:conditionalFormatting xmlns:xm="http://schemas.microsoft.com/office/excel/2006/main">
          <x14:cfRule type="containsText" priority="905" operator="containsText" id="{74D6F264-33B5-4378-BAFB-91C31B5F38AD}">
            <xm:f>NOT(ISERROR(SEARCH($AN$687,AA473)))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906" operator="containsText" id="{65D49385-1143-46AC-BE10-4F1CA56B7420}">
            <xm:f>NOT(ISERROR(SEARCH($AN$688,AA473)))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07" operator="containsText" id="{04D5EBB0-C359-4D44-89AB-A9F005646640}">
            <xm:f>NOT(ISERROR(SEARCH($AN$686,AA473)))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08" operator="containsText" id="{9610D283-CF9A-417C-899A-3F4F32B0F96C}">
            <xm:f>NOT(ISERROR(SEARCH($AN$685,AA473)))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09" operator="containsText" id="{EA8E6048-05C8-459C-A3AF-9DE030D25FA7}">
            <xm:f>NOT(ISERROR(SEARCH($AN$684,AA473)))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10" operator="containsText" id="{102D1C9C-9647-4611-B3B5-C2B4B7431D00}">
            <xm:f>NOT(ISERROR(SEARCH($AN$683,AA473)))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11" operator="containsText" id="{B556A755-0AB4-42B4-84AE-3B24DEF4960E}">
            <xm:f>NOT(ISERROR(SEARCH($AN$682,AA473)))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12" operator="containsText" id="{62E6B33A-6000-48F8-8AF5-21D6736713F5}">
            <xm:f>NOT(ISERROR(SEARCH($AN$681,AA473)))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13" operator="containsText" id="{B6B7F827-76FA-41DD-A80F-34F164DE7023}">
            <xm:f>NOT(ISERROR(SEARCH($AN$680,AA473)))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14" operator="containsText" id="{34911BC0-492E-464C-9D48-9A8D9E293412}">
            <xm:f>NOT(ISERROR(SEARCH($AN$678,AA473)))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15" operator="containsText" id="{E27F9F80-6DCB-4C94-B434-784C51C9A51D}">
            <xm:f>NOT(ISERROR(SEARCH($AN$679,AA473)))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AA473</xm:sqref>
        </x14:conditionalFormatting>
        <x14:conditionalFormatting xmlns:xm="http://schemas.microsoft.com/office/excel/2006/main">
          <x14:cfRule type="containsText" priority="877" operator="containsText" id="{307CD233-CF01-4F48-90DE-F534EF34DDB8}">
            <xm:f>NOT(ISERROR(SEARCH($AN$690,AA473)))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878" operator="containsText" id="{F44DBD70-F4BD-41D8-85E6-FA698C8EFDAD}">
            <xm:f>NOT(ISERROR(SEARCH($AN$704,AA473)))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879" operator="containsText" id="{616C6299-3C31-4D01-8EFB-CEE99BB42D88}">
            <xm:f>NOT(ISERROR(SEARCH($AN$693,AA473)))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880" operator="containsText" id="{26A5A821-8694-45BB-B6F7-22D3E6D5069F}">
            <xm:f>NOT(ISERROR(SEARCH($AN$692,AA473)))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81" operator="containsText" id="{8321D97F-EBCE-4FA7-9EC9-57D26CC75DCE}">
            <xm:f>NOT(ISERROR(SEARCH($AN$691,AA473)))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882" operator="containsText" id="{58B728AD-E614-49CB-BB25-7F1F0AA40C80}">
            <xm:f>NOT(ISERROR(SEARCH($AN$689,AA473)))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AA473:AA477</xm:sqref>
        </x14:conditionalFormatting>
        <x14:conditionalFormatting xmlns:xm="http://schemas.microsoft.com/office/excel/2006/main">
          <x14:cfRule type="containsText" priority="893" operator="containsText" id="{1B9C0D42-67C4-47F1-B4BE-62D1AEF2EEA8}">
            <xm:f>NOT(ISERROR(SEARCH($AN$679,AA474)))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AA474:AA475</xm:sqref>
        </x14:conditionalFormatting>
        <x14:conditionalFormatting xmlns:xm="http://schemas.microsoft.com/office/excel/2006/main">
          <x14:cfRule type="containsText" priority="883" operator="containsText" id="{7132A027-3E7E-4DA8-A277-D92F03AC37F3}">
            <xm:f>NOT(ISERROR(SEARCH($AN$687,AA474)))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884" operator="containsText" id="{FD272480-7F39-4046-AF62-7F961549A115}">
            <xm:f>NOT(ISERROR(SEARCH($AN$688,AA474)))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885" operator="containsText" id="{75DEEED8-3757-4C99-846E-8B80269F0B4F}">
            <xm:f>NOT(ISERROR(SEARCH($AN$686,AA474)))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86" operator="containsText" id="{D3A1082C-9815-4804-B987-EAA5D1AEF7FD}">
            <xm:f>NOT(ISERROR(SEARCH($AN$685,AA474)))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887" operator="containsText" id="{E79781F1-4210-4CAA-A9CD-53C4D301710B}">
            <xm:f>NOT(ISERROR(SEARCH($AN$684,AA474)))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88" operator="containsText" id="{83FDD123-C58A-448B-A431-B0790050C4EA}">
            <xm:f>NOT(ISERROR(SEARCH($AN$683,AA474)))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889" operator="containsText" id="{B56D8E59-3367-4F56-B17C-D9A6464A1D4F}">
            <xm:f>NOT(ISERROR(SEARCH($AN$682,AA474)))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890" operator="containsText" id="{E22BADD6-80B3-4AB8-8453-8EF72BD10651}">
            <xm:f>NOT(ISERROR(SEARCH($AN$681,AA474)))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891" operator="containsText" id="{3B97D80F-6F35-4510-8B49-76BD91023D3C}">
            <xm:f>NOT(ISERROR(SEARCH($AN$680,AA474)))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892" operator="containsText" id="{0887A81A-8011-434F-B197-3E1B013ECC64}">
            <xm:f>NOT(ISERROR(SEARCH($AN$678,AA474)))</xm:f>
            <xm:f>$AN$678</xm:f>
            <x14:dxf>
              <fill>
                <patternFill>
                  <bgColor theme="9"/>
                </patternFill>
              </fill>
            </x14:dxf>
          </x14:cfRule>
          <xm:sqref>AA474:AA476</xm:sqref>
        </x14:conditionalFormatting>
        <x14:conditionalFormatting xmlns:xm="http://schemas.microsoft.com/office/excel/2006/main">
          <x14:cfRule type="containsText" priority="904" operator="containsText" id="{8E87F85B-FA83-41C2-92DF-74BC9F03670C}">
            <xm:f>NOT(ISERROR(SEARCH($AN$679,AA476)))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AA476:AA477</xm:sqref>
        </x14:conditionalFormatting>
        <x14:conditionalFormatting xmlns:xm="http://schemas.microsoft.com/office/excel/2006/main">
          <x14:cfRule type="containsText" priority="894" operator="containsText" id="{91F8291E-3C69-4D28-923E-292D9518DEA0}">
            <xm:f>NOT(ISERROR(SEARCH($AN$687,AA477)))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895" operator="containsText" id="{772D21BD-0EA5-422B-8142-789E23B2FFF0}">
            <xm:f>NOT(ISERROR(SEARCH($AN$688,AA477)))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896" operator="containsText" id="{B422D54F-E655-49CF-965F-DB9B0972284E}">
            <xm:f>NOT(ISERROR(SEARCH($AN$686,AA477)))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97" operator="containsText" id="{BF862ADC-54AD-45B8-B77A-06F423557D5C}">
            <xm:f>NOT(ISERROR(SEARCH($AN$685,AA477)))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898" operator="containsText" id="{820C18BF-0DD4-4822-9438-84AD418AA58C}">
            <xm:f>NOT(ISERROR(SEARCH($AN$684,AA477)))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99" operator="containsText" id="{44585FA5-7847-4E3D-9B4C-9AC559990366}">
            <xm:f>NOT(ISERROR(SEARCH($AN$683,AA477)))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00" operator="containsText" id="{6D3D967B-5188-4F0B-8C6D-76E370677D1F}">
            <xm:f>NOT(ISERROR(SEARCH($AN$682,AA477)))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01" operator="containsText" id="{A7D0907F-C0EA-497A-A165-7BE02FB02B26}">
            <xm:f>NOT(ISERROR(SEARCH($AN$681,AA477)))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02" operator="containsText" id="{3C1AAB4F-CD15-40BB-BD8A-8A435A3C4CC4}">
            <xm:f>NOT(ISERROR(SEARCH($AN$680,AA477)))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03" operator="containsText" id="{672B31EC-9780-4653-9489-A79135EA4A3A}">
            <xm:f>NOT(ISERROR(SEARCH($AN$678,AA477)))</xm:f>
            <xm:f>$AN$678</xm:f>
            <x14:dxf>
              <fill>
                <patternFill>
                  <bgColor theme="9"/>
                </patternFill>
              </fill>
            </x14:dxf>
          </x14:cfRule>
          <xm:sqref>AA477</xm:sqref>
        </x14:conditionalFormatting>
        <x14:conditionalFormatting xmlns:xm="http://schemas.microsoft.com/office/excel/2006/main">
          <x14:cfRule type="containsText" priority="5812" operator="containsText" id="{B6039A4D-3C18-420C-BFC4-BAFEC725DBF2}">
            <xm:f>NOT(ISERROR(SEARCH($AN$692,AA513)))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813" operator="containsText" id="{2583978D-FB8A-42BA-92D8-7F860528B750}">
            <xm:f>NOT(ISERROR(SEARCH($AN$691,AA513)))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814" operator="containsText" id="{1BE3C48B-1C4F-4511-AD6C-133BCDFE79C9}">
            <xm:f>NOT(ISERROR(SEARCH($AN$689,AA513)))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815" operator="containsText" id="{8692E4CE-C3DD-496B-9DD4-A7EB1E05B8C2}">
            <xm:f>NOT(ISERROR(SEARCH($AN$687,AA513)))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816" operator="containsText" id="{5FCDB453-B514-4421-9B2D-4EB48F9A1EFE}">
            <xm:f>NOT(ISERROR(SEARCH($AN$688,AA513)))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817" operator="containsText" id="{99AFEEA2-AAAC-4AC1-917E-1750A0E65EB0}">
            <xm:f>NOT(ISERROR(SEARCH($AN$686,AA513)))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818" operator="containsText" id="{29274BA4-B5B5-465F-BCFF-A86187B578E9}">
            <xm:f>NOT(ISERROR(SEARCH($AN$685,AA513)))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819" operator="containsText" id="{3FC86FEF-2EEC-4BFE-9216-78271F87F01C}">
            <xm:f>NOT(ISERROR(SEARCH($AN$684,AA513)))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820" operator="containsText" id="{6BAF73B8-31BE-4BBC-803A-1C4803421C21}">
            <xm:f>NOT(ISERROR(SEARCH($AN$683,AA513)))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821" operator="containsText" id="{6E23E2CC-A454-4C59-9566-33C0CAD43283}">
            <xm:f>NOT(ISERROR(SEARCH($AN$682,AA513)))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822" operator="containsText" id="{2A24857C-EA89-4E7A-964F-F7EEAA8A4DE9}">
            <xm:f>NOT(ISERROR(SEARCH($AN$681,AA513)))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823" operator="containsText" id="{0F31ECD9-D5C6-4A82-9510-712AC8CF3F0C}">
            <xm:f>NOT(ISERROR(SEARCH($AN$680,AA513)))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824" operator="containsText" id="{6BEB2012-D3D0-43CF-A91D-38340B6B6922}">
            <xm:f>NOT(ISERROR(SEARCH($AN$678,AA513)))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825" operator="containsText" id="{1672FCBB-BDDC-45D7-9431-B8E4DFE82C08}">
            <xm:f>NOT(ISERROR(SEARCH($AN$679,AA513)))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AA513:AA517</xm:sqref>
        </x14:conditionalFormatting>
        <x14:conditionalFormatting xmlns:xm="http://schemas.microsoft.com/office/excel/2006/main">
          <x14:cfRule type="containsText" priority="600" operator="containsText" id="{DD561475-A745-4522-9490-EF2C3CCAC944}">
            <xm:f>NOT(ISERROR(SEARCH($AN$687,AA569)))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601" operator="containsText" id="{744AA02E-885A-414E-A63A-E4138E4BA76B}">
            <xm:f>NOT(ISERROR(SEARCH($AN$688,AA569)))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602" operator="containsText" id="{C45FFB8E-6EF3-44E4-A0F6-7D176A84008D}">
            <xm:f>NOT(ISERROR(SEARCH($AN$686,AA569)))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03" operator="containsText" id="{6FBC9866-DBBA-4126-A433-2DE763998C94}">
            <xm:f>NOT(ISERROR(SEARCH($AN$685,AA569)))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604" operator="containsText" id="{AEA5F893-E03F-4658-ADC9-6191AD07887A}">
            <xm:f>NOT(ISERROR(SEARCH($AN$684,AA569)))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05" operator="containsText" id="{85266C19-91C7-4849-89BD-BB2F12E5C505}">
            <xm:f>NOT(ISERROR(SEARCH($AN$683,AA569)))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606" operator="containsText" id="{A4A09B9A-0E06-479A-ADFF-855DB4466716}">
            <xm:f>NOT(ISERROR(SEARCH($AN$682,AA569)))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607" operator="containsText" id="{AC9405A4-4AFA-458E-8F2C-7ED4B81241C6}">
            <xm:f>NOT(ISERROR(SEARCH($AN$681,AA569)))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608" operator="containsText" id="{709C8931-FBC1-443E-B282-690324CC2140}">
            <xm:f>NOT(ISERROR(SEARCH($AN$680,AA569)))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609" operator="containsText" id="{7FDB4997-63F5-4F03-98E1-E3986E9DF8BD}">
            <xm:f>NOT(ISERROR(SEARCH($AN$678,AA569)))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610" operator="containsText" id="{DFFD5CA0-E4CC-473E-98E4-914D15A3665A}">
            <xm:f>NOT(ISERROR(SEARCH($AN$679,AA569)))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AA569</xm:sqref>
        </x14:conditionalFormatting>
        <x14:conditionalFormatting xmlns:xm="http://schemas.microsoft.com/office/excel/2006/main">
          <x14:cfRule type="containsText" priority="572" operator="containsText" id="{80F78D27-25A9-453F-83B7-5F361CA5517B}">
            <xm:f>NOT(ISERROR(SEARCH($AN$690,AA569)))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73" operator="containsText" id="{A614F637-252A-4B28-9847-387F17EE7642}">
            <xm:f>NOT(ISERROR(SEARCH($AN$704,AA569)))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74" operator="containsText" id="{77BFF6D9-D9FC-4163-8B81-D372831E0713}">
            <xm:f>NOT(ISERROR(SEARCH($AN$693,AA569)))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75" operator="containsText" id="{E90BCAED-93A1-4380-908B-388567221423}">
            <xm:f>NOT(ISERROR(SEARCH($AN$692,AA569)))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76" operator="containsText" id="{3708B847-44E9-4BDA-89C4-0BB0301EBA0F}">
            <xm:f>NOT(ISERROR(SEARCH($AN$691,AA569)))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77" operator="containsText" id="{A3ED7A88-2889-472E-A80A-1A4680F8BA60}">
            <xm:f>NOT(ISERROR(SEARCH($AN$689,AA569)))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AA569:AA573</xm:sqref>
        </x14:conditionalFormatting>
        <x14:conditionalFormatting xmlns:xm="http://schemas.microsoft.com/office/excel/2006/main">
          <x14:cfRule type="containsText" priority="588" operator="containsText" id="{D43E3C8A-C790-4462-809B-B7FCB6043EA8}">
            <xm:f>NOT(ISERROR(SEARCH($AN$679,AA570)))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AA570:AA571</xm:sqref>
        </x14:conditionalFormatting>
        <x14:conditionalFormatting xmlns:xm="http://schemas.microsoft.com/office/excel/2006/main">
          <x14:cfRule type="containsText" priority="578" operator="containsText" id="{DACB2EB6-BCB9-4B3F-B817-EF8CA725A9DE}">
            <xm:f>NOT(ISERROR(SEARCH($AN$687,AA570)))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79" operator="containsText" id="{4749CD03-7C22-423F-98E7-3F8606EE1CC0}">
            <xm:f>NOT(ISERROR(SEARCH($AN$688,AA570)))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80" operator="containsText" id="{10C74455-C6C0-4659-B2F0-2F4FE6CCC513}">
            <xm:f>NOT(ISERROR(SEARCH($AN$686,AA570)))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81" operator="containsText" id="{01B0D0C5-264E-4031-BEFF-7E1D8B6F7EEA}">
            <xm:f>NOT(ISERROR(SEARCH($AN$685,AA570)))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82" operator="containsText" id="{1FD02EA3-BE86-4838-8EF4-95964449563D}">
            <xm:f>NOT(ISERROR(SEARCH($AN$684,AA570)))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83" operator="containsText" id="{3F3576AD-9D9B-47D6-9343-F8F3418260A2}">
            <xm:f>NOT(ISERROR(SEARCH($AN$683,AA570)))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84" operator="containsText" id="{37D384D2-AC45-48AD-94CA-AE0C4A34E834}">
            <xm:f>NOT(ISERROR(SEARCH($AN$682,AA570)))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85" operator="containsText" id="{543A5C2B-C640-45C2-8433-A3AAE2A89A4E}">
            <xm:f>NOT(ISERROR(SEARCH($AN$681,AA570)))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86" operator="containsText" id="{5DA8045F-E27A-40FD-B797-D7E4E550E326}">
            <xm:f>NOT(ISERROR(SEARCH($AN$680,AA570)))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87" operator="containsText" id="{B811E228-8F70-4747-AD8C-F1332B4B97E6}">
            <xm:f>NOT(ISERROR(SEARCH($AN$678,AA570)))</xm:f>
            <xm:f>$AN$678</xm:f>
            <x14:dxf>
              <fill>
                <patternFill>
                  <bgColor theme="9"/>
                </patternFill>
              </fill>
            </x14:dxf>
          </x14:cfRule>
          <xm:sqref>AA570:AA572</xm:sqref>
        </x14:conditionalFormatting>
        <x14:conditionalFormatting xmlns:xm="http://schemas.microsoft.com/office/excel/2006/main">
          <x14:cfRule type="containsText" priority="599" operator="containsText" id="{FD2BCF92-ACE4-4263-B6E0-9598888DDB98}">
            <xm:f>NOT(ISERROR(SEARCH($AN$679,AA572)))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AA572:AA573</xm:sqref>
        </x14:conditionalFormatting>
        <x14:conditionalFormatting xmlns:xm="http://schemas.microsoft.com/office/excel/2006/main">
          <x14:cfRule type="containsText" priority="589" operator="containsText" id="{65B52DD4-1101-43AC-8B6C-E4D31AEC1ECD}">
            <xm:f>NOT(ISERROR(SEARCH($AN$687,AA573)))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90" operator="containsText" id="{8DF0EEED-A7BF-44FA-815B-157DA5EDB015}">
            <xm:f>NOT(ISERROR(SEARCH($AN$688,AA573)))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91" operator="containsText" id="{FFFAC7BC-61E3-4EF5-A8BD-82E39868E033}">
            <xm:f>NOT(ISERROR(SEARCH($AN$686,AA573)))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92" operator="containsText" id="{9C66FBDF-C573-44FF-B728-8D89B311D6E5}">
            <xm:f>NOT(ISERROR(SEARCH($AN$685,AA573)))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93" operator="containsText" id="{7BAC2C9E-3658-423B-A995-48A72D234DA6}">
            <xm:f>NOT(ISERROR(SEARCH($AN$684,AA573)))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94" operator="containsText" id="{B6442CF0-8505-4376-B975-1E94F0E8ACBD}">
            <xm:f>NOT(ISERROR(SEARCH($AN$683,AA573)))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95" operator="containsText" id="{598FEFAD-A2DD-404D-BE87-F8CC5CFCF9A8}">
            <xm:f>NOT(ISERROR(SEARCH($AN$682,AA573)))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96" operator="containsText" id="{F387A9E3-D31B-496C-B9F9-C6F9BAD62253}">
            <xm:f>NOT(ISERROR(SEARCH($AN$681,AA573)))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97" operator="containsText" id="{43CF3371-A8A3-4205-87EC-289701023BAA}">
            <xm:f>NOT(ISERROR(SEARCH($AN$680,AA573)))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98" operator="containsText" id="{1DB28AAB-0EEB-4FEA-84C7-C128911662A2}">
            <xm:f>NOT(ISERROR(SEARCH($AN$678,AA573)))</xm:f>
            <xm:f>$AN$678</xm:f>
            <x14:dxf>
              <fill>
                <patternFill>
                  <bgColor theme="9"/>
                </patternFill>
              </fill>
            </x14:dxf>
          </x14:cfRule>
          <xm:sqref>AA573</xm:sqref>
        </x14:conditionalFormatting>
        <x14:conditionalFormatting xmlns:xm="http://schemas.microsoft.com/office/excel/2006/main">
          <x14:cfRule type="containsText" priority="5727" operator="containsText" id="{D57C8C5E-31EE-48AD-AD30-5E38899E7233}">
            <xm:f>NOT(ISERROR(SEARCH($AN$692,AA609)))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728" operator="containsText" id="{CE7B751F-D9C1-47E3-9D07-6D454B6AE9ED}">
            <xm:f>NOT(ISERROR(SEARCH($AN$691,AA609)))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729" operator="containsText" id="{15864E53-A8C7-4524-B2F3-F8ECE674208F}">
            <xm:f>NOT(ISERROR(SEARCH($AN$689,AA609)))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730" operator="containsText" id="{5575AB2B-05D1-4DAA-BA63-E18858FFA244}">
            <xm:f>NOT(ISERROR(SEARCH($AN$687,AA609)))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731" operator="containsText" id="{D165C3FE-2A7A-47DD-A8AA-130E1F0B521E}">
            <xm:f>NOT(ISERROR(SEARCH($AN$688,AA609)))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732" operator="containsText" id="{3EFAB34B-CD90-45B4-ACCC-816E6F9C0FD6}">
            <xm:f>NOT(ISERROR(SEARCH($AN$686,AA609)))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733" operator="containsText" id="{6A8AE37E-2A14-4681-AEC4-B326A99C7AD4}">
            <xm:f>NOT(ISERROR(SEARCH($AN$685,AA609)))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734" operator="containsText" id="{2C3E7DE3-7418-4ED9-B67B-3E64D573A4BD}">
            <xm:f>NOT(ISERROR(SEARCH($AN$684,AA609)))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735" operator="containsText" id="{F8D044E0-212A-45B4-B79E-0C054758EE2F}">
            <xm:f>NOT(ISERROR(SEARCH($AN$683,AA609)))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736" operator="containsText" id="{47AD88B1-EABD-43C1-A5C4-419E1B1B0FCF}">
            <xm:f>NOT(ISERROR(SEARCH($AN$682,AA609)))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737" operator="containsText" id="{008FD817-F0FD-45C8-8B18-489BF0E44E81}">
            <xm:f>NOT(ISERROR(SEARCH($AN$681,AA609)))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738" operator="containsText" id="{DF245716-DC3F-46C6-B82D-F2DDC1928964}">
            <xm:f>NOT(ISERROR(SEARCH($AN$680,AA609)))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739" operator="containsText" id="{0649AC23-D681-4FD3-AD7D-823DF5DD50F1}">
            <xm:f>NOT(ISERROR(SEARCH($AN$678,AA609)))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740" operator="containsText" id="{49209A03-6E52-4D39-A96D-898C779852A0}">
            <xm:f>NOT(ISERROR(SEARCH($AN$679,AA609)))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AA609:AA613</xm:sqref>
        </x14:conditionalFormatting>
        <x14:conditionalFormatting xmlns:xm="http://schemas.microsoft.com/office/excel/2006/main">
          <x14:cfRule type="containsText" priority="295" operator="containsText" id="{FA0E5B48-3689-4B8B-9B8F-FED5E96B60D7}">
            <xm:f>NOT(ISERROR(SEARCH($AN$687,AA665)))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96" operator="containsText" id="{AF877ABC-BC25-40A3-9372-73DD8384019E}">
            <xm:f>NOT(ISERROR(SEARCH($AN$688,AA665)))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97" operator="containsText" id="{9940D8DD-0FFC-4AD9-B55B-FB240A453384}">
            <xm:f>NOT(ISERROR(SEARCH($AN$686,AA665)))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98" operator="containsText" id="{107FA9CE-5020-42AA-8051-BF8B1C027F8E}">
            <xm:f>NOT(ISERROR(SEARCH($AN$685,AA665)))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99" operator="containsText" id="{17FC2028-09F4-44FC-B5EF-197847BA148F}">
            <xm:f>NOT(ISERROR(SEARCH($AN$684,AA665)))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00" operator="containsText" id="{E5ED6CA4-AEA6-4D0A-8B81-6DFF2294F137}">
            <xm:f>NOT(ISERROR(SEARCH($AN$683,AA665)))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01" operator="containsText" id="{9CDE5019-C6ED-41AB-BB2C-E0FF86B47DFF}">
            <xm:f>NOT(ISERROR(SEARCH($AN$682,AA665)))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02" operator="containsText" id="{2AE679F7-CDC2-4758-B251-16C84D6038DF}">
            <xm:f>NOT(ISERROR(SEARCH($AN$681,AA665)))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03" operator="containsText" id="{53067AE2-929E-4F5C-BEDE-8A508526D21B}">
            <xm:f>NOT(ISERROR(SEARCH($AN$680,AA665)))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04" operator="containsText" id="{4740AD69-FB3A-4A2C-903B-47870915DC1C}">
            <xm:f>NOT(ISERROR(SEARCH($AN$678,AA665)))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05" operator="containsText" id="{2BEC3FC1-4495-410B-BEE3-4B0166AA977D}">
            <xm:f>NOT(ISERROR(SEARCH($AN$679,AA665)))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AA665</xm:sqref>
        </x14:conditionalFormatting>
        <x14:conditionalFormatting xmlns:xm="http://schemas.microsoft.com/office/excel/2006/main">
          <x14:cfRule type="containsText" priority="267" operator="containsText" id="{E6B025AC-B0D9-4858-A98C-151BE6CD1772}">
            <xm:f>NOT(ISERROR(SEARCH($AN$690,AA665)))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68" operator="containsText" id="{352705DB-9610-491C-A23C-413E08071BF3}">
            <xm:f>NOT(ISERROR(SEARCH($AN$704,AA665)))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69" operator="containsText" id="{D269CBBE-6715-4F56-A169-AD05BADDF374}">
            <xm:f>NOT(ISERROR(SEARCH($AN$693,AA665)))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70" operator="containsText" id="{6C9588DA-6E2C-4CD0-A128-E9892895B26C}">
            <xm:f>NOT(ISERROR(SEARCH($AN$692,AA665)))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71" operator="containsText" id="{B484421B-0A7A-4CFF-A66D-8E89A02FB486}">
            <xm:f>NOT(ISERROR(SEARCH($AN$691,AA665)))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72" operator="containsText" id="{714A44F6-DC98-497C-BDD2-2DEFE60BC5B4}">
            <xm:f>NOT(ISERROR(SEARCH($AN$689,AA665)))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AA665:AA669</xm:sqref>
        </x14:conditionalFormatting>
        <x14:conditionalFormatting xmlns:xm="http://schemas.microsoft.com/office/excel/2006/main">
          <x14:cfRule type="containsText" priority="283" operator="containsText" id="{970CEC63-3BAF-4BB2-9ADD-06EA0340F2C3}">
            <xm:f>NOT(ISERROR(SEARCH($AN$679,AA666)))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AA666:AA667</xm:sqref>
        </x14:conditionalFormatting>
        <x14:conditionalFormatting xmlns:xm="http://schemas.microsoft.com/office/excel/2006/main">
          <x14:cfRule type="containsText" priority="273" operator="containsText" id="{8A4F52B7-A23D-47BC-AFAB-AC5B21637892}">
            <xm:f>NOT(ISERROR(SEARCH($AN$687,AA666)))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74" operator="containsText" id="{0EFB6A1B-1FFC-43E3-A969-0D1EE08C12EF}">
            <xm:f>NOT(ISERROR(SEARCH($AN$688,AA666)))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75" operator="containsText" id="{D5C57E73-0CC0-46EC-82A0-75DF245C4080}">
            <xm:f>NOT(ISERROR(SEARCH($AN$686,AA666)))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6" operator="containsText" id="{FB32BBD3-74FE-4A69-9A23-436E64593A28}">
            <xm:f>NOT(ISERROR(SEARCH($AN$685,AA666)))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77" operator="containsText" id="{867D5252-8EE2-44F1-AACF-479823C96AEE}">
            <xm:f>NOT(ISERROR(SEARCH($AN$684,AA666)))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78" operator="containsText" id="{9661DAEA-B9FF-45C6-A307-6DBD0CBD77E5}">
            <xm:f>NOT(ISERROR(SEARCH($AN$683,AA666)))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79" operator="containsText" id="{1FA00757-F24B-47EE-815B-3112D6DF4F51}">
            <xm:f>NOT(ISERROR(SEARCH($AN$682,AA666)))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80" operator="containsText" id="{8EBA7D36-5ED5-4350-839D-4A9F9EE66DA3}">
            <xm:f>NOT(ISERROR(SEARCH($AN$681,AA666)))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81" operator="containsText" id="{1D6DC5CC-BDCA-4DF5-B2CE-30C580EE1A3B}">
            <xm:f>NOT(ISERROR(SEARCH($AN$680,AA666)))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82" operator="containsText" id="{084A2281-5326-41EA-94D8-22E68944159D}">
            <xm:f>NOT(ISERROR(SEARCH($AN$678,AA666)))</xm:f>
            <xm:f>$AN$678</xm:f>
            <x14:dxf>
              <fill>
                <patternFill>
                  <bgColor theme="9"/>
                </patternFill>
              </fill>
            </x14:dxf>
          </x14:cfRule>
          <xm:sqref>AA666:AA668</xm:sqref>
        </x14:conditionalFormatting>
        <x14:conditionalFormatting xmlns:xm="http://schemas.microsoft.com/office/excel/2006/main">
          <x14:cfRule type="containsText" priority="294" operator="containsText" id="{CECC29F5-0E1D-4F8C-BDAB-7B02DF9BDFEF}">
            <xm:f>NOT(ISERROR(SEARCH($AN$679,AA668)))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AA668:AA669</xm:sqref>
        </x14:conditionalFormatting>
        <x14:conditionalFormatting xmlns:xm="http://schemas.microsoft.com/office/excel/2006/main">
          <x14:cfRule type="containsText" priority="284" operator="containsText" id="{62E083C6-5986-4DAC-B5CF-B527B7D39C01}">
            <xm:f>NOT(ISERROR(SEARCH($AN$687,AA669)))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85" operator="containsText" id="{EA283F67-D003-40CB-8231-B8ECF458079B}">
            <xm:f>NOT(ISERROR(SEARCH($AN$688,AA669)))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86" operator="containsText" id="{F83B8352-128B-40F7-BF11-26E0CE5C55B3}">
            <xm:f>NOT(ISERROR(SEARCH($AN$686,AA669)))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7" operator="containsText" id="{7B4C3C21-A36C-4E28-8B48-DFDED01DCD0E}">
            <xm:f>NOT(ISERROR(SEARCH($AN$685,AA669)))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88" operator="containsText" id="{50B72A72-B91C-4467-9390-6C32F3C2CF87}">
            <xm:f>NOT(ISERROR(SEARCH($AN$684,AA669)))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89" operator="containsText" id="{AD085F7E-D2B0-44B3-A0FC-54D76B95549F}">
            <xm:f>NOT(ISERROR(SEARCH($AN$683,AA669)))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90" operator="containsText" id="{2828361C-78CE-41EB-90FA-6B17256CD9D5}">
            <xm:f>NOT(ISERROR(SEARCH($AN$682,AA669)))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91" operator="containsText" id="{6A929699-54EA-4987-81A8-C037DA4F8519}">
            <xm:f>NOT(ISERROR(SEARCH($AN$681,AA669)))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92" operator="containsText" id="{466BC8D7-B440-460A-A8DF-4AF7E9A878BE}">
            <xm:f>NOT(ISERROR(SEARCH($AN$680,AA669)))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93" operator="containsText" id="{F1C4354D-82EE-4065-BF0D-BF99BD189248}">
            <xm:f>NOT(ISERROR(SEARCH($AN$678,AA669)))</xm:f>
            <xm:f>$AN$678</xm:f>
            <x14:dxf>
              <fill>
                <patternFill>
                  <bgColor theme="9"/>
                </patternFill>
              </fill>
            </x14:dxf>
          </x14:cfRule>
          <xm:sqref>AA669</xm:sqref>
        </x14:conditionalFormatting>
        <x14:conditionalFormatting xmlns:xm="http://schemas.microsoft.com/office/excel/2006/main">
          <x14:cfRule type="containsText" priority="5642" operator="containsText" id="{28CBCEFA-B904-4E9C-9436-1C722AFAB350}">
            <xm:f>NOT(ISERROR(SEARCH($AN$692,AA705)))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643" operator="containsText" id="{C2775ACF-1F92-4F81-A627-87532D13791E}">
            <xm:f>NOT(ISERROR(SEARCH($AN$691,AA705)))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644" operator="containsText" id="{6C314921-4A54-4378-9E0C-DD9EB7D4522F}">
            <xm:f>NOT(ISERROR(SEARCH($AN$689,AA705)))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645" operator="containsText" id="{CF9EF3EE-E917-42D8-9D8D-263EE05E31BC}">
            <xm:f>NOT(ISERROR(SEARCH($AN$687,AA705)))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646" operator="containsText" id="{AFE150DB-11A7-4358-8B27-26A844D09E80}">
            <xm:f>NOT(ISERROR(SEARCH($AN$688,AA705)))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647" operator="containsText" id="{8B062AC0-73F1-4056-A3E9-6D4F2FEE9BAA}">
            <xm:f>NOT(ISERROR(SEARCH($AN$686,AA705)))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648" operator="containsText" id="{71757011-116F-4D82-8BAA-0524EFBA89C0}">
            <xm:f>NOT(ISERROR(SEARCH($AN$685,AA705)))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649" operator="containsText" id="{8CCC4113-D387-4A05-91FE-0ACAF6392734}">
            <xm:f>NOT(ISERROR(SEARCH($AN$684,AA705)))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650" operator="containsText" id="{1E6D51B4-D6D7-4C98-8A05-7DEFAD305C4F}">
            <xm:f>NOT(ISERROR(SEARCH($AN$683,AA705)))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651" operator="containsText" id="{01C88C89-1E31-466A-921F-0BC1989E80E9}">
            <xm:f>NOT(ISERROR(SEARCH($AN$682,AA705)))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652" operator="containsText" id="{3502EC36-E3DF-45CB-AA38-CFC82148AD01}">
            <xm:f>NOT(ISERROR(SEARCH($AN$681,AA705)))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653" operator="containsText" id="{EA20B59A-C6FE-4617-B7A4-40A66168208D}">
            <xm:f>NOT(ISERROR(SEARCH($AN$680,AA705)))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654" operator="containsText" id="{28313008-7644-4AF2-A512-E191E7DAC8D0}">
            <xm:f>NOT(ISERROR(SEARCH($AN$678,AA705)))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655" operator="containsText" id="{9517AF5D-1317-490E-A06A-D1190547A173}">
            <xm:f>NOT(ISERROR(SEARCH($AN$679,AA705)))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AA705:AA709</xm:sqref>
        </x14:conditionalFormatting>
        <x14:conditionalFormatting xmlns:xm="http://schemas.microsoft.com/office/excel/2006/main">
          <x14:cfRule type="containsText" priority="6271" operator="containsText" id="{F46BC1D1-4E1E-4280-8F28-07E4F0D5CC57}">
            <xm:f>NOT(ISERROR(SEARCH($AN$687,AA761)))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6272" operator="containsText" id="{F2AB950C-E4AA-45E4-8F8B-7C29CA724A81}">
            <xm:f>NOT(ISERROR(SEARCH($AN$688,AA761)))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6273" operator="containsText" id="{ED408C24-C09D-433A-968D-0E9237079801}">
            <xm:f>NOT(ISERROR(SEARCH($AN$686,AA761)))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274" operator="containsText" id="{6752AF32-88F2-4024-97A0-D549FAB9DBCB}">
            <xm:f>NOT(ISERROR(SEARCH($AN$685,AA761)))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6275" operator="containsText" id="{3FDBC0DD-8DA4-42FF-A6A1-C8929A710D3A}">
            <xm:f>NOT(ISERROR(SEARCH($AN$684,AA761)))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276" operator="containsText" id="{BEBAEF8F-96B3-40BC-8422-F7E6FCE022CD}">
            <xm:f>NOT(ISERROR(SEARCH($AN$683,AA761)))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6277" operator="containsText" id="{E982EDED-FE3B-4280-8282-71F19EA5A59F}">
            <xm:f>NOT(ISERROR(SEARCH($AN$682,AA761)))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6278" operator="containsText" id="{576A3E28-9CCA-49AE-827E-AD57B517C834}">
            <xm:f>NOT(ISERROR(SEARCH($AN$681,AA761)))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6279" operator="containsText" id="{46446939-9C30-42AC-8FD9-FA2056E393F1}">
            <xm:f>NOT(ISERROR(SEARCH($AN$680,AA761)))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6280" operator="containsText" id="{F3AEB1DD-BFC1-43FC-A246-1CDB06F813A2}">
            <xm:f>NOT(ISERROR(SEARCH($AN$678,AA761)))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6281" operator="containsText" id="{6680BC4A-47D2-4648-A819-DD6D5A96FBC2}">
            <xm:f>NOT(ISERROR(SEARCH($AN$679,AA761)))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AA761</xm:sqref>
        </x14:conditionalFormatting>
        <x14:conditionalFormatting xmlns:xm="http://schemas.microsoft.com/office/excel/2006/main">
          <x14:cfRule type="containsText" priority="6243" operator="containsText" id="{7ECC61CC-AB35-4F1A-AB61-28E81E32A313}">
            <xm:f>NOT(ISERROR(SEARCH($AN$690,AA761)))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6244" operator="containsText" id="{B1249B7E-A82E-4538-A0DD-A5DD51120414}">
            <xm:f>NOT(ISERROR(SEARCH($AN$704,AA761)))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6245" operator="containsText" id="{F2F85B51-0D74-4932-B240-83CC918318A2}">
            <xm:f>NOT(ISERROR(SEARCH($AN$693,AA761)))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6246" operator="containsText" id="{D8D589CD-513E-41D3-AE2D-A767663A64E3}">
            <xm:f>NOT(ISERROR(SEARCH($AN$692,AA761)))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6247" operator="containsText" id="{34FE7A92-1991-496F-9E36-0255DACA8A42}">
            <xm:f>NOT(ISERROR(SEARCH($AN$691,AA761)))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6248" operator="containsText" id="{8C3CBEE3-2030-4E2B-BD45-BFE4D46BC84D}">
            <xm:f>NOT(ISERROR(SEARCH($AN$689,AA761)))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AA761:AA765</xm:sqref>
        </x14:conditionalFormatting>
        <x14:conditionalFormatting xmlns:xm="http://schemas.microsoft.com/office/excel/2006/main">
          <x14:cfRule type="containsText" priority="6259" operator="containsText" id="{EFC29825-EDC4-4031-BB61-3110B7038D85}">
            <xm:f>NOT(ISERROR(SEARCH($AN$679,AA762)))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AA762:AA763</xm:sqref>
        </x14:conditionalFormatting>
        <x14:conditionalFormatting xmlns:xm="http://schemas.microsoft.com/office/excel/2006/main">
          <x14:cfRule type="containsText" priority="6249" operator="containsText" id="{043926E8-95EF-409C-9344-D7CB32CACA0E}">
            <xm:f>NOT(ISERROR(SEARCH($AN$687,AA762)))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6250" operator="containsText" id="{B552BBDA-7325-4354-A744-CCC092357658}">
            <xm:f>NOT(ISERROR(SEARCH($AN$688,AA762)))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6251" operator="containsText" id="{87FAF646-C89D-4A72-A2C1-31B7D92474AA}">
            <xm:f>NOT(ISERROR(SEARCH($AN$686,AA762)))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252" operator="containsText" id="{6FD08CA7-3FB4-427E-B7F3-D6A4D9EAEAE1}">
            <xm:f>NOT(ISERROR(SEARCH($AN$685,AA762)))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6253" operator="containsText" id="{DD412FA7-BB7B-440A-BA82-B3946D283F99}">
            <xm:f>NOT(ISERROR(SEARCH($AN$684,AA762)))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254" operator="containsText" id="{42E20C9D-C72D-4214-B147-6BD9B5A66FCB}">
            <xm:f>NOT(ISERROR(SEARCH($AN$683,AA762)))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6255" operator="containsText" id="{E0C2BA52-1A92-4A05-B8E4-DD14DFD56D50}">
            <xm:f>NOT(ISERROR(SEARCH($AN$682,AA762)))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6256" operator="containsText" id="{14AC5682-F5D5-4CA2-B02C-A8D568EE4FBD}">
            <xm:f>NOT(ISERROR(SEARCH($AN$681,AA762)))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6257" operator="containsText" id="{5E43D870-E69A-4F1E-B29A-423717CA3DD6}">
            <xm:f>NOT(ISERROR(SEARCH($AN$680,AA762)))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6258" operator="containsText" id="{5F74DAB2-A1B5-4888-A529-7A5A02B79CA9}">
            <xm:f>NOT(ISERROR(SEARCH($AN$678,AA762)))</xm:f>
            <xm:f>$AN$678</xm:f>
            <x14:dxf>
              <fill>
                <patternFill>
                  <bgColor theme="9"/>
                </patternFill>
              </fill>
            </x14:dxf>
          </x14:cfRule>
          <xm:sqref>AA762:AA764</xm:sqref>
        </x14:conditionalFormatting>
        <x14:conditionalFormatting xmlns:xm="http://schemas.microsoft.com/office/excel/2006/main">
          <x14:cfRule type="containsText" priority="6270" operator="containsText" id="{0EEADCED-2723-4A96-8A47-86C9884AF16A}">
            <xm:f>NOT(ISERROR(SEARCH($AN$679,AA764)))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AA764:AA765</xm:sqref>
        </x14:conditionalFormatting>
        <x14:conditionalFormatting xmlns:xm="http://schemas.microsoft.com/office/excel/2006/main">
          <x14:cfRule type="containsText" priority="6260" operator="containsText" id="{579B8A06-0BB0-48E1-BE70-8E6994144BD7}">
            <xm:f>NOT(ISERROR(SEARCH($AN$687,AA765)))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6261" operator="containsText" id="{4EB09DCD-BE69-424E-A1BE-5B5D93566E21}">
            <xm:f>NOT(ISERROR(SEARCH($AN$688,AA765)))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6262" operator="containsText" id="{6FEF42CA-5072-4BF5-A5BA-E1C2AF1A9824}">
            <xm:f>NOT(ISERROR(SEARCH($AN$686,AA765)))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263" operator="containsText" id="{C9735BBA-F1ED-46AE-A3E1-A8B199D6BA0A}">
            <xm:f>NOT(ISERROR(SEARCH($AN$685,AA765)))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6264" operator="containsText" id="{5D83A1D8-4396-4876-96E0-87F8BB8FD213}">
            <xm:f>NOT(ISERROR(SEARCH($AN$684,AA765)))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265" operator="containsText" id="{1C77FA44-301C-4AF5-B856-6DA35CDF85E4}">
            <xm:f>NOT(ISERROR(SEARCH($AN$683,AA765)))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6266" operator="containsText" id="{454B392E-973C-462F-B2DF-CAA9D6C9E9D9}">
            <xm:f>NOT(ISERROR(SEARCH($AN$682,AA765)))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6267" operator="containsText" id="{B7DF878F-2521-407A-82DA-C262078CC743}">
            <xm:f>NOT(ISERROR(SEARCH($AN$681,AA765)))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6268" operator="containsText" id="{561A6B62-A837-4683-9C26-EDDC7848170C}">
            <xm:f>NOT(ISERROR(SEARCH($AN$680,AA765)))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6269" operator="containsText" id="{FAC2B365-BB28-4BC2-9D91-53AA15A3E16A}">
            <xm:f>NOT(ISERROR(SEARCH($AN$678,AA765)))</xm:f>
            <xm:f>$AN$678</xm:f>
            <x14:dxf>
              <fill>
                <patternFill>
                  <bgColor theme="9"/>
                </patternFill>
              </fill>
            </x14:dxf>
          </x14:cfRule>
          <xm:sqref>AA765</xm:sqref>
        </x14:conditionalFormatting>
        <x14:conditionalFormatting xmlns:xm="http://schemas.microsoft.com/office/excel/2006/main">
          <x14:cfRule type="containsText" priority="1848" operator="containsText" id="{E0E3AC17-2F6C-4888-8C52-46F83401928F}">
            <xm:f>NOT(ISERROR(SEARCH($AN$687,AB90)))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849" operator="containsText" id="{1FE06FBC-6F2C-4ACF-8EB2-7645DE4A7FDA}">
            <xm:f>NOT(ISERROR(SEARCH($AN$688,AB90)))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850" operator="containsText" id="{6CDA81DC-330C-464A-A638-59457CD461A7}">
            <xm:f>NOT(ISERROR(SEARCH($AN$686,AB90)))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51" operator="containsText" id="{DA030A12-A4E0-4D42-90B2-7F862808A130}">
            <xm:f>NOT(ISERROR(SEARCH($AN$685,AB90)))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852" operator="containsText" id="{EF03ECFB-7A83-45D1-A8D0-69850E071B39}">
            <xm:f>NOT(ISERROR(SEARCH($AN$684,AB90)))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53" operator="containsText" id="{B0AA26F5-0820-46DC-8038-57AA2437FFD9}">
            <xm:f>NOT(ISERROR(SEARCH($AN$683,AB90)))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854" operator="containsText" id="{301882E3-4066-45F5-A998-B488914F1CF1}">
            <xm:f>NOT(ISERROR(SEARCH($AN$682,AB90)))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855" operator="containsText" id="{DF74C602-6560-43F1-BDD8-6A762192B41C}">
            <xm:f>NOT(ISERROR(SEARCH($AN$681,AB90)))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856" operator="containsText" id="{A46DC85E-1F17-400D-8A86-73334E39C7A8}">
            <xm:f>NOT(ISERROR(SEARCH($AN$680,AB90)))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857" operator="containsText" id="{2A5372F5-D432-489B-B5D7-1B020C872607}">
            <xm:f>NOT(ISERROR(SEARCH($AN$678,AB90)))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858" operator="containsText" id="{77DB7415-F024-465E-922D-E47A3364030F}">
            <xm:f>NOT(ISERROR(SEARCH($AN$679,AB90)))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AB90</xm:sqref>
        </x14:conditionalFormatting>
        <x14:conditionalFormatting xmlns:xm="http://schemas.microsoft.com/office/excel/2006/main">
          <x14:cfRule type="containsText" priority="1907" operator="containsText" id="{0A7B842B-F3C0-48CD-AEBE-C249DA02D7F7}">
            <xm:f>NOT(ISERROR(SEARCH($AN$692,AB91)))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908" operator="containsText" id="{7A83DDFF-8949-4A8D-8063-F1089B8A75BE}">
            <xm:f>NOT(ISERROR(SEARCH($AN$691,AB91)))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909" operator="containsText" id="{DEFD06CE-3591-46B8-8DEE-E59D7CEBED37}">
            <xm:f>NOT(ISERROR(SEARCH($AN$689,AB91)))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910" operator="containsText" id="{3DBBDBEE-D6AF-42B5-802A-AD0D843D7C83}">
            <xm:f>NOT(ISERROR(SEARCH($AN$687,AB91)))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911" operator="containsText" id="{EF278C86-50B0-4D9C-BE2E-8F58C6085AED}">
            <xm:f>NOT(ISERROR(SEARCH($AN$688,AB91)))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912" operator="containsText" id="{623B2559-8FEE-461C-A8B5-BC9BE83F22B2}">
            <xm:f>NOT(ISERROR(SEARCH($AN$686,AB91)))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913" operator="containsText" id="{438466E8-B0D2-4DD2-A272-5A3C1B3BB3A2}">
            <xm:f>NOT(ISERROR(SEARCH($AN$685,AB91)))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914" operator="containsText" id="{93E123A8-38FC-4C23-9B65-C8F3E37D3925}">
            <xm:f>NOT(ISERROR(SEARCH($AN$684,AB91)))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915" operator="containsText" id="{D77BE82E-3F0C-4A3B-BA0D-E549224CC8F0}">
            <xm:f>NOT(ISERROR(SEARCH($AN$683,AB91)))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916" operator="containsText" id="{84880BCB-33C2-4F03-AB42-343D21E659A2}">
            <xm:f>NOT(ISERROR(SEARCH($AN$682,AB91)))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917" operator="containsText" id="{B16E810D-8CA7-4E5F-85DE-66435C8A9341}">
            <xm:f>NOT(ISERROR(SEARCH($AN$681,AB91)))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918" operator="containsText" id="{801C14B6-EF33-4500-8319-75E1DF03BB9C}">
            <xm:f>NOT(ISERROR(SEARCH($AN$680,AB91)))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919" operator="containsText" id="{AC3D49FF-33AE-49B1-9479-C217D5F6C14E}">
            <xm:f>NOT(ISERROR(SEARCH($AN$678,AB91)))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920" operator="containsText" id="{73D5FF03-92F5-429D-B790-206FE04AFA32}">
            <xm:f>NOT(ISERROR(SEARCH($AN$679,AB91)))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AB91</xm:sqref>
        </x14:conditionalFormatting>
        <x14:conditionalFormatting xmlns:xm="http://schemas.microsoft.com/office/excel/2006/main">
          <x14:cfRule type="containsText" priority="1904" operator="containsText" id="{DD2F455F-BDFD-4E3E-BFD6-DDE9E5998870}">
            <xm:f>NOT(ISERROR(SEARCH($AN$690,AB91)))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905" operator="containsText" id="{524A10E8-8CB5-491B-BDC4-6B99523045E5}">
            <xm:f>NOT(ISERROR(SEARCH($AN$704,AB91)))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906" operator="containsText" id="{85BDBA8F-77EB-4CED-A20F-0F4B4EEAF484}">
            <xm:f>NOT(ISERROR(SEARCH($AN$693,AB91)))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AB91:AB93</xm:sqref>
        </x14:conditionalFormatting>
        <x14:conditionalFormatting xmlns:xm="http://schemas.microsoft.com/office/excel/2006/main">
          <x14:cfRule type="containsText" priority="1956" operator="containsText" id="{3CFB7B6A-D6AE-4960-BCC3-0F433AFD0785}">
            <xm:f>NOT(ISERROR(SEARCH($AN$687,AB92)))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957" operator="containsText" id="{431EB039-50EB-4E44-9780-2F6280680DEA}">
            <xm:f>NOT(ISERROR(SEARCH($AN$688,AB92)))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958" operator="containsText" id="{6F2A7676-AEF8-4DFA-A2C5-3C5B4D8B56A7}">
            <xm:f>NOT(ISERROR(SEARCH($AN$686,AB92)))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959" operator="containsText" id="{1B97E66D-6466-4B8A-B3C1-98FE71909532}">
            <xm:f>NOT(ISERROR(SEARCH($AN$685,AB92)))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960" operator="containsText" id="{21F82A8E-80E2-440F-AE9A-1D6874DE8486}">
            <xm:f>NOT(ISERROR(SEARCH($AN$684,AB92)))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961" operator="containsText" id="{5F8A1D2E-B3A0-4CB2-A720-723BFD599251}">
            <xm:f>NOT(ISERROR(SEARCH($AN$683,AB92)))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962" operator="containsText" id="{9C2E0336-0689-4AB6-B971-4757C5261A10}">
            <xm:f>NOT(ISERROR(SEARCH($AN$682,AB92)))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963" operator="containsText" id="{0E393C8C-1604-43A2-99BD-06BCDB69CFC7}">
            <xm:f>NOT(ISERROR(SEARCH($AN$681,AB92)))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964" operator="containsText" id="{E85A7070-6005-4940-ADB2-455EA5C6380E}">
            <xm:f>NOT(ISERROR(SEARCH($AN$680,AB92)))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965" operator="containsText" id="{6A8B4289-5FC2-486A-A717-7307DE9F904E}">
            <xm:f>NOT(ISERROR(SEARCH($AN$678,AB92)))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966" operator="containsText" id="{327F5824-2EF2-40EF-A465-6A46164EDB1B}">
            <xm:f>NOT(ISERROR(SEARCH($AN$679,AB92)))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AB92</xm:sqref>
        </x14:conditionalFormatting>
        <x14:conditionalFormatting xmlns:xm="http://schemas.microsoft.com/office/excel/2006/main">
          <x14:cfRule type="containsText" priority="1953" operator="containsText" id="{5EE7F531-0E99-42D9-A40B-9F0D854E9349}">
            <xm:f>NOT(ISERROR(SEARCH($AN$692,AB92)))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954" operator="containsText" id="{AB79A36C-CCE7-42F5-BCA0-7D79983FB4E6}">
            <xm:f>NOT(ISERROR(SEARCH($AN$691,AB92)))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955" operator="containsText" id="{804C9C3E-5CB8-4340-A2D6-0F9F25AE8D21}">
            <xm:f>NOT(ISERROR(SEARCH($AN$689,AB92)))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AB92:AB93</xm:sqref>
        </x14:conditionalFormatting>
        <x14:conditionalFormatting xmlns:xm="http://schemas.microsoft.com/office/excel/2006/main">
          <x14:cfRule type="containsText" priority="1967" operator="containsText" id="{31D39F39-1B0C-47C4-B5F5-E92136AA120D}">
            <xm:f>NOT(ISERROR(SEARCH($AN$687,AB93)))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968" operator="containsText" id="{63776B9E-33FD-4E9B-847C-1A325032BA51}">
            <xm:f>NOT(ISERROR(SEARCH($AN$688,AB93)))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969" operator="containsText" id="{92942487-BBCD-42AE-88B9-70A314D40648}">
            <xm:f>NOT(ISERROR(SEARCH($AN$686,AB93)))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970" operator="containsText" id="{B592DB27-8751-43FB-B156-CB5283B85383}">
            <xm:f>NOT(ISERROR(SEARCH($AN$685,AB93)))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971" operator="containsText" id="{2084AF37-1547-49AA-88A7-30E1473E2536}">
            <xm:f>NOT(ISERROR(SEARCH($AN$684,AB93)))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972" operator="containsText" id="{1151825A-1B68-464C-8606-ABCA7C739755}">
            <xm:f>NOT(ISERROR(SEARCH($AN$683,AB93)))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973" operator="containsText" id="{C441C597-AAC7-4B0E-A98E-6A5A8B2AAD59}">
            <xm:f>NOT(ISERROR(SEARCH($AN$682,AB93)))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974" operator="containsText" id="{B2F35DEF-0251-4EC5-A8D1-73ECB00238F2}">
            <xm:f>NOT(ISERROR(SEARCH($AN$681,AB93)))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975" operator="containsText" id="{D5F1557E-B421-46DF-84EB-2BCE71CE1030}">
            <xm:f>NOT(ISERROR(SEARCH($AN$680,AB93)))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976" operator="containsText" id="{06F85FC3-B6FE-4743-B59E-A95DBC58AF7B}">
            <xm:f>NOT(ISERROR(SEARCH($AN$678,AB93)))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977" operator="containsText" id="{69D4AB3D-FAB8-43E5-BF49-3A518BCCCC57}">
            <xm:f>NOT(ISERROR(SEARCH($AN$679,AB93)))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AB93</xm:sqref>
        </x14:conditionalFormatting>
        <x14:conditionalFormatting xmlns:xm="http://schemas.microsoft.com/office/excel/2006/main">
          <x14:cfRule type="containsText" priority="1543" operator="containsText" id="{E11C7A9E-1922-41E8-B929-42B0FC406A2A}">
            <xm:f>NOT(ISERROR(SEARCH($AN$687,AB186)))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544" operator="containsText" id="{09A629DB-41F7-4F07-809F-2DAFC5A4EB53}">
            <xm:f>NOT(ISERROR(SEARCH($AN$688,AB186)))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545" operator="containsText" id="{3C598595-DA04-46CC-A9ED-EEEA334D5C4C}">
            <xm:f>NOT(ISERROR(SEARCH($AN$686,AB186)))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546" operator="containsText" id="{8946170B-5E58-4D5E-B71A-100335DDAFD9}">
            <xm:f>NOT(ISERROR(SEARCH($AN$685,AB186)))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547" operator="containsText" id="{616899EA-0771-4C5B-B0D8-C7AA5A7C40DC}">
            <xm:f>NOT(ISERROR(SEARCH($AN$684,AB186)))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548" operator="containsText" id="{9497E6A2-067A-4211-BA75-59B9070D4B13}">
            <xm:f>NOT(ISERROR(SEARCH($AN$683,AB186)))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549" operator="containsText" id="{72C7AEAB-E9E1-4A24-ABA1-0F85DDBEB8E3}">
            <xm:f>NOT(ISERROR(SEARCH($AN$682,AB186)))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550" operator="containsText" id="{7E6A28F1-12F6-4C00-8B29-67A4D7752769}">
            <xm:f>NOT(ISERROR(SEARCH($AN$681,AB186)))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551" operator="containsText" id="{B5F7DF4B-5CA4-40B4-A36E-A2F8BEB76E2D}">
            <xm:f>NOT(ISERROR(SEARCH($AN$680,AB186)))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552" operator="containsText" id="{D873E23A-412D-4088-8109-B8895B3E4D93}">
            <xm:f>NOT(ISERROR(SEARCH($AN$678,AB186)))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553" operator="containsText" id="{F0A929BB-CDB0-4136-825F-96493017824A}">
            <xm:f>NOT(ISERROR(SEARCH($AN$679,AB186)))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AB186</xm:sqref>
        </x14:conditionalFormatting>
        <x14:conditionalFormatting xmlns:xm="http://schemas.microsoft.com/office/excel/2006/main">
          <x14:cfRule type="containsText" priority="1602" operator="containsText" id="{2C9BEAA3-C5F1-43D7-99DF-684B1925197E}">
            <xm:f>NOT(ISERROR(SEARCH($AN$692,AB187)))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603" operator="containsText" id="{627BAF26-8393-4616-A19A-911608DD15F4}">
            <xm:f>NOT(ISERROR(SEARCH($AN$691,AB187)))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604" operator="containsText" id="{B8DDAC49-F45B-4BE9-9E8A-73A228C1E89A}">
            <xm:f>NOT(ISERROR(SEARCH($AN$689,AB187)))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605" operator="containsText" id="{9F90C1C1-2A68-466B-A757-EDBD5EEC1B3D}">
            <xm:f>NOT(ISERROR(SEARCH($AN$687,AB187)))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606" operator="containsText" id="{0A14A8B4-6E3C-4263-A8A4-5652DA2AACFA}">
            <xm:f>NOT(ISERROR(SEARCH($AN$688,AB187)))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607" operator="containsText" id="{1D6BBD12-78CC-4EC7-8857-2287269B65B8}">
            <xm:f>NOT(ISERROR(SEARCH($AN$686,AB187)))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08" operator="containsText" id="{DE2569FD-B2F3-43D8-86BA-1DFD6100547D}">
            <xm:f>NOT(ISERROR(SEARCH($AN$685,AB187)))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609" operator="containsText" id="{BC783B6C-A740-4063-945A-DF99991C15D3}">
            <xm:f>NOT(ISERROR(SEARCH($AN$684,AB187)))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10" operator="containsText" id="{3EF0854E-59E1-422B-91D3-71D8532C0AD4}">
            <xm:f>NOT(ISERROR(SEARCH($AN$683,AB187)))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611" operator="containsText" id="{6970BDCE-70A5-48B6-A2D1-019BF4B9CCF6}">
            <xm:f>NOT(ISERROR(SEARCH($AN$682,AB187)))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612" operator="containsText" id="{6674B540-233F-4ADC-A228-0469A1ABDF68}">
            <xm:f>NOT(ISERROR(SEARCH($AN$681,AB187)))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613" operator="containsText" id="{4BAF0042-CDD6-4DAB-B201-377E888709DD}">
            <xm:f>NOT(ISERROR(SEARCH($AN$680,AB187)))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614" operator="containsText" id="{5CC1F42D-01A4-4C0F-A528-0741010415B4}">
            <xm:f>NOT(ISERROR(SEARCH($AN$678,AB187)))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615" operator="containsText" id="{E90448F8-D79E-4D01-AC5B-629D9AF4266A}">
            <xm:f>NOT(ISERROR(SEARCH($AN$679,AB187)))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AB187</xm:sqref>
        </x14:conditionalFormatting>
        <x14:conditionalFormatting xmlns:xm="http://schemas.microsoft.com/office/excel/2006/main">
          <x14:cfRule type="containsText" priority="1599" operator="containsText" id="{FDABBC7A-8E1D-46CE-AD2D-1733819B629C}">
            <xm:f>NOT(ISERROR(SEARCH($AN$690,AB187)))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600" operator="containsText" id="{16D437B0-519B-4EA5-B092-1FD8B3828045}">
            <xm:f>NOT(ISERROR(SEARCH($AN$704,AB187)))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601" operator="containsText" id="{5BF27C02-3E80-42ED-B6D0-C099E34B1CA7}">
            <xm:f>NOT(ISERROR(SEARCH($AN$693,AB187)))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AB187:AB189</xm:sqref>
        </x14:conditionalFormatting>
        <x14:conditionalFormatting xmlns:xm="http://schemas.microsoft.com/office/excel/2006/main">
          <x14:cfRule type="containsText" priority="1651" operator="containsText" id="{0831E7C3-CFA6-4246-BA0C-D7B11D782EFB}">
            <xm:f>NOT(ISERROR(SEARCH($AN$687,AB188)))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652" operator="containsText" id="{2347A19F-4143-441B-A783-2953AFF7A678}">
            <xm:f>NOT(ISERROR(SEARCH($AN$688,AB188)))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653" operator="containsText" id="{65D8A906-6C3C-4766-9A80-3569C80FD123}">
            <xm:f>NOT(ISERROR(SEARCH($AN$686,AB188)))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54" operator="containsText" id="{79F85FAF-92DC-4404-BA4F-163A2AA5B1DB}">
            <xm:f>NOT(ISERROR(SEARCH($AN$685,AB188)))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655" operator="containsText" id="{B91AF070-7C81-475B-972A-C6B444909B91}">
            <xm:f>NOT(ISERROR(SEARCH($AN$684,AB188)))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56" operator="containsText" id="{131AFEED-B8EE-4894-AE19-44A45A79F15B}">
            <xm:f>NOT(ISERROR(SEARCH($AN$683,AB188)))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657" operator="containsText" id="{FD446F6E-F691-4423-980E-4ABC8CE99FF9}">
            <xm:f>NOT(ISERROR(SEARCH($AN$682,AB188)))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658" operator="containsText" id="{512600B3-80C4-4C24-9620-75245972950F}">
            <xm:f>NOT(ISERROR(SEARCH($AN$681,AB188)))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659" operator="containsText" id="{BF01DD69-BE31-4768-AA03-C18587EC1E50}">
            <xm:f>NOT(ISERROR(SEARCH($AN$680,AB188)))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660" operator="containsText" id="{09F6270F-F882-477B-9C59-52BF916C841E}">
            <xm:f>NOT(ISERROR(SEARCH($AN$678,AB188)))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661" operator="containsText" id="{B0AFC610-2D5C-4167-8C13-C33661C0CCB2}">
            <xm:f>NOT(ISERROR(SEARCH($AN$679,AB188)))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AB188</xm:sqref>
        </x14:conditionalFormatting>
        <x14:conditionalFormatting xmlns:xm="http://schemas.microsoft.com/office/excel/2006/main">
          <x14:cfRule type="containsText" priority="1648" operator="containsText" id="{AE4802D5-6A2A-4314-87D0-CE2D7E8C70FC}">
            <xm:f>NOT(ISERROR(SEARCH($AN$692,AB188)))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649" operator="containsText" id="{6FB36414-4419-45E4-AD7F-BDE9D6336986}">
            <xm:f>NOT(ISERROR(SEARCH($AN$691,AB188)))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650" operator="containsText" id="{1F553F97-70FE-4444-B1E7-7E1626DC5418}">
            <xm:f>NOT(ISERROR(SEARCH($AN$689,AB188)))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AB188:AB189</xm:sqref>
        </x14:conditionalFormatting>
        <x14:conditionalFormatting xmlns:xm="http://schemas.microsoft.com/office/excel/2006/main">
          <x14:cfRule type="containsText" priority="1662" operator="containsText" id="{D4774234-9DF0-4BE1-946C-0F23C63E3A4E}">
            <xm:f>NOT(ISERROR(SEARCH($AN$687,AB189)))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663" operator="containsText" id="{10575DFC-CE00-4929-905F-8AF88ECB0419}">
            <xm:f>NOT(ISERROR(SEARCH($AN$688,AB189)))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664" operator="containsText" id="{4E8717F8-49D9-49F1-B7E7-D47E1E684182}">
            <xm:f>NOT(ISERROR(SEARCH($AN$686,AB189)))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65" operator="containsText" id="{99901BA2-1C77-488F-933C-C2ECEF985E17}">
            <xm:f>NOT(ISERROR(SEARCH($AN$685,AB189)))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666" operator="containsText" id="{5F53E821-F525-4872-9618-5F269D1C3F21}">
            <xm:f>NOT(ISERROR(SEARCH($AN$684,AB189)))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67" operator="containsText" id="{2F36E94B-587B-41B1-8BAE-911D5AE9DE9C}">
            <xm:f>NOT(ISERROR(SEARCH($AN$683,AB189)))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668" operator="containsText" id="{5D13FA99-9546-4C18-AADC-D8F4C7C3BA10}">
            <xm:f>NOT(ISERROR(SEARCH($AN$682,AB189)))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669" operator="containsText" id="{F4549E16-6845-40FE-AA40-5E8F00D385CA}">
            <xm:f>NOT(ISERROR(SEARCH($AN$681,AB189)))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670" operator="containsText" id="{DD7B36EF-1A86-43F9-BB8F-7273B1E9CDEA}">
            <xm:f>NOT(ISERROR(SEARCH($AN$680,AB189)))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671" operator="containsText" id="{EF27DEBA-F63B-4D7F-91D2-29CF293129AB}">
            <xm:f>NOT(ISERROR(SEARCH($AN$678,AB189)))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672" operator="containsText" id="{AFD7308C-A517-4BA2-A6FD-5CAE868FAF66}">
            <xm:f>NOT(ISERROR(SEARCH($AN$679,AB189)))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AB189</xm:sqref>
        </x14:conditionalFormatting>
        <x14:conditionalFormatting xmlns:xm="http://schemas.microsoft.com/office/excel/2006/main">
          <x14:cfRule type="containsText" priority="1238" operator="containsText" id="{ADC26F1C-5D34-4A27-A24F-A41F53F13DC5}">
            <xm:f>NOT(ISERROR(SEARCH($AN$687,AB282)))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239" operator="containsText" id="{E7696298-FA5E-4CB5-985C-7851D7EC3973}">
            <xm:f>NOT(ISERROR(SEARCH($AN$688,AB282)))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40" operator="containsText" id="{989979E2-2E1C-4FBA-8CDF-6202228A8CCF}">
            <xm:f>NOT(ISERROR(SEARCH($AN$686,AB282)))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41" operator="containsText" id="{CBF5AF40-DA08-42EE-813D-EF09A50C21B7}">
            <xm:f>NOT(ISERROR(SEARCH($AN$685,AB282)))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42" operator="containsText" id="{6F3ED3B9-21AC-43A1-B09B-250FBF114D04}">
            <xm:f>NOT(ISERROR(SEARCH($AN$684,AB282)))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43" operator="containsText" id="{1272836C-6B31-4D83-927F-BD01EAA5135B}">
            <xm:f>NOT(ISERROR(SEARCH($AN$683,AB282)))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44" operator="containsText" id="{C041FBA1-E904-432D-9F06-437E8A49B1B1}">
            <xm:f>NOT(ISERROR(SEARCH($AN$682,AB282)))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45" operator="containsText" id="{22B71D5F-CFC6-44BC-AAF2-4A1452EA494C}">
            <xm:f>NOT(ISERROR(SEARCH($AN$681,AB282)))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46" operator="containsText" id="{32A096EC-E828-455E-87C2-173435389F3F}">
            <xm:f>NOT(ISERROR(SEARCH($AN$680,AB282)))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47" operator="containsText" id="{D4B9FB5C-C00C-414F-B100-AE77B72A176C}">
            <xm:f>NOT(ISERROR(SEARCH($AN$678,AB282)))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48" operator="containsText" id="{D680AB97-8C31-4AE7-8F39-5BD7AB995224}">
            <xm:f>NOT(ISERROR(SEARCH($AN$679,AB282)))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AB282</xm:sqref>
        </x14:conditionalFormatting>
        <x14:conditionalFormatting xmlns:xm="http://schemas.microsoft.com/office/excel/2006/main">
          <x14:cfRule type="containsText" priority="1297" operator="containsText" id="{11955732-2988-4A32-92E5-86C79BD2B00E}">
            <xm:f>NOT(ISERROR(SEARCH($AN$692,AB283)))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298" operator="containsText" id="{0FC0383B-C151-4938-A052-761EFD5A7EC7}">
            <xm:f>NOT(ISERROR(SEARCH($AN$691,AB283)))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299" operator="containsText" id="{491628F2-D623-4F0C-A64B-355F5ED11791}">
            <xm:f>NOT(ISERROR(SEARCH($AN$689,AB283)))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300" operator="containsText" id="{AD1F320A-6A17-4CD9-A73E-F2644E50ABBF}">
            <xm:f>NOT(ISERROR(SEARCH($AN$687,AB283)))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301" operator="containsText" id="{43AD3428-0DCD-403F-B94C-2B173B663D27}">
            <xm:f>NOT(ISERROR(SEARCH($AN$688,AB283)))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302" operator="containsText" id="{25DCF3A3-1703-42B2-BF0D-9F1236598D48}">
            <xm:f>NOT(ISERROR(SEARCH($AN$686,AB283)))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03" operator="containsText" id="{9E966656-1FD0-4037-A6B5-D7BBE68D089E}">
            <xm:f>NOT(ISERROR(SEARCH($AN$685,AB283)))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304" operator="containsText" id="{CEC67EED-2CCE-42D3-A2EC-B7826AEC872F}">
            <xm:f>NOT(ISERROR(SEARCH($AN$684,AB283)))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05" operator="containsText" id="{A468AA79-8F51-4B8B-9632-EEBF0F9D6DD5}">
            <xm:f>NOT(ISERROR(SEARCH($AN$683,AB283)))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306" operator="containsText" id="{04BD74FA-B64A-40E5-8942-69311B9500A9}">
            <xm:f>NOT(ISERROR(SEARCH($AN$682,AB283)))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307" operator="containsText" id="{C6A0BA87-E0B4-4B83-840C-557BDAA03E77}">
            <xm:f>NOT(ISERROR(SEARCH($AN$681,AB283)))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08" operator="containsText" id="{3B9C87AB-35B3-4E01-81D2-1DBEB0CBD8B6}">
            <xm:f>NOT(ISERROR(SEARCH($AN$680,AB283)))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09" operator="containsText" id="{E3F8D8CE-0C77-4841-8C89-B780D110963A}">
            <xm:f>NOT(ISERROR(SEARCH($AN$678,AB283)))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10" operator="containsText" id="{D51FB49A-AA1B-44E2-A74C-C7057141B255}">
            <xm:f>NOT(ISERROR(SEARCH($AN$679,AB283)))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AB283</xm:sqref>
        </x14:conditionalFormatting>
        <x14:conditionalFormatting xmlns:xm="http://schemas.microsoft.com/office/excel/2006/main">
          <x14:cfRule type="containsText" priority="1294" operator="containsText" id="{26FCAA18-956C-4E08-B2B7-C3AF12561280}">
            <xm:f>NOT(ISERROR(SEARCH($AN$690,AB283)))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295" operator="containsText" id="{DA80BF87-2768-44AE-B588-4051A199D961}">
            <xm:f>NOT(ISERROR(SEARCH($AN$704,AB283)))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296" operator="containsText" id="{3456E042-D03F-4B46-BFDE-AC060F0B7E13}">
            <xm:f>NOT(ISERROR(SEARCH($AN$693,AB283)))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AB283:AB285</xm:sqref>
        </x14:conditionalFormatting>
        <x14:conditionalFormatting xmlns:xm="http://schemas.microsoft.com/office/excel/2006/main">
          <x14:cfRule type="containsText" priority="1346" operator="containsText" id="{B1FE0712-AA2D-4BF1-93F0-F28F902A7E21}">
            <xm:f>NOT(ISERROR(SEARCH($AN$687,AB284)))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347" operator="containsText" id="{632E5FC7-95A2-4B64-92AA-B52416A7C660}">
            <xm:f>NOT(ISERROR(SEARCH($AN$688,AB284)))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348" operator="containsText" id="{3B2CC86C-3E4D-4848-8645-5905FBF7908B}">
            <xm:f>NOT(ISERROR(SEARCH($AN$686,AB284)))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49" operator="containsText" id="{EAD2D27B-682C-4A88-99FC-13963D0D59CA}">
            <xm:f>NOT(ISERROR(SEARCH($AN$685,AB284)))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350" operator="containsText" id="{D72CBCC2-6C57-4558-93EE-EF3E41B591C4}">
            <xm:f>NOT(ISERROR(SEARCH($AN$684,AB284)))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51" operator="containsText" id="{EFBA1DB7-99B7-4357-8151-D69974B5C12C}">
            <xm:f>NOT(ISERROR(SEARCH($AN$683,AB284)))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352" operator="containsText" id="{099F2B98-9122-4DFB-91CD-53F8A3BE3E88}">
            <xm:f>NOT(ISERROR(SEARCH($AN$682,AB284)))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353" operator="containsText" id="{BB3E9988-D973-4C90-945C-D39A3E433009}">
            <xm:f>NOT(ISERROR(SEARCH($AN$681,AB284)))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54" operator="containsText" id="{5DFDFAE6-A939-4DC4-843F-444FE2047BE4}">
            <xm:f>NOT(ISERROR(SEARCH($AN$680,AB284)))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55" operator="containsText" id="{9D0DD62E-A9F6-44F6-B9A4-0FFE4C8AC080}">
            <xm:f>NOT(ISERROR(SEARCH($AN$678,AB284)))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56" operator="containsText" id="{B89A77E0-889F-48D4-890F-F19AFA125340}">
            <xm:f>NOT(ISERROR(SEARCH($AN$679,AB284)))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AB284</xm:sqref>
        </x14:conditionalFormatting>
        <x14:conditionalFormatting xmlns:xm="http://schemas.microsoft.com/office/excel/2006/main">
          <x14:cfRule type="containsText" priority="1343" operator="containsText" id="{04F3190D-29B8-4B69-9DB1-A2487CD737F7}">
            <xm:f>NOT(ISERROR(SEARCH($AN$692,AB284)))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44" operator="containsText" id="{1D193CC6-C70C-4077-AF26-85AC26143D24}">
            <xm:f>NOT(ISERROR(SEARCH($AN$691,AB284)))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345" operator="containsText" id="{DB650484-A475-453C-A9F5-68F58E048DA4}">
            <xm:f>NOT(ISERROR(SEARCH($AN$689,AB284)))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AB284:AB285</xm:sqref>
        </x14:conditionalFormatting>
        <x14:conditionalFormatting xmlns:xm="http://schemas.microsoft.com/office/excel/2006/main">
          <x14:cfRule type="containsText" priority="1357" operator="containsText" id="{A0434BCB-6DF5-42DB-860D-C465D7410E0D}">
            <xm:f>NOT(ISERROR(SEARCH($AN$687,AB285)))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358" operator="containsText" id="{69C63F7E-6AB7-4024-A5D8-DC5130E3090D}">
            <xm:f>NOT(ISERROR(SEARCH($AN$688,AB285)))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359" operator="containsText" id="{C2F8848D-6F1F-4949-9B1B-EE35EDDE3DE7}">
            <xm:f>NOT(ISERROR(SEARCH($AN$686,AB285)))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60" operator="containsText" id="{672BED38-2E17-4045-A6B3-14457512D422}">
            <xm:f>NOT(ISERROR(SEARCH($AN$685,AB285)))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361" operator="containsText" id="{B5A70F62-DA1E-4FF3-AB9B-456DCE509514}">
            <xm:f>NOT(ISERROR(SEARCH($AN$684,AB285)))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62" operator="containsText" id="{CD9DF449-FEC9-4A30-93EC-403E2AD1E66D}">
            <xm:f>NOT(ISERROR(SEARCH($AN$683,AB285)))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363" operator="containsText" id="{25DE9E52-195C-440C-B4F5-EED8A1B1C884}">
            <xm:f>NOT(ISERROR(SEARCH($AN$682,AB285)))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364" operator="containsText" id="{0627689F-A741-4653-9EC7-A11DF8B7F319}">
            <xm:f>NOT(ISERROR(SEARCH($AN$681,AB285)))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65" operator="containsText" id="{1422F41E-0CB6-42E3-AB09-FE3C794E4995}">
            <xm:f>NOT(ISERROR(SEARCH($AN$680,AB285)))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66" operator="containsText" id="{AA002D12-EA6B-489A-9E4B-B7860EFED3E7}">
            <xm:f>NOT(ISERROR(SEARCH($AN$678,AB285)))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67" operator="containsText" id="{CBF569A4-D483-4C34-92BE-9015C3D0CAF7}">
            <xm:f>NOT(ISERROR(SEARCH($AN$679,AB285)))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AB285</xm:sqref>
        </x14:conditionalFormatting>
        <x14:conditionalFormatting xmlns:xm="http://schemas.microsoft.com/office/excel/2006/main">
          <x14:cfRule type="containsText" priority="933" operator="containsText" id="{FBF23F20-2831-462D-BF6D-CB718DCF9817}">
            <xm:f>NOT(ISERROR(SEARCH($AN$687,AB378)))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934" operator="containsText" id="{55309455-0318-44E5-B2CB-16B751467A76}">
            <xm:f>NOT(ISERROR(SEARCH($AN$688,AB378)))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35" operator="containsText" id="{88AF7F88-462E-4B8F-B9C7-8EE37D3696A3}">
            <xm:f>NOT(ISERROR(SEARCH($AN$686,AB378)))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36" operator="containsText" id="{54C01D15-F990-4040-945C-2CF530CEACE3}">
            <xm:f>NOT(ISERROR(SEARCH($AN$685,AB378)))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37" operator="containsText" id="{751FF10D-0058-4FCF-AC74-9E5FBE674D60}">
            <xm:f>NOT(ISERROR(SEARCH($AN$684,AB378)))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38" operator="containsText" id="{EBBAE954-61F1-4519-A372-6A1520758736}">
            <xm:f>NOT(ISERROR(SEARCH($AN$683,AB378)))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39" operator="containsText" id="{4E2B0F23-F78E-47A2-AF8C-C9BE8A70E237}">
            <xm:f>NOT(ISERROR(SEARCH($AN$682,AB378)))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40" operator="containsText" id="{EE36470F-64A6-4BD6-BE56-9F28CA9C2400}">
            <xm:f>NOT(ISERROR(SEARCH($AN$681,AB378)))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41" operator="containsText" id="{7F691DE1-B101-4019-90DA-1F163CE30BE1}">
            <xm:f>NOT(ISERROR(SEARCH($AN$680,AB378)))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42" operator="containsText" id="{76E7548C-74ED-4EC4-90C2-3AC62CE62CB8}">
            <xm:f>NOT(ISERROR(SEARCH($AN$678,AB378)))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43" operator="containsText" id="{B6040084-351D-42BA-84E7-642B46A26B12}">
            <xm:f>NOT(ISERROR(SEARCH($AN$679,AB378)))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AB378</xm:sqref>
        </x14:conditionalFormatting>
        <x14:conditionalFormatting xmlns:xm="http://schemas.microsoft.com/office/excel/2006/main">
          <x14:cfRule type="containsText" priority="992" operator="containsText" id="{5033F101-0BFC-4603-BFB5-F1A04427A3AB}">
            <xm:f>NOT(ISERROR(SEARCH($AN$692,AB379)))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93" operator="containsText" id="{3CC41114-BFD8-40A3-9C03-1D4BC3146DFC}">
            <xm:f>NOT(ISERROR(SEARCH($AN$691,AB379)))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994" operator="containsText" id="{3ED5188F-7A18-4F35-B070-786D38DFE1D3}">
            <xm:f>NOT(ISERROR(SEARCH($AN$689,AB379)))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995" operator="containsText" id="{60F4BF88-EA44-46E5-9EB6-1CD28945A467}">
            <xm:f>NOT(ISERROR(SEARCH($AN$687,AB379)))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996" operator="containsText" id="{812440DE-B427-4410-BB89-FA61AAFE2006}">
            <xm:f>NOT(ISERROR(SEARCH($AN$688,AB379)))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97" operator="containsText" id="{083DF09D-161E-4040-BC96-F6A0A4FF3D49}">
            <xm:f>NOT(ISERROR(SEARCH($AN$686,AB379)))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98" operator="containsText" id="{335C0ECC-0E72-40C1-B904-F0DEC43C3E7E}">
            <xm:f>NOT(ISERROR(SEARCH($AN$685,AB379)))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99" operator="containsText" id="{7F0F231F-64F0-41B4-8828-F217D21F4353}">
            <xm:f>NOT(ISERROR(SEARCH($AN$684,AB379)))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00" operator="containsText" id="{8C008A0E-D689-401E-BF12-27ADE68F3614}">
            <xm:f>NOT(ISERROR(SEARCH($AN$683,AB379)))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01" operator="containsText" id="{254F6D5E-CD27-44CE-8180-C0C1367D542B}">
            <xm:f>NOT(ISERROR(SEARCH($AN$682,AB379)))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02" operator="containsText" id="{A18F1F2D-936B-4CA8-A768-2C7976BA6B01}">
            <xm:f>NOT(ISERROR(SEARCH($AN$681,AB379)))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03" operator="containsText" id="{A0648C0F-37D6-4CE6-9870-DF8DC42B0FB9}">
            <xm:f>NOT(ISERROR(SEARCH($AN$680,AB379)))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04" operator="containsText" id="{1FC2C708-2188-46DE-8110-F0318DC65B87}">
            <xm:f>NOT(ISERROR(SEARCH($AN$678,AB379)))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05" operator="containsText" id="{1ACB0D82-C69E-4E44-9C0D-FCCD073D69AE}">
            <xm:f>NOT(ISERROR(SEARCH($AN$679,AB379)))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AB379</xm:sqref>
        </x14:conditionalFormatting>
        <x14:conditionalFormatting xmlns:xm="http://schemas.microsoft.com/office/excel/2006/main">
          <x14:cfRule type="containsText" priority="989" operator="containsText" id="{E8944683-D17E-44AB-A383-AD595D0842D4}">
            <xm:f>NOT(ISERROR(SEARCH($AN$690,AB379)))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990" operator="containsText" id="{0F37B662-8504-4138-B914-3DE42A3014BA}">
            <xm:f>NOT(ISERROR(SEARCH($AN$704,AB379)))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91" operator="containsText" id="{D5CCF503-B303-4C8E-8913-4276BB15E05D}">
            <xm:f>NOT(ISERROR(SEARCH($AN$693,AB379)))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AB379:AB381</xm:sqref>
        </x14:conditionalFormatting>
        <x14:conditionalFormatting xmlns:xm="http://schemas.microsoft.com/office/excel/2006/main">
          <x14:cfRule type="containsText" priority="1041" operator="containsText" id="{BF3FCB42-940F-46D7-96AB-92EF8D2F23D4}">
            <xm:f>NOT(ISERROR(SEARCH($AN$687,AB380)))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42" operator="containsText" id="{6BC3090B-C633-40DA-84E3-0882B3C746F0}">
            <xm:f>NOT(ISERROR(SEARCH($AN$688,AB380)))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43" operator="containsText" id="{A4B44095-FAFC-4F9A-9D33-887C16E9FE7B}">
            <xm:f>NOT(ISERROR(SEARCH($AN$686,AB380)))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44" operator="containsText" id="{55C2BDE3-F273-4CBF-8EC2-0793388C7EC8}">
            <xm:f>NOT(ISERROR(SEARCH($AN$685,AB380)))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45" operator="containsText" id="{76140A6E-645C-4028-AB8E-3840FDE48D7B}">
            <xm:f>NOT(ISERROR(SEARCH($AN$684,AB380)))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46" operator="containsText" id="{0A1B58AA-72B7-4027-A4BC-A3FA7F490277}">
            <xm:f>NOT(ISERROR(SEARCH($AN$683,AB380)))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47" operator="containsText" id="{85C4AFA9-3C29-4A95-9F3B-0FCAEFAE0FBC}">
            <xm:f>NOT(ISERROR(SEARCH($AN$682,AB380)))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48" operator="containsText" id="{92310F55-85FE-4B14-94E1-ACDA7AF7031E}">
            <xm:f>NOT(ISERROR(SEARCH($AN$681,AB380)))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49" operator="containsText" id="{D5264337-2660-4EC1-BFA5-320A69F5C6CA}">
            <xm:f>NOT(ISERROR(SEARCH($AN$680,AB380)))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50" operator="containsText" id="{A3CF6FCA-B6E2-4A2D-AB2B-870B853BE1B8}">
            <xm:f>NOT(ISERROR(SEARCH($AN$678,AB380)))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51" operator="containsText" id="{66027CFC-0EC7-4CE5-BA82-E35F8FB758B4}">
            <xm:f>NOT(ISERROR(SEARCH($AN$679,AB380)))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AB380</xm:sqref>
        </x14:conditionalFormatting>
        <x14:conditionalFormatting xmlns:xm="http://schemas.microsoft.com/office/excel/2006/main">
          <x14:cfRule type="containsText" priority="1038" operator="containsText" id="{90A432D8-24FD-4C80-AB00-0B92C7DE2C00}">
            <xm:f>NOT(ISERROR(SEARCH($AN$692,AB380)))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39" operator="containsText" id="{F2302FD4-339C-4BEF-8213-5927E8183ABD}">
            <xm:f>NOT(ISERROR(SEARCH($AN$691,AB380)))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040" operator="containsText" id="{385B123B-40C6-4113-9846-43396D453CF8}">
            <xm:f>NOT(ISERROR(SEARCH($AN$689,AB380)))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AB380:AB381</xm:sqref>
        </x14:conditionalFormatting>
        <x14:conditionalFormatting xmlns:xm="http://schemas.microsoft.com/office/excel/2006/main">
          <x14:cfRule type="containsText" priority="1052" operator="containsText" id="{FC0ACBB8-C114-47FB-8EB7-7B1FCFFA48C0}">
            <xm:f>NOT(ISERROR(SEARCH($AN$687,AB381)))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53" operator="containsText" id="{D7F0A524-F86D-47A2-AD57-1C1E0C940B36}">
            <xm:f>NOT(ISERROR(SEARCH($AN$688,AB381)))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54" operator="containsText" id="{05DDC4AF-2E4E-4CED-AB04-088F84A774CA}">
            <xm:f>NOT(ISERROR(SEARCH($AN$686,AB381)))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55" operator="containsText" id="{0D825823-74C1-4BA1-8B6C-DF311B51C5DC}">
            <xm:f>NOT(ISERROR(SEARCH($AN$685,AB381)))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56" operator="containsText" id="{9B166A0C-9974-41FA-A568-E9DF63240C1A}">
            <xm:f>NOT(ISERROR(SEARCH($AN$684,AB381)))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57" operator="containsText" id="{EE16EB7A-D24F-4287-A91C-85C6B90FA6E2}">
            <xm:f>NOT(ISERROR(SEARCH($AN$683,AB381)))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58" operator="containsText" id="{1AD88741-BD55-4461-AB5E-0C841D0BBE5A}">
            <xm:f>NOT(ISERROR(SEARCH($AN$682,AB381)))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59" operator="containsText" id="{A27F330F-386F-40D8-9C3C-9EAE935FAEB4}">
            <xm:f>NOT(ISERROR(SEARCH($AN$681,AB381)))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60" operator="containsText" id="{F0421B6D-292F-466A-ADA1-504838E25E83}">
            <xm:f>NOT(ISERROR(SEARCH($AN$680,AB381)))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61" operator="containsText" id="{79CA10BB-09B4-4F1A-AA14-8539260D8D69}">
            <xm:f>NOT(ISERROR(SEARCH($AN$678,AB381)))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62" operator="containsText" id="{E11EA67B-B924-49E6-AB9D-95123A404C41}">
            <xm:f>NOT(ISERROR(SEARCH($AN$679,AB381)))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AB381</xm:sqref>
        </x14:conditionalFormatting>
        <x14:conditionalFormatting xmlns:xm="http://schemas.microsoft.com/office/excel/2006/main">
          <x14:cfRule type="containsText" priority="628" operator="containsText" id="{0E5FDC66-D0E8-4322-B536-CD8EAEABF0DD}">
            <xm:f>NOT(ISERROR(SEARCH($AN$687,AB474)))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629" operator="containsText" id="{F196902C-C143-4829-8470-91334F9D1F01}">
            <xm:f>NOT(ISERROR(SEARCH($AN$688,AB474)))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630" operator="containsText" id="{EA1C82B4-3DEB-43D0-85C1-A9DA10AD4692}">
            <xm:f>NOT(ISERROR(SEARCH($AN$686,AB474)))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31" operator="containsText" id="{5B3FC62A-AB01-433A-B600-412F19E6C05D}">
            <xm:f>NOT(ISERROR(SEARCH($AN$685,AB474)))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632" operator="containsText" id="{BAADF3D1-BB80-4239-840E-FD905BBB8EB2}">
            <xm:f>NOT(ISERROR(SEARCH($AN$684,AB474)))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33" operator="containsText" id="{5CEAD0FE-2359-4C07-925C-E68A35BD7EBC}">
            <xm:f>NOT(ISERROR(SEARCH($AN$683,AB474)))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634" operator="containsText" id="{5B083151-BE58-487E-A226-BA9E981BE565}">
            <xm:f>NOT(ISERROR(SEARCH($AN$682,AB474)))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635" operator="containsText" id="{0594FD06-770E-4736-A200-7CD41E67C12F}">
            <xm:f>NOT(ISERROR(SEARCH($AN$681,AB474)))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636" operator="containsText" id="{355AE7AC-29EC-436D-AD2E-5D73913F0439}">
            <xm:f>NOT(ISERROR(SEARCH($AN$680,AB474)))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637" operator="containsText" id="{33886F07-C12C-4305-B1CE-E806E5252272}">
            <xm:f>NOT(ISERROR(SEARCH($AN$678,AB474)))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638" operator="containsText" id="{1A17E450-918E-4898-9FB3-443723775FF4}">
            <xm:f>NOT(ISERROR(SEARCH($AN$679,AB474)))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AB474</xm:sqref>
        </x14:conditionalFormatting>
        <x14:conditionalFormatting xmlns:xm="http://schemas.microsoft.com/office/excel/2006/main">
          <x14:cfRule type="containsText" priority="687" operator="containsText" id="{F4CA0053-C16B-4180-8F69-0ACD5AB5168A}">
            <xm:f>NOT(ISERROR(SEARCH($AN$692,AB475)))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688" operator="containsText" id="{9182EA57-6978-46E4-B9C0-A1E3D2BC0032}">
            <xm:f>NOT(ISERROR(SEARCH($AN$691,AB475)))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689" operator="containsText" id="{4372B877-AE1C-4A97-B437-55F53CB39DA9}">
            <xm:f>NOT(ISERROR(SEARCH($AN$689,AB475)))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690" operator="containsText" id="{A5A49352-6745-4F4F-A352-D9D1A28F5281}">
            <xm:f>NOT(ISERROR(SEARCH($AN$687,AB475)))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691" operator="containsText" id="{76F5895B-48E8-458A-ACFE-383736EE6C30}">
            <xm:f>NOT(ISERROR(SEARCH($AN$688,AB475)))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692" operator="containsText" id="{46AC306A-3E61-46AC-9245-5887ACA49337}">
            <xm:f>NOT(ISERROR(SEARCH($AN$686,AB475)))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93" operator="containsText" id="{166D6BB1-37A7-4F94-84D5-0FDC65E3013C}">
            <xm:f>NOT(ISERROR(SEARCH($AN$685,AB475)))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694" operator="containsText" id="{76A754F3-EA0A-4D11-87B0-D43C95F4F937}">
            <xm:f>NOT(ISERROR(SEARCH($AN$684,AB475)))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95" operator="containsText" id="{8ED4A19E-8BF9-44FB-8AED-48C3EC34E73E}">
            <xm:f>NOT(ISERROR(SEARCH($AN$683,AB475)))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696" operator="containsText" id="{27AC4638-AA54-4C55-BBD2-7865EEB97BFA}">
            <xm:f>NOT(ISERROR(SEARCH($AN$682,AB475)))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697" operator="containsText" id="{FC165D31-20CB-4974-AC94-DDA347C7861D}">
            <xm:f>NOT(ISERROR(SEARCH($AN$681,AB475)))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698" operator="containsText" id="{16FA95E3-C00B-42D8-AF19-150F82561565}">
            <xm:f>NOT(ISERROR(SEARCH($AN$680,AB475)))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699" operator="containsText" id="{903CE6E3-08C9-48A7-B9DB-4220A72EDA8A}">
            <xm:f>NOT(ISERROR(SEARCH($AN$678,AB475)))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700" operator="containsText" id="{4244EA61-2406-4546-BA48-EEBF488A3177}">
            <xm:f>NOT(ISERROR(SEARCH($AN$679,AB475)))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AB475</xm:sqref>
        </x14:conditionalFormatting>
        <x14:conditionalFormatting xmlns:xm="http://schemas.microsoft.com/office/excel/2006/main">
          <x14:cfRule type="containsText" priority="684" operator="containsText" id="{56FB5670-3D42-48F0-8C72-B851D94BC106}">
            <xm:f>NOT(ISERROR(SEARCH($AN$690,AB475)))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685" operator="containsText" id="{E48CC43C-8249-450C-AB55-BC40E7F6CA67}">
            <xm:f>NOT(ISERROR(SEARCH($AN$704,AB475)))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686" operator="containsText" id="{08C7229C-7D28-44D7-B23A-0F530C19E347}">
            <xm:f>NOT(ISERROR(SEARCH($AN$693,AB475)))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AB475:AB477</xm:sqref>
        </x14:conditionalFormatting>
        <x14:conditionalFormatting xmlns:xm="http://schemas.microsoft.com/office/excel/2006/main">
          <x14:cfRule type="containsText" priority="736" operator="containsText" id="{A37862C9-C8F0-47DD-92C1-5B7C5996BB48}">
            <xm:f>NOT(ISERROR(SEARCH($AN$687,AB476)))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737" operator="containsText" id="{9EC52D26-5240-4570-93CD-0C956557762B}">
            <xm:f>NOT(ISERROR(SEARCH($AN$688,AB476)))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738" operator="containsText" id="{449C25EA-9D82-4889-BB5D-0ABB1848F6D7}">
            <xm:f>NOT(ISERROR(SEARCH($AN$686,AB476)))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739" operator="containsText" id="{F60A48B5-3D37-487A-AC2A-81C971F4ECDE}">
            <xm:f>NOT(ISERROR(SEARCH($AN$685,AB476)))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740" operator="containsText" id="{5BCF90CA-8307-495D-8CB1-AEEE724E811B}">
            <xm:f>NOT(ISERROR(SEARCH($AN$684,AB476)))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741" operator="containsText" id="{9AAB3285-D98A-4CA3-8780-72BD61BE2EE0}">
            <xm:f>NOT(ISERROR(SEARCH($AN$683,AB476)))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742" operator="containsText" id="{C0143C45-200D-4BE4-9779-5676911E51DA}">
            <xm:f>NOT(ISERROR(SEARCH($AN$682,AB476)))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743" operator="containsText" id="{ABD643E3-C951-42B6-8EAA-9D28C22C3CF5}">
            <xm:f>NOT(ISERROR(SEARCH($AN$681,AB476)))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744" operator="containsText" id="{9D12F534-CA88-4E2B-BA79-A97FE3C50626}">
            <xm:f>NOT(ISERROR(SEARCH($AN$680,AB476)))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745" operator="containsText" id="{EEFCEE4B-8506-49FD-B9F5-C9E10C6F9D72}">
            <xm:f>NOT(ISERROR(SEARCH($AN$678,AB476)))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746" operator="containsText" id="{1242076F-CBA6-4723-9005-4B2DAFC992E3}">
            <xm:f>NOT(ISERROR(SEARCH($AN$679,AB476)))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AB476</xm:sqref>
        </x14:conditionalFormatting>
        <x14:conditionalFormatting xmlns:xm="http://schemas.microsoft.com/office/excel/2006/main">
          <x14:cfRule type="containsText" priority="733" operator="containsText" id="{4203F3CD-548D-49E0-AE90-CDB5426B0397}">
            <xm:f>NOT(ISERROR(SEARCH($AN$692,AB476)))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734" operator="containsText" id="{C0A2870D-CA82-4D94-A07A-3949378B61EC}">
            <xm:f>NOT(ISERROR(SEARCH($AN$691,AB476)))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735" operator="containsText" id="{DE32DA98-4E51-4236-AC8B-A1D822DC0CD2}">
            <xm:f>NOT(ISERROR(SEARCH($AN$689,AB476)))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AB476:AB477</xm:sqref>
        </x14:conditionalFormatting>
        <x14:conditionalFormatting xmlns:xm="http://schemas.microsoft.com/office/excel/2006/main">
          <x14:cfRule type="containsText" priority="747" operator="containsText" id="{7400FE3D-CEDE-4078-B8CD-85C97F5EBEE5}">
            <xm:f>NOT(ISERROR(SEARCH($AN$687,AB477)))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748" operator="containsText" id="{795AE07C-70D4-4149-BB1A-A312258BE8EA}">
            <xm:f>NOT(ISERROR(SEARCH($AN$688,AB477)))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749" operator="containsText" id="{CF6C98F3-6E5D-41AC-9EA7-DCA086C5E136}">
            <xm:f>NOT(ISERROR(SEARCH($AN$686,AB477)))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750" operator="containsText" id="{DC15E710-AD9F-499A-9FAC-48008DC94713}">
            <xm:f>NOT(ISERROR(SEARCH($AN$685,AB477)))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751" operator="containsText" id="{97324E54-E0F3-43E0-8701-534D2CA2D8EC}">
            <xm:f>NOT(ISERROR(SEARCH($AN$684,AB477)))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752" operator="containsText" id="{796AE46E-2C7A-446D-9E63-AB3A167E3B26}">
            <xm:f>NOT(ISERROR(SEARCH($AN$683,AB477)))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753" operator="containsText" id="{476527B3-5C58-45A5-B60C-77EB239CBAE4}">
            <xm:f>NOT(ISERROR(SEARCH($AN$682,AB477)))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754" operator="containsText" id="{3BCD44E4-0B40-44D8-8C0C-BEB87EA54A84}">
            <xm:f>NOT(ISERROR(SEARCH($AN$681,AB477)))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755" operator="containsText" id="{ACEAC5F4-D381-419C-BD91-8F4012899705}">
            <xm:f>NOT(ISERROR(SEARCH($AN$680,AB477)))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756" operator="containsText" id="{478B4A4D-2618-4D11-83CE-0DB16B9B7151}">
            <xm:f>NOT(ISERROR(SEARCH($AN$678,AB477)))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757" operator="containsText" id="{BC26C1E3-6D38-4937-8A7C-C43FE0B83C54}">
            <xm:f>NOT(ISERROR(SEARCH($AN$679,AB477)))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AB477</xm:sqref>
        </x14:conditionalFormatting>
        <x14:conditionalFormatting xmlns:xm="http://schemas.microsoft.com/office/excel/2006/main">
          <x14:cfRule type="containsText" priority="323" operator="containsText" id="{15B163C3-D27B-491E-99A0-C6670D3C4C1D}">
            <xm:f>NOT(ISERROR(SEARCH($AN$687,AB570)))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24" operator="containsText" id="{140073EC-DE1A-4D85-A1D5-28F42E55DE31}">
            <xm:f>NOT(ISERROR(SEARCH($AN$688,AB570)))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25" operator="containsText" id="{30CC022E-F224-4808-ACAF-E7065CAA7C03}">
            <xm:f>NOT(ISERROR(SEARCH($AN$686,AB570)))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26" operator="containsText" id="{7E8E3720-8230-4D27-86AB-D6D89B7A7330}">
            <xm:f>NOT(ISERROR(SEARCH($AN$685,AB570)))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27" operator="containsText" id="{3CD521E9-59BB-4721-A514-9B61E987AA42}">
            <xm:f>NOT(ISERROR(SEARCH($AN$684,AB570)))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28" operator="containsText" id="{26EC8D26-D007-41EC-90A7-42C8510990EF}">
            <xm:f>NOT(ISERROR(SEARCH($AN$683,AB570)))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29" operator="containsText" id="{AA4C1949-1352-4786-87D1-F6F44152E62B}">
            <xm:f>NOT(ISERROR(SEARCH($AN$682,AB570)))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30" operator="containsText" id="{3BA707F0-D1A4-4A85-A04D-7ECCFE0E5C86}">
            <xm:f>NOT(ISERROR(SEARCH($AN$681,AB570)))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31" operator="containsText" id="{08E3FDA5-58C0-4579-93FA-877A1AB5E7AA}">
            <xm:f>NOT(ISERROR(SEARCH($AN$680,AB570)))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32" operator="containsText" id="{00B33F64-45B9-42D9-91E3-35EE04D82160}">
            <xm:f>NOT(ISERROR(SEARCH($AN$678,AB570)))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33" operator="containsText" id="{0B5A58E8-D269-40D0-9001-648AE45472D1}">
            <xm:f>NOT(ISERROR(SEARCH($AN$679,AB570)))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AB570</xm:sqref>
        </x14:conditionalFormatting>
        <x14:conditionalFormatting xmlns:xm="http://schemas.microsoft.com/office/excel/2006/main">
          <x14:cfRule type="containsText" priority="382" operator="containsText" id="{926F96CE-6CF6-4823-A687-7F749BA97B17}">
            <xm:f>NOT(ISERROR(SEARCH($AN$692,AB571)))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83" operator="containsText" id="{2381BFC3-A4DE-47CC-A59D-99D72B95EE4D}">
            <xm:f>NOT(ISERROR(SEARCH($AN$691,AB571)))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84" operator="containsText" id="{2C8C08B2-AC80-4950-B9F2-58C272A192FC}">
            <xm:f>NOT(ISERROR(SEARCH($AN$689,AB571)))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85" operator="containsText" id="{AB9A3A89-622A-4BE0-9A64-EFF987893581}">
            <xm:f>NOT(ISERROR(SEARCH($AN$687,AB571)))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86" operator="containsText" id="{868D7520-102C-4952-96EF-98AE9DFDACB3}">
            <xm:f>NOT(ISERROR(SEARCH($AN$688,AB571)))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87" operator="containsText" id="{959FD242-B4CD-46CF-A170-6EC34DC49F72}">
            <xm:f>NOT(ISERROR(SEARCH($AN$686,AB571)))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88" operator="containsText" id="{941F04AB-25AB-46D0-B874-2018F2C91B76}">
            <xm:f>NOT(ISERROR(SEARCH($AN$685,AB571)))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89" operator="containsText" id="{64C18003-4153-40AD-BFF7-3EF61DA16F51}">
            <xm:f>NOT(ISERROR(SEARCH($AN$684,AB571)))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90" operator="containsText" id="{966CFA70-B0D6-45C8-BA86-91B6D6C1B757}">
            <xm:f>NOT(ISERROR(SEARCH($AN$683,AB571)))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91" operator="containsText" id="{60AC9973-BF52-44C1-9223-47B2E8696D93}">
            <xm:f>NOT(ISERROR(SEARCH($AN$682,AB571)))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92" operator="containsText" id="{91B85C58-7D8D-42CC-9769-EA0F4D2E110C}">
            <xm:f>NOT(ISERROR(SEARCH($AN$681,AB571)))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93" operator="containsText" id="{0B5936C7-4623-4963-8A80-0955F2EF2909}">
            <xm:f>NOT(ISERROR(SEARCH($AN$680,AB571)))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94" operator="containsText" id="{C3BFA032-340E-4AD0-9C2D-2329B213C289}">
            <xm:f>NOT(ISERROR(SEARCH($AN$678,AB571)))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95" operator="containsText" id="{30197ECE-BB2B-4189-9F7F-9C384A18A25E}">
            <xm:f>NOT(ISERROR(SEARCH($AN$679,AB571)))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AB571</xm:sqref>
        </x14:conditionalFormatting>
        <x14:conditionalFormatting xmlns:xm="http://schemas.microsoft.com/office/excel/2006/main">
          <x14:cfRule type="containsText" priority="379" operator="containsText" id="{9FA853D8-6D89-4846-ADFC-72F906C79958}">
            <xm:f>NOT(ISERROR(SEARCH($AN$690,AB571)))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80" operator="containsText" id="{0089198A-A050-47FA-942C-89681F352ED3}">
            <xm:f>NOT(ISERROR(SEARCH($AN$704,AB571)))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81" operator="containsText" id="{BA830DB3-0CE2-4072-973B-81CD7D66E819}">
            <xm:f>NOT(ISERROR(SEARCH($AN$693,AB571)))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AB571:AB573</xm:sqref>
        </x14:conditionalFormatting>
        <x14:conditionalFormatting xmlns:xm="http://schemas.microsoft.com/office/excel/2006/main">
          <x14:cfRule type="containsText" priority="431" operator="containsText" id="{0B6E6624-D164-45F7-8F54-333702C5978E}">
            <xm:f>NOT(ISERROR(SEARCH($AN$687,AB572)))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32" operator="containsText" id="{2DB338B2-C161-4845-8E57-CCC2A06664D4}">
            <xm:f>NOT(ISERROR(SEARCH($AN$688,AB572)))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33" operator="containsText" id="{E0C541AD-F5FC-495B-A8D9-21967EBD6CDB}">
            <xm:f>NOT(ISERROR(SEARCH($AN$686,AB572)))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34" operator="containsText" id="{81BD831F-822A-41EC-8C44-8506AD076CD3}">
            <xm:f>NOT(ISERROR(SEARCH($AN$685,AB572)))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35" operator="containsText" id="{14BF4535-0AFA-4728-A21E-E50A267B33E8}">
            <xm:f>NOT(ISERROR(SEARCH($AN$684,AB572)))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36" operator="containsText" id="{05FD4BEF-23C3-4DD6-B60F-A33274D68884}">
            <xm:f>NOT(ISERROR(SEARCH($AN$683,AB572)))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37" operator="containsText" id="{AA1B2DB0-A3D2-44B5-92AE-BC80248354E4}">
            <xm:f>NOT(ISERROR(SEARCH($AN$682,AB572)))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38" operator="containsText" id="{A2D5B029-B076-4E29-ADC6-89326B924E42}">
            <xm:f>NOT(ISERROR(SEARCH($AN$681,AB572)))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39" operator="containsText" id="{CA0A1005-E606-4D03-90F5-41A9017D6A94}">
            <xm:f>NOT(ISERROR(SEARCH($AN$680,AB572)))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40" operator="containsText" id="{5FCE1A54-62EE-426E-BD19-BA481AC60D58}">
            <xm:f>NOT(ISERROR(SEARCH($AN$678,AB572)))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41" operator="containsText" id="{E0B0D7A3-38AA-4C1B-86BE-4907296F206E}">
            <xm:f>NOT(ISERROR(SEARCH($AN$679,AB572)))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AB572</xm:sqref>
        </x14:conditionalFormatting>
        <x14:conditionalFormatting xmlns:xm="http://schemas.microsoft.com/office/excel/2006/main">
          <x14:cfRule type="containsText" priority="428" operator="containsText" id="{7930510B-B168-4D58-B3E7-88890AAA24B7}">
            <xm:f>NOT(ISERROR(SEARCH($AN$692,AB572)))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29" operator="containsText" id="{2AB64542-FDA7-4769-A5A9-D27FDC594D95}">
            <xm:f>NOT(ISERROR(SEARCH($AN$691,AB572)))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30" operator="containsText" id="{307AFB50-EEC9-451B-9659-9D9E05B7B91D}">
            <xm:f>NOT(ISERROR(SEARCH($AN$689,AB572)))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AB572:AB573</xm:sqref>
        </x14:conditionalFormatting>
        <x14:conditionalFormatting xmlns:xm="http://schemas.microsoft.com/office/excel/2006/main">
          <x14:cfRule type="containsText" priority="442" operator="containsText" id="{00F9A4D9-1847-49B5-AC3C-F71A6679CA63}">
            <xm:f>NOT(ISERROR(SEARCH($AN$687,AB573)))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43" operator="containsText" id="{8FE09B72-7F1E-4A4A-9F59-0BBD6559A80D}">
            <xm:f>NOT(ISERROR(SEARCH($AN$688,AB573)))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44" operator="containsText" id="{93D049A8-2885-4109-AD58-AAF1254A2BD9}">
            <xm:f>NOT(ISERROR(SEARCH($AN$686,AB573)))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45" operator="containsText" id="{3E347A32-3142-49FB-A817-C4B60E627C5D}">
            <xm:f>NOT(ISERROR(SEARCH($AN$685,AB573)))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46" operator="containsText" id="{3D81958E-DAB9-4B5C-9532-10C1C1499417}">
            <xm:f>NOT(ISERROR(SEARCH($AN$684,AB573)))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47" operator="containsText" id="{F64A4D99-11D6-4490-8536-041E0A406D6A}">
            <xm:f>NOT(ISERROR(SEARCH($AN$683,AB573)))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48" operator="containsText" id="{ABBCFD15-90F9-4FBD-B9A4-780D0882F744}">
            <xm:f>NOT(ISERROR(SEARCH($AN$682,AB573)))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49" operator="containsText" id="{043AA727-1F4B-43EB-907C-0E54ECCF5CE0}">
            <xm:f>NOT(ISERROR(SEARCH($AN$681,AB573)))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50" operator="containsText" id="{891D73BB-A9B6-44BE-91AF-CD842B0ED2A7}">
            <xm:f>NOT(ISERROR(SEARCH($AN$680,AB573)))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51" operator="containsText" id="{E5E3E085-AA7C-4689-8EA1-E1455F79F902}">
            <xm:f>NOT(ISERROR(SEARCH($AN$678,AB573)))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52" operator="containsText" id="{236E4457-F4A1-4D6C-83CF-ABDCC670ED27}">
            <xm:f>NOT(ISERROR(SEARCH($AN$679,AB573)))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AB573</xm:sqref>
        </x14:conditionalFormatting>
        <x14:conditionalFormatting xmlns:xm="http://schemas.microsoft.com/office/excel/2006/main">
          <x14:cfRule type="containsText" priority="18" operator="containsText" id="{6F8F48BC-EC91-4E96-B412-BAF9CAAD9927}">
            <xm:f>NOT(ISERROR(SEARCH($AN$687,AB666)))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9" operator="containsText" id="{38390B21-C595-4069-A8AA-317676D387AD}">
            <xm:f>NOT(ISERROR(SEARCH($AN$688,AB666)))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0" operator="containsText" id="{20CFAB52-260C-486E-9085-3E52E365A22B}">
            <xm:f>NOT(ISERROR(SEARCH($AN$686,AB666)))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" operator="containsText" id="{305A7AD1-F97D-47BC-B08A-27F897093A96}">
            <xm:f>NOT(ISERROR(SEARCH($AN$685,AB666)))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" operator="containsText" id="{5875A35C-B947-422F-A97A-39BDFE7393F6}">
            <xm:f>NOT(ISERROR(SEARCH($AN$684,AB666)))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" operator="containsText" id="{CADB4A26-E1FC-4B0A-83C2-E31A87780575}">
            <xm:f>NOT(ISERROR(SEARCH($AN$683,AB666)))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48AB42FA-084F-46C6-A16F-F8C5FD908E8C}">
            <xm:f>NOT(ISERROR(SEARCH($AN$682,AB666)))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5" operator="containsText" id="{79B1B397-C274-468A-8D3F-6DBB3FA1071D}">
            <xm:f>NOT(ISERROR(SEARCH($AN$681,AB666)))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" operator="containsText" id="{30AD674A-3EF6-4B6E-BD29-946AC15892C8}">
            <xm:f>NOT(ISERROR(SEARCH($AN$680,AB666)))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7" operator="containsText" id="{91142B49-CC49-4FEC-B640-D30577B224BC}">
            <xm:f>NOT(ISERROR(SEARCH($AN$678,AB666)))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8" operator="containsText" id="{9E860BFF-07BA-462A-BBC4-994BD982E032}">
            <xm:f>NOT(ISERROR(SEARCH($AN$679,AB666)))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AB666</xm:sqref>
        </x14:conditionalFormatting>
        <x14:conditionalFormatting xmlns:xm="http://schemas.microsoft.com/office/excel/2006/main">
          <x14:cfRule type="containsText" priority="77" operator="containsText" id="{E529B2BB-9310-48A2-B4E6-E946734BB733}">
            <xm:f>NOT(ISERROR(SEARCH($AN$692,AB667)))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78" operator="containsText" id="{B4F8B550-DB94-4D8B-BF48-D7F466BE2E3D}">
            <xm:f>NOT(ISERROR(SEARCH($AN$691,AB667)))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79" operator="containsText" id="{B29A7B44-D36E-48AA-8CCA-7D81A485BBF5}">
            <xm:f>NOT(ISERROR(SEARCH($AN$689,AB667)))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80" operator="containsText" id="{2FB8FE36-0D16-46DB-B124-46DF7AB8FFBE}">
            <xm:f>NOT(ISERROR(SEARCH($AN$687,AB667)))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81" operator="containsText" id="{ED0FF249-CECA-4273-931C-978BCF86C10C}">
            <xm:f>NOT(ISERROR(SEARCH($AN$688,AB667)))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82" operator="containsText" id="{53A758A7-E177-42B6-9E29-D9131D498B86}">
            <xm:f>NOT(ISERROR(SEARCH($AN$686,AB667)))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3" operator="containsText" id="{AA18ED81-9C3A-44EA-9315-73BD89F9ABC5}">
            <xm:f>NOT(ISERROR(SEARCH($AN$685,AB667)))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84" operator="containsText" id="{BE38AD73-6A91-43FD-897C-7EF94409DE2A}">
            <xm:f>NOT(ISERROR(SEARCH($AN$684,AB667)))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85" operator="containsText" id="{5A58676A-602E-478A-9546-29F5863718ED}">
            <xm:f>NOT(ISERROR(SEARCH($AN$683,AB667)))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86" operator="containsText" id="{25DCD39D-61CA-4C38-BDB4-27957C903675}">
            <xm:f>NOT(ISERROR(SEARCH($AN$682,AB667)))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87" operator="containsText" id="{E10A0739-6FA4-4EC8-B0E5-8C561415F3D7}">
            <xm:f>NOT(ISERROR(SEARCH($AN$681,AB667)))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88" operator="containsText" id="{83D34D36-F31A-4ACC-ABCD-42D4EC4BC0FC}">
            <xm:f>NOT(ISERROR(SEARCH($AN$680,AB667)))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89" operator="containsText" id="{8DCE3899-9D31-4ECE-95E4-4B40BFC620A2}">
            <xm:f>NOT(ISERROR(SEARCH($AN$678,AB667)))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0" operator="containsText" id="{E30E8CBC-D704-4993-8BAE-EBB4C448A716}">
            <xm:f>NOT(ISERROR(SEARCH($AN$679,AB667)))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AB667</xm:sqref>
        </x14:conditionalFormatting>
        <x14:conditionalFormatting xmlns:xm="http://schemas.microsoft.com/office/excel/2006/main">
          <x14:cfRule type="containsText" priority="74" operator="containsText" id="{D7768CC1-67DC-4392-8193-03FB85C2FB62}">
            <xm:f>NOT(ISERROR(SEARCH($AN$690,AB667)))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75" operator="containsText" id="{ACD30BC1-49AF-4C43-AA96-48D43B73FDA2}">
            <xm:f>NOT(ISERROR(SEARCH($AN$704,AB667)))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76" operator="containsText" id="{F5DB0C79-2D54-4F0E-A59A-DC6DD825C72B}">
            <xm:f>NOT(ISERROR(SEARCH($AN$693,AB667)))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AB667:AB669</xm:sqref>
        </x14:conditionalFormatting>
        <x14:conditionalFormatting xmlns:xm="http://schemas.microsoft.com/office/excel/2006/main">
          <x14:cfRule type="containsText" priority="126" operator="containsText" id="{23AF7265-D5CA-43D1-91D3-A20265333C0F}">
            <xm:f>NOT(ISERROR(SEARCH($AN$687,AB668)))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27" operator="containsText" id="{C9BE6BBF-2C1F-48CB-B410-0FBC57B0E6F2}">
            <xm:f>NOT(ISERROR(SEARCH($AN$688,AB668)))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8" operator="containsText" id="{C7CAB540-929A-4033-BA64-66DBB74D96E7}">
            <xm:f>NOT(ISERROR(SEARCH($AN$686,AB668)))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9" operator="containsText" id="{1E874F51-C2B9-4184-A1B8-F8A1A51E8354}">
            <xm:f>NOT(ISERROR(SEARCH($AN$685,AB668)))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30" operator="containsText" id="{5F005210-2186-4B56-B51A-2D38BBA45AAF}">
            <xm:f>NOT(ISERROR(SEARCH($AN$684,AB668)))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1" operator="containsText" id="{5479942E-B143-4BE6-AFD0-BEED3103A4C2}">
            <xm:f>NOT(ISERROR(SEARCH($AN$683,AB668)))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32" operator="containsText" id="{046E7CA3-4F40-4FD4-86C2-10004606EAEF}">
            <xm:f>NOT(ISERROR(SEARCH($AN$682,AB668)))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33" operator="containsText" id="{40621CFD-85B1-4239-A359-A9C0D1DA6470}">
            <xm:f>NOT(ISERROR(SEARCH($AN$681,AB668)))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4" operator="containsText" id="{61AC336C-35AE-4B03-9BB6-16BF84F21A6F}">
            <xm:f>NOT(ISERROR(SEARCH($AN$680,AB668)))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5" operator="containsText" id="{D454D588-F8D0-4A72-BE35-DDD3785F4241}">
            <xm:f>NOT(ISERROR(SEARCH($AN$678,AB668)))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6" operator="containsText" id="{F522C3D6-A4E2-447C-ADCF-BED360B6F389}">
            <xm:f>NOT(ISERROR(SEARCH($AN$679,AB668)))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AB668</xm:sqref>
        </x14:conditionalFormatting>
        <x14:conditionalFormatting xmlns:xm="http://schemas.microsoft.com/office/excel/2006/main">
          <x14:cfRule type="containsText" priority="123" operator="containsText" id="{14B735C0-F8C4-46B6-A6F5-A82142116829}">
            <xm:f>NOT(ISERROR(SEARCH($AN$692,AB668)))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24" operator="containsText" id="{E63DD110-3A54-4503-BAA8-FFFA53EF3260}">
            <xm:f>NOT(ISERROR(SEARCH($AN$691,AB668)))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25" operator="containsText" id="{F56835EC-3EDF-4707-9F8E-856C17705FFA}">
            <xm:f>NOT(ISERROR(SEARCH($AN$689,AB668)))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AB668:AB669</xm:sqref>
        </x14:conditionalFormatting>
        <x14:conditionalFormatting xmlns:xm="http://schemas.microsoft.com/office/excel/2006/main">
          <x14:cfRule type="containsText" priority="137" operator="containsText" id="{B1498084-9316-4679-9CB7-9D7C530E7804}">
            <xm:f>NOT(ISERROR(SEARCH($AN$687,AB669)))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38" operator="containsText" id="{44F407A6-FFE2-4C77-8BFD-AAC07C1FFC3E}">
            <xm:f>NOT(ISERROR(SEARCH($AN$688,AB669)))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39" operator="containsText" id="{B728D352-6DD9-4CB7-A222-0F6E5D4C604F}">
            <xm:f>NOT(ISERROR(SEARCH($AN$686,AB669)))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40" operator="containsText" id="{7D351B2C-3E34-4D26-913A-113B22272836}">
            <xm:f>NOT(ISERROR(SEARCH($AN$685,AB669)))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41" operator="containsText" id="{4323E3E1-6B25-4E90-A2F9-B4C877C542E8}">
            <xm:f>NOT(ISERROR(SEARCH($AN$684,AB669)))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42" operator="containsText" id="{6C66A350-72A7-4C0C-A331-B1686A534B91}">
            <xm:f>NOT(ISERROR(SEARCH($AN$683,AB669)))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43" operator="containsText" id="{A54770E7-3718-4B41-8439-97C79B9C07F9}">
            <xm:f>NOT(ISERROR(SEARCH($AN$682,AB669)))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44" operator="containsText" id="{D0C0D827-00CC-4880-ACD2-694608741489}">
            <xm:f>NOT(ISERROR(SEARCH($AN$681,AB669)))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45" operator="containsText" id="{0811B06A-8F00-49F0-8A32-67216EB4867F}">
            <xm:f>NOT(ISERROR(SEARCH($AN$680,AB669)))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46" operator="containsText" id="{DC0CC317-0660-480D-B0E9-AEBCD0582012}">
            <xm:f>NOT(ISERROR(SEARCH($AN$678,AB669)))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47" operator="containsText" id="{0937C49C-6AD7-45D2-9FF6-BA19986C943D}">
            <xm:f>NOT(ISERROR(SEARCH($AN$679,AB669)))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AB669</xm:sqref>
        </x14:conditionalFormatting>
        <x14:conditionalFormatting xmlns:xm="http://schemas.microsoft.com/office/excel/2006/main">
          <x14:cfRule type="containsText" priority="2153" operator="containsText" id="{ACF82F66-16DC-4B6A-8B0F-3FCB1F0B4995}">
            <xm:f>NOT(ISERROR(SEARCH($AN$687,AB762)))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54" operator="containsText" id="{63C64BF9-F7D3-4290-84D0-9E187CE8DF60}">
            <xm:f>NOT(ISERROR(SEARCH($AN$688,AB762)))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55" operator="containsText" id="{90655891-8727-4A17-9255-BC845DFE96B3}">
            <xm:f>NOT(ISERROR(SEARCH($AN$686,AB762)))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56" operator="containsText" id="{6F41EAC1-C330-4B06-B3F2-ABAA5164FE5B}">
            <xm:f>NOT(ISERROR(SEARCH($AN$685,AB762)))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57" operator="containsText" id="{CAD36B78-9409-4887-B6A8-073D3F5DFEB2}">
            <xm:f>NOT(ISERROR(SEARCH($AN$684,AB762)))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58" operator="containsText" id="{A2611ED8-85F4-479B-8B67-ADB5559081AF}">
            <xm:f>NOT(ISERROR(SEARCH($AN$683,AB762)))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59" operator="containsText" id="{C07EDFC4-5493-4E05-AE77-0B0A8AB5A0BA}">
            <xm:f>NOT(ISERROR(SEARCH($AN$682,AB762)))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160" operator="containsText" id="{055CEC0A-D57A-4F96-A7D2-B733DB253D20}">
            <xm:f>NOT(ISERROR(SEARCH($AN$681,AB762)))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61" operator="containsText" id="{EF464655-D1E3-4241-8319-A6E2A0D4A4CE}">
            <xm:f>NOT(ISERROR(SEARCH($AN$680,AB762)))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62" operator="containsText" id="{32759DC0-3728-49C6-97AE-B1BD5D5365B6}">
            <xm:f>NOT(ISERROR(SEARCH($AN$678,AB762)))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63" operator="containsText" id="{5899916C-07D1-4EB6-B8E5-F2D18433732D}">
            <xm:f>NOT(ISERROR(SEARCH($AN$679,AB762)))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AB762</xm:sqref>
        </x14:conditionalFormatting>
        <x14:conditionalFormatting xmlns:xm="http://schemas.microsoft.com/office/excel/2006/main">
          <x14:cfRule type="containsText" priority="2212" operator="containsText" id="{177BA0CE-EE5C-4235-9D64-C1F96E50C1B1}">
            <xm:f>NOT(ISERROR(SEARCH($AN$692,AB763)))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13" operator="containsText" id="{1370B87A-9743-48D6-9894-2114610A724D}">
            <xm:f>NOT(ISERROR(SEARCH($AN$691,AB763)))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14" operator="containsText" id="{E29AA6AD-1FA8-4555-B31C-3A3E4D77FF70}">
            <xm:f>NOT(ISERROR(SEARCH($AN$689,AB763)))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15" operator="containsText" id="{91A3669E-5233-4C9E-A11E-9879674EC304}">
            <xm:f>NOT(ISERROR(SEARCH($AN$687,AB763)))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16" operator="containsText" id="{33AAC22F-0732-41E0-9F08-DE49C6BFF57C}">
            <xm:f>NOT(ISERROR(SEARCH($AN$688,AB763)))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17" operator="containsText" id="{F2A6EFD7-D940-417A-814B-370AF9555FC9}">
            <xm:f>NOT(ISERROR(SEARCH($AN$686,AB763)))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18" operator="containsText" id="{8E4760F8-5A14-4913-B24C-E7389F33C696}">
            <xm:f>NOT(ISERROR(SEARCH($AN$685,AB763)))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19" operator="containsText" id="{67025E61-E93E-47D4-A403-C3091BF40F6C}">
            <xm:f>NOT(ISERROR(SEARCH($AN$684,AB763)))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20" operator="containsText" id="{B7A060F4-DBC4-4D32-823C-9A3D4C78355C}">
            <xm:f>NOT(ISERROR(SEARCH($AN$683,AB763)))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21" operator="containsText" id="{6731D0FD-718E-496B-AEE7-AE5803B15EB1}">
            <xm:f>NOT(ISERROR(SEARCH($AN$682,AB763)))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22" operator="containsText" id="{4FC912EC-A3D1-4CE6-A304-8194F9C43F09}">
            <xm:f>NOT(ISERROR(SEARCH($AN$681,AB763)))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23" operator="containsText" id="{F3F3EDC7-C0FE-4A0F-8429-FCE91C9F0544}">
            <xm:f>NOT(ISERROR(SEARCH($AN$680,AB763)))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24" operator="containsText" id="{561F9FA3-3C81-4E66-B65A-9DB865463308}">
            <xm:f>NOT(ISERROR(SEARCH($AN$678,AB763)))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25" operator="containsText" id="{6996938F-DAD9-4E2B-86AF-502388C43765}">
            <xm:f>NOT(ISERROR(SEARCH($AN$679,AB763)))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AB763</xm:sqref>
        </x14:conditionalFormatting>
        <x14:conditionalFormatting xmlns:xm="http://schemas.microsoft.com/office/excel/2006/main">
          <x14:cfRule type="containsText" priority="2209" operator="containsText" id="{5432F413-4850-4B8D-94D3-6F64A09EFE1F}">
            <xm:f>NOT(ISERROR(SEARCH($AN$690,AB763)))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10" operator="containsText" id="{CBD3CF04-D8BF-43B2-BF24-5C66504B4E04}">
            <xm:f>NOT(ISERROR(SEARCH($AN$704,AB763)))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11" operator="containsText" id="{ABF83459-9007-4C00-B3C8-798CA67D96D3}">
            <xm:f>NOT(ISERROR(SEARCH($AN$693,AB763)))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AB763:AB765</xm:sqref>
        </x14:conditionalFormatting>
        <x14:conditionalFormatting xmlns:xm="http://schemas.microsoft.com/office/excel/2006/main">
          <x14:cfRule type="containsText" priority="2261" operator="containsText" id="{6E9C7A0A-0C09-40C6-A739-33B83E13363F}">
            <xm:f>NOT(ISERROR(SEARCH($AN$687,AB764)))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62" operator="containsText" id="{61443C30-4B57-4CE8-A4C6-8546ED7FB281}">
            <xm:f>NOT(ISERROR(SEARCH($AN$688,AB764)))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63" operator="containsText" id="{7A16478C-ED40-4E82-85C5-626892510856}">
            <xm:f>NOT(ISERROR(SEARCH($AN$686,AB764)))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64" operator="containsText" id="{9C8B68D8-4DAE-4B9C-86E5-42E0FA978999}">
            <xm:f>NOT(ISERROR(SEARCH($AN$685,AB764)))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65" operator="containsText" id="{185A1483-CC8D-4F03-BD48-3F897B7ED6E2}">
            <xm:f>NOT(ISERROR(SEARCH($AN$684,AB764)))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66" operator="containsText" id="{D4AB7288-085D-421E-A14F-0253A5B43398}">
            <xm:f>NOT(ISERROR(SEARCH($AN$683,AB764)))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67" operator="containsText" id="{64A8B43B-EC8D-4F6F-AD12-24ECD4071541}">
            <xm:f>NOT(ISERROR(SEARCH($AN$682,AB764)))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68" operator="containsText" id="{B2C385D9-8DB0-4538-9C30-0BD330A10EF0}">
            <xm:f>NOT(ISERROR(SEARCH($AN$681,AB764)))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69" operator="containsText" id="{B9AB3A5C-D4C0-4B93-A7E4-37D423DFA586}">
            <xm:f>NOT(ISERROR(SEARCH($AN$680,AB764)))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70" operator="containsText" id="{EBD79FB0-DCD7-44E6-82D7-E910FDB16D98}">
            <xm:f>NOT(ISERROR(SEARCH($AN$678,AB764)))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71" operator="containsText" id="{7D61B1DB-03D7-4E86-A73C-2D9690214F2B}">
            <xm:f>NOT(ISERROR(SEARCH($AN$679,AB764)))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AB764</xm:sqref>
        </x14:conditionalFormatting>
        <x14:conditionalFormatting xmlns:xm="http://schemas.microsoft.com/office/excel/2006/main">
          <x14:cfRule type="containsText" priority="2258" operator="containsText" id="{4229B0D5-A840-445C-83D2-FF55A980E721}">
            <xm:f>NOT(ISERROR(SEARCH($AN$692,AB764)))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59" operator="containsText" id="{59C27DB6-7713-46CF-ABDD-80F1C4421616}">
            <xm:f>NOT(ISERROR(SEARCH($AN$691,AB764)))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60" operator="containsText" id="{FDBC3BB3-A1B4-4C4D-9F2F-282C6AEC7A03}">
            <xm:f>NOT(ISERROR(SEARCH($AN$689,AB764)))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AB764:AB765</xm:sqref>
        </x14:conditionalFormatting>
        <x14:conditionalFormatting xmlns:xm="http://schemas.microsoft.com/office/excel/2006/main">
          <x14:cfRule type="containsText" priority="2299" operator="containsText" id="{23309BD2-65BB-4E58-9696-426E2BF17CD9}">
            <xm:f>NOT(ISERROR(SEARCH($AN$687,AB765)))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00" operator="containsText" id="{31903301-109D-460B-8709-BDD5679FF713}">
            <xm:f>NOT(ISERROR(SEARCH($AN$688,AB765)))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01" operator="containsText" id="{1BF2187D-57A1-4203-BD41-16F8E5549EC2}">
            <xm:f>NOT(ISERROR(SEARCH($AN$686,AB765)))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02" operator="containsText" id="{F28D3465-F7ED-4032-8B37-73529CDD25B3}">
            <xm:f>NOT(ISERROR(SEARCH($AN$685,AB765)))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03" operator="containsText" id="{B81CF00A-97F1-426F-B7DC-552FB288FC63}">
            <xm:f>NOT(ISERROR(SEARCH($AN$684,AB765)))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04" operator="containsText" id="{12657F34-30B4-4487-AB2E-AF7673403EAC}">
            <xm:f>NOT(ISERROR(SEARCH($AN$683,AB765)))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05" operator="containsText" id="{CF25FEAC-DBFA-41E7-8E03-5FBCF9ACC0EB}">
            <xm:f>NOT(ISERROR(SEARCH($AN$682,AB765)))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06" operator="containsText" id="{14E7C9E3-6FC7-4C35-901B-E105BB1134D4}">
            <xm:f>NOT(ISERROR(SEARCH($AN$681,AB765)))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07" operator="containsText" id="{509C0121-AB7C-465A-BB17-FDF5138BE668}">
            <xm:f>NOT(ISERROR(SEARCH($AN$680,AB765)))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08" operator="containsText" id="{8D5BEBB1-C51D-46A0-BE43-0620821F778F}">
            <xm:f>NOT(ISERROR(SEARCH($AN$678,AB765)))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09" operator="containsText" id="{19165BF2-270C-4B85-A4B4-FD5AD136DE40}">
            <xm:f>NOT(ISERROR(SEARCH($AN$679,AB765)))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AB765</xm:sqref>
        </x14:conditionalFormatting>
        <x14:conditionalFormatting xmlns:xm="http://schemas.microsoft.com/office/excel/2006/main">
          <x14:cfRule type="containsText" priority="1922" operator="containsText" id="{C615D3FB-7204-4984-AE36-9223A307B854}">
            <xm:f>NOT(ISERROR(SEARCH($AN$704,AB89)))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923" operator="containsText" id="{F5A1A811-6B1E-4320-A5A5-1D1475C12DB1}">
            <xm:f>NOT(ISERROR(SEARCH($AN$693,AB89)))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978" operator="containsText" id="{9CB36673-6587-4466-9620-D352E37298C5}">
            <xm:f>NOT(ISERROR(SEARCH($AN$692,AB89)))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979" operator="containsText" id="{3335FA6B-6035-41E8-946B-14F6429BEA7A}">
            <xm:f>NOT(ISERROR(SEARCH($AN$691,AB89)))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980" operator="containsText" id="{B0414A6C-AA1E-4449-8B89-CA1A42594258}">
            <xm:f>NOT(ISERROR(SEARCH($AN$689,AB89)))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981" operator="containsText" id="{F1BDB3B6-81E3-4A48-9411-D93BD317516F}">
            <xm:f>NOT(ISERROR(SEARCH($AN$687,AB89)))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982" operator="containsText" id="{73311888-E241-4D4E-A625-D993C790D2EB}">
            <xm:f>NOT(ISERROR(SEARCH($AN$688,AB89)))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983" operator="containsText" id="{C93A9A88-61FA-4156-A6D7-62F772405F23}">
            <xm:f>NOT(ISERROR(SEARCH($AN$686,AB89)))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984" operator="containsText" id="{1956DD92-6EBE-4CA6-8AF0-D39EC733DD0C}">
            <xm:f>NOT(ISERROR(SEARCH($AN$685,AB89)))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985" operator="containsText" id="{9AFF80F4-E692-43B5-8A3A-5046DED355C3}">
            <xm:f>NOT(ISERROR(SEARCH($AN$684,AB89)))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986" operator="containsText" id="{0C26A4FB-B1F9-448D-8B6D-D684D9F3C194}">
            <xm:f>NOT(ISERROR(SEARCH($AN$683,AB89)))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987" operator="containsText" id="{A8C6B8D6-2963-4690-94B7-63405A619D90}">
            <xm:f>NOT(ISERROR(SEARCH($AN$682,AB89)))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988" operator="containsText" id="{97A72E9D-5F3A-4D13-847A-DDDE877FB966}">
            <xm:f>NOT(ISERROR(SEARCH($AN$681,AB89)))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989" operator="containsText" id="{C255FF75-9A93-4CBE-8C54-D390C9B2449A}">
            <xm:f>NOT(ISERROR(SEARCH($AN$680,AB89)))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990" operator="containsText" id="{AAAE8F5D-6C50-412E-9168-5909FDE407B9}">
            <xm:f>NOT(ISERROR(SEARCH($AN$678,AB89)))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991" operator="containsText" id="{54D520C1-D59E-41DC-9206-EBB3F0F1D362}">
            <xm:f>NOT(ISERROR(SEARCH($AN$679,AB89)))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AB89:AC89</xm:sqref>
        </x14:conditionalFormatting>
        <x14:conditionalFormatting xmlns:xm="http://schemas.microsoft.com/office/excel/2006/main">
          <x14:cfRule type="containsText" priority="1831" operator="containsText" id="{2BE71815-039F-4F90-8B66-EBD5786890AA}">
            <xm:f>NOT(ISERROR(SEARCH($AN$690,AB89)))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AB89:AC90</xm:sqref>
        </x14:conditionalFormatting>
        <x14:conditionalFormatting xmlns:xm="http://schemas.microsoft.com/office/excel/2006/main">
          <x14:cfRule type="containsText" priority="1832" operator="containsText" id="{84C3994C-BFD9-4B5F-957A-137F3F176757}">
            <xm:f>NOT(ISERROR(SEARCH($AN$704,AB90)))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833" operator="containsText" id="{B67E9AE8-CBB6-42F0-8145-B0C132C1E4CF}">
            <xm:f>NOT(ISERROR(SEARCH($AN$693,AB90)))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834" operator="containsText" id="{0A5D9679-1C8B-4139-84E2-25920CAC423C}">
            <xm:f>NOT(ISERROR(SEARCH($AN$692,AB90)))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835" operator="containsText" id="{96F79951-AAA4-46A3-8F0E-6FE7A131B07E}">
            <xm:f>NOT(ISERROR(SEARCH($AN$691,AB90)))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836" operator="containsText" id="{FA79E43E-57BD-4B6B-843D-8634C9E37C5D}">
            <xm:f>NOT(ISERROR(SEARCH($AN$689,AB90)))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AB90:AC90</xm:sqref>
        </x14:conditionalFormatting>
        <x14:conditionalFormatting xmlns:xm="http://schemas.microsoft.com/office/excel/2006/main">
          <x14:cfRule type="containsText" priority="1617" operator="containsText" id="{CBC40277-FA1A-4252-B1EF-F90886AABD65}">
            <xm:f>NOT(ISERROR(SEARCH($AN$704,AB185)))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618" operator="containsText" id="{1F9F79D9-F8AB-47AD-A34A-A6052E7FF2BA}">
            <xm:f>NOT(ISERROR(SEARCH($AN$693,AB185)))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673" operator="containsText" id="{C7C92DAE-381D-4666-8758-004FFD5D2B7D}">
            <xm:f>NOT(ISERROR(SEARCH($AN$692,AB185)))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674" operator="containsText" id="{6CAC2C0E-EF74-4B42-BB7E-2C5B08294BDF}">
            <xm:f>NOT(ISERROR(SEARCH($AN$691,AB185)))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675" operator="containsText" id="{D40B10FF-E09B-4042-939A-BCEB9087F4DE}">
            <xm:f>NOT(ISERROR(SEARCH($AN$689,AB185)))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676" operator="containsText" id="{60677509-41BA-4C6A-9342-D7B6F3EA93B9}">
            <xm:f>NOT(ISERROR(SEARCH($AN$687,AB185)))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677" operator="containsText" id="{4198253D-E89D-44CF-9553-17BA5FAF2CCD}">
            <xm:f>NOT(ISERROR(SEARCH($AN$688,AB185)))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678" operator="containsText" id="{1311DBD4-7219-48EC-A792-394B48E45D1F}">
            <xm:f>NOT(ISERROR(SEARCH($AN$686,AB185)))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79" operator="containsText" id="{27BD3804-5A1B-43B3-982A-CB20E7525AD4}">
            <xm:f>NOT(ISERROR(SEARCH($AN$685,AB185)))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680" operator="containsText" id="{91E69AC7-3700-4AEF-85AB-E012F6EE14EF}">
            <xm:f>NOT(ISERROR(SEARCH($AN$684,AB185)))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81" operator="containsText" id="{57ED6446-EE86-44ED-A5B1-FA6B5C6141D7}">
            <xm:f>NOT(ISERROR(SEARCH($AN$683,AB185)))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682" operator="containsText" id="{2FBED120-3753-45BF-BC08-CD68B7318FC6}">
            <xm:f>NOT(ISERROR(SEARCH($AN$682,AB185)))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683" operator="containsText" id="{CD9C899B-F837-4B07-9BA8-8BCB0C8B95D9}">
            <xm:f>NOT(ISERROR(SEARCH($AN$681,AB185)))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684" operator="containsText" id="{1807DD38-E20E-4187-9655-C2A354CA0267}">
            <xm:f>NOT(ISERROR(SEARCH($AN$680,AB185)))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685" operator="containsText" id="{195B1151-986A-44C0-96AD-249283838512}">
            <xm:f>NOT(ISERROR(SEARCH($AN$678,AB185)))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686" operator="containsText" id="{0EDF0F74-29F7-45E8-A733-AF5AC6F763D3}">
            <xm:f>NOT(ISERROR(SEARCH($AN$679,AB185)))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AB185:AC185</xm:sqref>
        </x14:conditionalFormatting>
        <x14:conditionalFormatting xmlns:xm="http://schemas.microsoft.com/office/excel/2006/main">
          <x14:cfRule type="containsText" priority="1526" operator="containsText" id="{CC0DFBB3-CD30-42A9-B6C8-6A1872E13A97}">
            <xm:f>NOT(ISERROR(SEARCH($AN$690,AB185)))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AB185:AC186</xm:sqref>
        </x14:conditionalFormatting>
        <x14:conditionalFormatting xmlns:xm="http://schemas.microsoft.com/office/excel/2006/main">
          <x14:cfRule type="containsText" priority="1527" operator="containsText" id="{348C5376-5DE4-4B03-BAF8-8D13C217D8B3}">
            <xm:f>NOT(ISERROR(SEARCH($AN$704,AB186)))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528" operator="containsText" id="{AAF44229-7CFB-4379-99C5-BEAA6C01BD66}">
            <xm:f>NOT(ISERROR(SEARCH($AN$693,AB186)))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529" operator="containsText" id="{BF0D38DD-9411-40EC-830D-35AD52EFA0CA}">
            <xm:f>NOT(ISERROR(SEARCH($AN$692,AB186)))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530" operator="containsText" id="{2B01CF38-4E69-4736-B3CA-D6AE24613F67}">
            <xm:f>NOT(ISERROR(SEARCH($AN$691,AB186)))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531" operator="containsText" id="{3744027D-667D-4DAE-9C03-33DE7A312DD5}">
            <xm:f>NOT(ISERROR(SEARCH($AN$689,AB186)))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AB186:AC186</xm:sqref>
        </x14:conditionalFormatting>
        <x14:conditionalFormatting xmlns:xm="http://schemas.microsoft.com/office/excel/2006/main">
          <x14:cfRule type="containsText" priority="1312" operator="containsText" id="{1AFD79B5-16C7-446E-BED4-505BFBE54880}">
            <xm:f>NOT(ISERROR(SEARCH($AN$704,AB281)))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313" operator="containsText" id="{49EC02B9-E88A-4BD2-9807-BBF447B2B12C}">
            <xm:f>NOT(ISERROR(SEARCH($AN$693,AB281)))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368" operator="containsText" id="{693F214C-B8FA-48BF-9B72-4056E35A15DA}">
            <xm:f>NOT(ISERROR(SEARCH($AN$692,AB281)))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69" operator="containsText" id="{11CD741A-01FA-4F78-BE33-9E7E86EBE5BD}">
            <xm:f>NOT(ISERROR(SEARCH($AN$691,AB281)))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370" operator="containsText" id="{0B78AB4A-E286-40C3-82B0-87E75C82ECA8}">
            <xm:f>NOT(ISERROR(SEARCH($AN$689,AB281)))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371" operator="containsText" id="{55C2B5F1-710C-4C74-86BF-9958A3C30CC4}">
            <xm:f>NOT(ISERROR(SEARCH($AN$687,AB281)))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372" operator="containsText" id="{15CE7885-6933-47D6-9228-9C9D7BE1156D}">
            <xm:f>NOT(ISERROR(SEARCH($AN$688,AB281)))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373" operator="containsText" id="{A8C08CCA-32F7-4B09-AB15-82CA02E6777C}">
            <xm:f>NOT(ISERROR(SEARCH($AN$686,AB281)))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74" operator="containsText" id="{5B900AAB-710D-45AC-B291-2346C2860B14}">
            <xm:f>NOT(ISERROR(SEARCH($AN$685,AB281)))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375" operator="containsText" id="{993A9459-FD01-4A94-A92B-2BB4F970395E}">
            <xm:f>NOT(ISERROR(SEARCH($AN$684,AB281)))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76" operator="containsText" id="{588292EF-5368-4854-9C11-2014C6D746D7}">
            <xm:f>NOT(ISERROR(SEARCH($AN$683,AB281)))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377" operator="containsText" id="{DCAB0472-19C8-4E26-8FC3-6F99F91CABDB}">
            <xm:f>NOT(ISERROR(SEARCH($AN$682,AB281)))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378" operator="containsText" id="{FDB5C993-8DF8-4524-B94B-8FCF592340B4}">
            <xm:f>NOT(ISERROR(SEARCH($AN$681,AB281)))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79" operator="containsText" id="{C5E1D432-242E-4B7F-BB56-0E03A128BB9A}">
            <xm:f>NOT(ISERROR(SEARCH($AN$680,AB281)))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80" operator="containsText" id="{751C897E-66CC-4D26-8DE4-E2105944C902}">
            <xm:f>NOT(ISERROR(SEARCH($AN$678,AB281)))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81" operator="containsText" id="{D7ADAF8C-BA25-4AB8-A389-84332431B79C}">
            <xm:f>NOT(ISERROR(SEARCH($AN$679,AB281)))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AB281:AC281</xm:sqref>
        </x14:conditionalFormatting>
        <x14:conditionalFormatting xmlns:xm="http://schemas.microsoft.com/office/excel/2006/main">
          <x14:cfRule type="containsText" priority="1221" operator="containsText" id="{F0F9D582-18DA-4D39-ADA8-25D939565C44}">
            <xm:f>NOT(ISERROR(SEARCH($AN$690,AB281)))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AB281:AC282</xm:sqref>
        </x14:conditionalFormatting>
        <x14:conditionalFormatting xmlns:xm="http://schemas.microsoft.com/office/excel/2006/main">
          <x14:cfRule type="containsText" priority="1222" operator="containsText" id="{A590F2D5-5007-42C4-82EE-9AB0422A7D83}">
            <xm:f>NOT(ISERROR(SEARCH($AN$704,AB282)))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223" operator="containsText" id="{786158EE-B63C-4808-99CA-EC582215297A}">
            <xm:f>NOT(ISERROR(SEARCH($AN$693,AB282)))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224" operator="containsText" id="{5CE43051-C960-4669-A047-C3A7A520110F}">
            <xm:f>NOT(ISERROR(SEARCH($AN$692,AB282)))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225" operator="containsText" id="{187897CF-512B-43B0-A20F-B727B262FB37}">
            <xm:f>NOT(ISERROR(SEARCH($AN$691,AB282)))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226" operator="containsText" id="{2EF79C79-47BA-4F4F-8FAD-19385D12F174}">
            <xm:f>NOT(ISERROR(SEARCH($AN$689,AB282)))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AB282:AC282</xm:sqref>
        </x14:conditionalFormatting>
        <x14:conditionalFormatting xmlns:xm="http://schemas.microsoft.com/office/excel/2006/main">
          <x14:cfRule type="containsText" priority="5931" operator="containsText" id="{89F4E7D4-CDAB-4A1C-B878-17C3CC943978}">
            <xm:f>NOT(ISERROR(SEARCH($AN$692,AB321)))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932" operator="containsText" id="{20DD48C8-7198-4DE6-8060-86820BA178B0}">
            <xm:f>NOT(ISERROR(SEARCH($AN$691,AB321)))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933" operator="containsText" id="{6FDE7669-1A19-4DF1-9130-97846B5893A7}">
            <xm:f>NOT(ISERROR(SEARCH($AN$689,AB321)))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934" operator="containsText" id="{67D5591C-5EAB-4287-A024-7165F823FE32}">
            <xm:f>NOT(ISERROR(SEARCH($AN$687,AB321)))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935" operator="containsText" id="{FEB84976-84C1-4CF1-A470-4DC57B22B98A}">
            <xm:f>NOT(ISERROR(SEARCH($AN$688,AB321)))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936" operator="containsText" id="{B140D2A0-4A6A-4774-8846-13EA685916F8}">
            <xm:f>NOT(ISERROR(SEARCH($AN$686,AB321)))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937" operator="containsText" id="{28A4E572-94EC-46C1-8EBB-55026A7D91C9}">
            <xm:f>NOT(ISERROR(SEARCH($AN$685,AB321)))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938" operator="containsText" id="{AB9C989F-1717-44DE-BEBB-1A99675E811B}">
            <xm:f>NOT(ISERROR(SEARCH($AN$684,AB321)))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939" operator="containsText" id="{E5F1DF8B-A92D-478D-A402-CA344361DF8A}">
            <xm:f>NOT(ISERROR(SEARCH($AN$683,AB321)))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940" operator="containsText" id="{79D67597-3634-42AA-BF99-BF79CA4CB1E4}">
            <xm:f>NOT(ISERROR(SEARCH($AN$682,AB321)))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941" operator="containsText" id="{2BCA1369-7738-433B-AB63-DF7E6034CA07}">
            <xm:f>NOT(ISERROR(SEARCH($AN$681,AB321)))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942" operator="containsText" id="{8DBB623B-27F3-4C03-83D9-33A588892803}">
            <xm:f>NOT(ISERROR(SEARCH($AN$680,AB321)))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943" operator="containsText" id="{7AFF3C63-42FF-443E-A948-FE78908C81A3}">
            <xm:f>NOT(ISERROR(SEARCH($AN$678,AB321)))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944" operator="containsText" id="{D6E18FEC-F341-4784-B3FB-3FFFA0DA80DA}">
            <xm:f>NOT(ISERROR(SEARCH($AN$679,AB321)))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AB321:AC325</xm:sqref>
        </x14:conditionalFormatting>
        <x14:conditionalFormatting xmlns:xm="http://schemas.microsoft.com/office/excel/2006/main">
          <x14:cfRule type="containsText" priority="5911" operator="containsText" id="{A58AACDA-6CEC-42FB-BC9E-71AC9B12CA97}">
            <xm:f>NOT(ISERROR(SEARCH($AN$690,AB324)))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912" operator="containsText" id="{FF93BD27-E8ED-42C0-8A21-BE4264E20D58}">
            <xm:f>NOT(ISERROR(SEARCH($AN$704,AB324)))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913" operator="containsText" id="{4B150049-F557-4928-A200-D41DF6C6D1E7}">
            <xm:f>NOT(ISERROR(SEARCH($AN$693,AB324)))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914" operator="containsText" id="{0B9C0495-E2BE-4BDE-93AD-74CECCCDD653}">
            <xm:f>NOT(ISERROR(SEARCH($AN$692,AB324)))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915" operator="containsText" id="{434C7A90-B0AC-4614-B58A-EF68AA3630B1}">
            <xm:f>NOT(ISERROR(SEARCH($AN$691,AB324)))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916" operator="containsText" id="{B2E92DB9-7747-4F15-817B-A8AA5AF68EC5}">
            <xm:f>NOT(ISERROR(SEARCH($AN$689,AB324)))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917" operator="containsText" id="{B77B1140-22FD-480B-8B24-53FE95D2DE09}">
            <xm:f>NOT(ISERROR(SEARCH($AN$687,AB324)))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918" operator="containsText" id="{003CF4F3-DBDB-410D-A820-09B85CBAD7F0}">
            <xm:f>NOT(ISERROR(SEARCH($AN$688,AB324)))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919" operator="containsText" id="{36E80A4B-3B15-4A4B-AEAD-8B4CAD281647}">
            <xm:f>NOT(ISERROR(SEARCH($AN$686,AB324)))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920" operator="containsText" id="{088DE4FD-837A-498E-A619-DEF7C4FC57C6}">
            <xm:f>NOT(ISERROR(SEARCH($AN$685,AB324)))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921" operator="containsText" id="{6C2C5536-2EC5-48DD-BFD2-1FA70DAA84A1}">
            <xm:f>NOT(ISERROR(SEARCH($AN$684,AB324)))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922" operator="containsText" id="{FF65CC62-B7C6-4898-9DBD-6C0F50E0D53E}">
            <xm:f>NOT(ISERROR(SEARCH($AN$683,AB324)))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923" operator="containsText" id="{378A3EA7-EB7D-480E-AC1F-BE157A7E763A}">
            <xm:f>NOT(ISERROR(SEARCH($AN$682,AB324)))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924" operator="containsText" id="{4584F254-AC3F-4890-B87D-FD66F713C34B}">
            <xm:f>NOT(ISERROR(SEARCH($AN$681,AB324)))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925" operator="containsText" id="{A79BBB7D-BD17-409C-96D9-C90668B2E6DB}">
            <xm:f>NOT(ISERROR(SEARCH($AN$680,AB324)))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926" operator="containsText" id="{8D9416EC-9446-4C2A-8B46-2EA019264DA0}">
            <xm:f>NOT(ISERROR(SEARCH($AN$678,AB324)))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927" operator="containsText" id="{F86AA78F-9062-4576-8D28-1718F0BF608A}">
            <xm:f>NOT(ISERROR(SEARCH($AN$679,AB324)))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AB324:AC325</xm:sqref>
        </x14:conditionalFormatting>
        <x14:conditionalFormatting xmlns:xm="http://schemas.microsoft.com/office/excel/2006/main">
          <x14:cfRule type="containsText" priority="1007" operator="containsText" id="{31BA58A5-84D4-46FD-B90D-5C677C6A98D2}">
            <xm:f>NOT(ISERROR(SEARCH($AN$704,AB377)))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008" operator="containsText" id="{BBA3FE98-0AC2-4F61-911A-7C95AC67DFA1}">
            <xm:f>NOT(ISERROR(SEARCH($AN$693,AB377)))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063" operator="containsText" id="{E7D99E55-F984-409B-90C5-63A8116CBC4F}">
            <xm:f>NOT(ISERROR(SEARCH($AN$692,AB377)))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64" operator="containsText" id="{0E23E8D3-D74E-4D29-9DEC-034F97E58007}">
            <xm:f>NOT(ISERROR(SEARCH($AN$691,AB377)))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065" operator="containsText" id="{78735D10-CB7D-4A4A-8BC7-B9237CBCA8E9}">
            <xm:f>NOT(ISERROR(SEARCH($AN$689,AB377)))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066" operator="containsText" id="{D2528812-9A4C-47A9-8887-7A4C221B4EA4}">
            <xm:f>NOT(ISERROR(SEARCH($AN$687,AB377)))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67" operator="containsText" id="{0AD7DB63-D633-4A9A-98C5-481F0A5F3D3B}">
            <xm:f>NOT(ISERROR(SEARCH($AN$688,AB377)))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68" operator="containsText" id="{439437F7-15AA-4082-8A13-D51610042C1D}">
            <xm:f>NOT(ISERROR(SEARCH($AN$686,AB377)))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69" operator="containsText" id="{EDB2247D-0B95-4CA6-A5FB-C3B7109A29BF}">
            <xm:f>NOT(ISERROR(SEARCH($AN$685,AB377)))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70" operator="containsText" id="{9F4C0342-60B9-45B8-9FD0-3D038CCCE953}">
            <xm:f>NOT(ISERROR(SEARCH($AN$684,AB377)))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71" operator="containsText" id="{2B2F28F1-E3A7-46DE-8081-A7AB4401C7BC}">
            <xm:f>NOT(ISERROR(SEARCH($AN$683,AB377)))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72" operator="containsText" id="{153FCF02-7664-4181-B18D-EA5A7819BEFF}">
            <xm:f>NOT(ISERROR(SEARCH($AN$682,AB377)))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73" operator="containsText" id="{24CCE763-C00F-4F7F-956F-59FB0E726D55}">
            <xm:f>NOT(ISERROR(SEARCH($AN$681,AB377)))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74" operator="containsText" id="{62BAD154-148A-4F6E-9224-753D5AF0CEF6}">
            <xm:f>NOT(ISERROR(SEARCH($AN$680,AB377)))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75" operator="containsText" id="{0F297D0B-A67B-4AB8-8B1D-CFFE9405A2B5}">
            <xm:f>NOT(ISERROR(SEARCH($AN$678,AB377)))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76" operator="containsText" id="{FEC42E8E-26A7-43CC-B0F0-B4A5CCB02C22}">
            <xm:f>NOT(ISERROR(SEARCH($AN$679,AB377)))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AB377:AC377</xm:sqref>
        </x14:conditionalFormatting>
        <x14:conditionalFormatting xmlns:xm="http://schemas.microsoft.com/office/excel/2006/main">
          <x14:cfRule type="containsText" priority="916" operator="containsText" id="{829DFE98-EE60-416F-B576-AFB0AB37ED19}">
            <xm:f>NOT(ISERROR(SEARCH($AN$690,AB377)))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AB377:AC378</xm:sqref>
        </x14:conditionalFormatting>
        <x14:conditionalFormatting xmlns:xm="http://schemas.microsoft.com/office/excel/2006/main">
          <x14:cfRule type="containsText" priority="917" operator="containsText" id="{5012738E-80A7-4F1B-A82E-2F3E2267569F}">
            <xm:f>NOT(ISERROR(SEARCH($AN$704,AB378)))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18" operator="containsText" id="{50A5FDDF-8C92-424A-8661-234C76420C07}">
            <xm:f>NOT(ISERROR(SEARCH($AN$693,AB378)))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919" operator="containsText" id="{B95C1905-DA8E-43F9-96A2-B959F7455638}">
            <xm:f>NOT(ISERROR(SEARCH($AN$692,AB378)))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20" operator="containsText" id="{523084B8-D61D-4F69-8CD4-4C676FF1327B}">
            <xm:f>NOT(ISERROR(SEARCH($AN$691,AB378)))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921" operator="containsText" id="{41EF8983-093B-4B0D-B117-820EB6C4B3BE}">
            <xm:f>NOT(ISERROR(SEARCH($AN$689,AB378)))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AB378:AC378</xm:sqref>
        </x14:conditionalFormatting>
        <x14:conditionalFormatting xmlns:xm="http://schemas.microsoft.com/office/excel/2006/main">
          <x14:cfRule type="containsText" priority="5846" operator="containsText" id="{9602A09B-BBA9-4504-ACC5-2779DB453AF1}">
            <xm:f>NOT(ISERROR(SEARCH($AN$692,AB417)))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847" operator="containsText" id="{511B0705-66F6-440A-818B-B386C7A816BD}">
            <xm:f>NOT(ISERROR(SEARCH($AN$691,AB417)))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848" operator="containsText" id="{39062C0F-5D9D-44CC-988D-6D3ACB475BDB}">
            <xm:f>NOT(ISERROR(SEARCH($AN$689,AB417)))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849" operator="containsText" id="{5B84C61D-4CE6-42A6-9181-84E66B535FBE}">
            <xm:f>NOT(ISERROR(SEARCH($AN$687,AB417)))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850" operator="containsText" id="{E6AE3865-115B-48D6-B220-9ECD686F154A}">
            <xm:f>NOT(ISERROR(SEARCH($AN$688,AB417)))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851" operator="containsText" id="{66F607ED-9623-4AEE-877E-C42608E92475}">
            <xm:f>NOT(ISERROR(SEARCH($AN$686,AB417)))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852" operator="containsText" id="{69944AD6-9688-4910-934D-4D3315647597}">
            <xm:f>NOT(ISERROR(SEARCH($AN$685,AB417)))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853" operator="containsText" id="{3CB97C5D-511F-470C-B9EA-D713C337DA52}">
            <xm:f>NOT(ISERROR(SEARCH($AN$684,AB417)))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854" operator="containsText" id="{C31EA4E7-619C-4038-A7A0-8189EBC5CEF0}">
            <xm:f>NOT(ISERROR(SEARCH($AN$683,AB417)))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855" operator="containsText" id="{03E696DB-A474-4BB2-A034-E169C3AB2D36}">
            <xm:f>NOT(ISERROR(SEARCH($AN$682,AB417)))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856" operator="containsText" id="{8343A2FC-08E4-4B98-92E6-A4D6BD0EC6F3}">
            <xm:f>NOT(ISERROR(SEARCH($AN$681,AB417)))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857" operator="containsText" id="{929A15B0-8601-4E12-800E-E2AADF2B05A9}">
            <xm:f>NOT(ISERROR(SEARCH($AN$680,AB417)))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858" operator="containsText" id="{A180E65E-E2AE-4CEF-9C3A-C1F4A5324D40}">
            <xm:f>NOT(ISERROR(SEARCH($AN$678,AB417)))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859" operator="containsText" id="{EABA0269-21C6-4DC2-A0CD-5F124DDBEFF5}">
            <xm:f>NOT(ISERROR(SEARCH($AN$679,AB417)))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AB417:AC421</xm:sqref>
        </x14:conditionalFormatting>
        <x14:conditionalFormatting xmlns:xm="http://schemas.microsoft.com/office/excel/2006/main">
          <x14:cfRule type="containsText" priority="5826" operator="containsText" id="{9CEA5E59-1509-45F4-92C1-A5388960FA07}">
            <xm:f>NOT(ISERROR(SEARCH($AN$690,AB420)))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827" operator="containsText" id="{6634B6B4-EFDE-42E6-9D02-CB287515E07A}">
            <xm:f>NOT(ISERROR(SEARCH($AN$704,AB420)))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828" operator="containsText" id="{7353BC61-3083-4219-8C3E-94FD221055D7}">
            <xm:f>NOT(ISERROR(SEARCH($AN$693,AB420)))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829" operator="containsText" id="{C85E501F-EBED-4376-BCF3-B2E6C4DE6568}">
            <xm:f>NOT(ISERROR(SEARCH($AN$692,AB420)))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830" operator="containsText" id="{22C8402C-48D4-4329-8990-CF41212B480D}">
            <xm:f>NOT(ISERROR(SEARCH($AN$691,AB420)))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831" operator="containsText" id="{29972226-0A3E-41AD-819F-E925ECF35A28}">
            <xm:f>NOT(ISERROR(SEARCH($AN$689,AB420)))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832" operator="containsText" id="{A9DC27F0-6EFE-47B6-B542-CF12C9A68FE6}">
            <xm:f>NOT(ISERROR(SEARCH($AN$687,AB420)))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833" operator="containsText" id="{49CE4D57-2D8C-4379-845C-4A2E35CF3459}">
            <xm:f>NOT(ISERROR(SEARCH($AN$688,AB420)))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834" operator="containsText" id="{9D1B7E35-380E-4E5C-9B2C-043E45F43CEB}">
            <xm:f>NOT(ISERROR(SEARCH($AN$686,AB420)))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835" operator="containsText" id="{70270F7F-AD07-4419-8354-861778AA177B}">
            <xm:f>NOT(ISERROR(SEARCH($AN$685,AB420)))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836" operator="containsText" id="{3EFBB124-B3AF-4549-9DEA-09B7797D56EB}">
            <xm:f>NOT(ISERROR(SEARCH($AN$684,AB420)))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837" operator="containsText" id="{8C19D874-0657-4DF5-BFD5-E3E053018612}">
            <xm:f>NOT(ISERROR(SEARCH($AN$683,AB420)))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838" operator="containsText" id="{00746D43-77A9-4C29-95D8-FE74D6E880F4}">
            <xm:f>NOT(ISERROR(SEARCH($AN$682,AB420)))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839" operator="containsText" id="{C48245E9-E3B4-4337-BD63-4B3FDEDB2E70}">
            <xm:f>NOT(ISERROR(SEARCH($AN$681,AB420)))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840" operator="containsText" id="{E5F5B002-5720-480D-9B36-11C91F5BAE8F}">
            <xm:f>NOT(ISERROR(SEARCH($AN$680,AB420)))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841" operator="containsText" id="{5FFDE354-54A7-48A0-B40B-F7497318C1B1}">
            <xm:f>NOT(ISERROR(SEARCH($AN$678,AB420)))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842" operator="containsText" id="{D08215CC-16B4-4563-8C11-576FF063C911}">
            <xm:f>NOT(ISERROR(SEARCH($AN$679,AB420)))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AB420:AC421</xm:sqref>
        </x14:conditionalFormatting>
        <x14:conditionalFormatting xmlns:xm="http://schemas.microsoft.com/office/excel/2006/main">
          <x14:cfRule type="containsText" priority="702" operator="containsText" id="{A72A8A7B-F9B9-4EE5-805E-EBBA902F0461}">
            <xm:f>NOT(ISERROR(SEARCH($AN$704,AB473)))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703" operator="containsText" id="{3118D5F5-4492-4578-A88F-70B35EEA27E6}">
            <xm:f>NOT(ISERROR(SEARCH($AN$693,AB473)))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758" operator="containsText" id="{D6F52051-C003-4941-B0CD-2655048B207B}">
            <xm:f>NOT(ISERROR(SEARCH($AN$692,AB473)))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759" operator="containsText" id="{7CFCB265-AB6C-4339-819D-23C835CA5DF3}">
            <xm:f>NOT(ISERROR(SEARCH($AN$691,AB473)))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760" operator="containsText" id="{D538D6B9-23E3-496B-BD2C-420706DCF593}">
            <xm:f>NOT(ISERROR(SEARCH($AN$689,AB473)))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761" operator="containsText" id="{84D63B6F-2C64-4297-91A6-F53303DE7B34}">
            <xm:f>NOT(ISERROR(SEARCH($AN$687,AB473)))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762" operator="containsText" id="{6070CFA9-B4D8-41B3-9540-D65A5ABD5150}">
            <xm:f>NOT(ISERROR(SEARCH($AN$688,AB473)))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763" operator="containsText" id="{1AC92A11-5FDF-41B5-98F5-7AD00B814CB0}">
            <xm:f>NOT(ISERROR(SEARCH($AN$686,AB473)))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764" operator="containsText" id="{C47B01BE-B135-4E0E-980B-5BF637858C3C}">
            <xm:f>NOT(ISERROR(SEARCH($AN$685,AB473)))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765" operator="containsText" id="{1E66D332-FD2B-4222-B092-B016B94FA108}">
            <xm:f>NOT(ISERROR(SEARCH($AN$684,AB473)))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766" operator="containsText" id="{5A9D848B-99C9-4910-AAC2-494B7FA49B2A}">
            <xm:f>NOT(ISERROR(SEARCH($AN$683,AB473)))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767" operator="containsText" id="{3B79B706-5559-467D-958A-F7046F017B37}">
            <xm:f>NOT(ISERROR(SEARCH($AN$682,AB473)))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768" operator="containsText" id="{9D5A18E1-BC58-45B7-A74D-6E4561E1B914}">
            <xm:f>NOT(ISERROR(SEARCH($AN$681,AB473)))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769" operator="containsText" id="{54F60C9B-F60B-4CF8-812D-324ED6C4A171}">
            <xm:f>NOT(ISERROR(SEARCH($AN$680,AB473)))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770" operator="containsText" id="{C7313712-E0A6-4FF0-A06C-4DAA62032A0B}">
            <xm:f>NOT(ISERROR(SEARCH($AN$678,AB473)))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771" operator="containsText" id="{6896565C-CD88-447E-8515-C4BAE3658DB3}">
            <xm:f>NOT(ISERROR(SEARCH($AN$679,AB473)))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AB473:AC473</xm:sqref>
        </x14:conditionalFormatting>
        <x14:conditionalFormatting xmlns:xm="http://schemas.microsoft.com/office/excel/2006/main">
          <x14:cfRule type="containsText" priority="611" operator="containsText" id="{0D05CEE5-CC72-458D-A658-4A7FC5DFEBD4}">
            <xm:f>NOT(ISERROR(SEARCH($AN$690,AB473)))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AB473:AC474</xm:sqref>
        </x14:conditionalFormatting>
        <x14:conditionalFormatting xmlns:xm="http://schemas.microsoft.com/office/excel/2006/main">
          <x14:cfRule type="containsText" priority="612" operator="containsText" id="{7FD8536F-0BE2-474D-ACB8-DB1525DB1D86}">
            <xm:f>NOT(ISERROR(SEARCH($AN$704,AB474)))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613" operator="containsText" id="{29BDAF18-C79D-406F-B37E-9A7661DB0EB9}">
            <xm:f>NOT(ISERROR(SEARCH($AN$693,AB474)))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614" operator="containsText" id="{C3681F35-94EC-418B-AEA4-5A4D4DDCA082}">
            <xm:f>NOT(ISERROR(SEARCH($AN$692,AB474)))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615" operator="containsText" id="{88A01F42-D0D9-42AC-B460-1A8AADFB4F65}">
            <xm:f>NOT(ISERROR(SEARCH($AN$691,AB474)))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616" operator="containsText" id="{B2B60B03-13D9-4E37-B96C-C78F0C25AAB7}">
            <xm:f>NOT(ISERROR(SEARCH($AN$689,AB474)))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AB474:AC474</xm:sqref>
        </x14:conditionalFormatting>
        <x14:conditionalFormatting xmlns:xm="http://schemas.microsoft.com/office/excel/2006/main">
          <x14:cfRule type="containsText" priority="5761" operator="containsText" id="{42FAE632-AD75-4584-8B65-526892E4C961}">
            <xm:f>NOT(ISERROR(SEARCH($AN$692,AB513)))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762" operator="containsText" id="{3D28BE0A-DB6D-4092-8E62-C63E12676995}">
            <xm:f>NOT(ISERROR(SEARCH($AN$691,AB513)))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763" operator="containsText" id="{6635EB75-A559-4169-8835-976177D861D8}">
            <xm:f>NOT(ISERROR(SEARCH($AN$689,AB513)))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764" operator="containsText" id="{67B4C0C2-6FD0-4646-8909-1D263C62272D}">
            <xm:f>NOT(ISERROR(SEARCH($AN$687,AB513)))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765" operator="containsText" id="{B9973013-D89E-4434-AE19-50F19414526E}">
            <xm:f>NOT(ISERROR(SEARCH($AN$688,AB513)))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766" operator="containsText" id="{DA1E0B02-EBDF-40B0-A67C-A3E48232300D}">
            <xm:f>NOT(ISERROR(SEARCH($AN$686,AB513)))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767" operator="containsText" id="{E59E84E3-962D-414E-8061-70F44BC5E868}">
            <xm:f>NOT(ISERROR(SEARCH($AN$685,AB513)))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768" operator="containsText" id="{2EED6589-ED23-438C-8AE5-256032551FCB}">
            <xm:f>NOT(ISERROR(SEARCH($AN$684,AB513)))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769" operator="containsText" id="{13215B01-E753-4099-9FD9-6C497E45EB12}">
            <xm:f>NOT(ISERROR(SEARCH($AN$683,AB513)))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770" operator="containsText" id="{2B6E1C8B-CBA2-4702-A2C5-F77ABB4FD0A3}">
            <xm:f>NOT(ISERROR(SEARCH($AN$682,AB513)))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771" operator="containsText" id="{9E9B7057-B7E7-4968-B9E5-264D99436682}">
            <xm:f>NOT(ISERROR(SEARCH($AN$681,AB513)))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772" operator="containsText" id="{D3D052F4-78D3-465D-86C1-C886CDA60DFC}">
            <xm:f>NOT(ISERROR(SEARCH($AN$680,AB513)))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773" operator="containsText" id="{95F9259F-5C00-49DA-AC94-26066E683E0B}">
            <xm:f>NOT(ISERROR(SEARCH($AN$678,AB513)))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774" operator="containsText" id="{706389B7-EDDD-41A3-AF03-FC097E24FC61}">
            <xm:f>NOT(ISERROR(SEARCH($AN$679,AB513)))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AB513:AC517</xm:sqref>
        </x14:conditionalFormatting>
        <x14:conditionalFormatting xmlns:xm="http://schemas.microsoft.com/office/excel/2006/main">
          <x14:cfRule type="containsText" priority="5741" operator="containsText" id="{B85615D0-A704-4CF7-BC2C-91C986237E1F}">
            <xm:f>NOT(ISERROR(SEARCH($AN$690,AB516)))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742" operator="containsText" id="{6AEF989F-B5E3-495A-978B-F72A13CA1A11}">
            <xm:f>NOT(ISERROR(SEARCH($AN$704,AB516)))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743" operator="containsText" id="{CBE79A75-1FF7-4E7B-8C02-5DA448D55037}">
            <xm:f>NOT(ISERROR(SEARCH($AN$693,AB516)))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744" operator="containsText" id="{28451150-764A-4441-BA6A-C07CDEF912DC}">
            <xm:f>NOT(ISERROR(SEARCH($AN$692,AB516)))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745" operator="containsText" id="{08491066-6156-4496-9757-C5489C2ABA3F}">
            <xm:f>NOT(ISERROR(SEARCH($AN$691,AB516)))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746" operator="containsText" id="{5979570A-9D05-4DC2-AE8F-33F96EADA411}">
            <xm:f>NOT(ISERROR(SEARCH($AN$689,AB516)))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747" operator="containsText" id="{272779F1-34AD-4CD1-873E-D5F34CC28CA8}">
            <xm:f>NOT(ISERROR(SEARCH($AN$687,AB516)))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748" operator="containsText" id="{C5A1F8B4-001C-4616-BA8A-20FAF1E68654}">
            <xm:f>NOT(ISERROR(SEARCH($AN$688,AB516)))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749" operator="containsText" id="{6327E809-8C14-4A8C-BF5F-782A1DF59B39}">
            <xm:f>NOT(ISERROR(SEARCH($AN$686,AB516)))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750" operator="containsText" id="{CDEDCC1B-D6EC-4F0E-BBAB-D43890695849}">
            <xm:f>NOT(ISERROR(SEARCH($AN$685,AB516)))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751" operator="containsText" id="{56E4103A-1135-4822-A506-0FFE4BDCEF53}">
            <xm:f>NOT(ISERROR(SEARCH($AN$684,AB516)))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752" operator="containsText" id="{D55E2A7C-91CD-4A95-8091-D70BFA066982}">
            <xm:f>NOT(ISERROR(SEARCH($AN$683,AB516)))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753" operator="containsText" id="{2E759392-BB03-4E18-B93C-9A5FF7328EFB}">
            <xm:f>NOT(ISERROR(SEARCH($AN$682,AB516)))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754" operator="containsText" id="{B9D5915D-FE9A-4615-A339-44D7E82C6D2A}">
            <xm:f>NOT(ISERROR(SEARCH($AN$681,AB516)))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755" operator="containsText" id="{CC5B388B-69A4-400A-8C8F-34603E4E2AEA}">
            <xm:f>NOT(ISERROR(SEARCH($AN$680,AB516)))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756" operator="containsText" id="{3BF439E1-F9DE-4856-8914-99AF8ADD5343}">
            <xm:f>NOT(ISERROR(SEARCH($AN$678,AB516)))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757" operator="containsText" id="{915380C0-5AA8-4776-A875-E13A6E31394E}">
            <xm:f>NOT(ISERROR(SEARCH($AN$679,AB516)))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AB516:AC517</xm:sqref>
        </x14:conditionalFormatting>
        <x14:conditionalFormatting xmlns:xm="http://schemas.microsoft.com/office/excel/2006/main">
          <x14:cfRule type="containsText" priority="397" operator="containsText" id="{84518FFA-8097-4D87-B641-94DE4589FCD5}">
            <xm:f>NOT(ISERROR(SEARCH($AN$704,AB569)))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98" operator="containsText" id="{CDF26E23-C82D-4C8E-BA29-DC9F4F5D9B5D}">
            <xm:f>NOT(ISERROR(SEARCH($AN$693,AB569)))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53" operator="containsText" id="{9BE56069-6994-4F41-8E99-C3DCA9A3E25E}">
            <xm:f>NOT(ISERROR(SEARCH($AN$692,AB569)))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54" operator="containsText" id="{76158E8A-103C-465E-A464-66B2E50B6BE3}">
            <xm:f>NOT(ISERROR(SEARCH($AN$691,AB569)))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55" operator="containsText" id="{C073E1FA-5CE7-4720-890C-8D3179ED5431}">
            <xm:f>NOT(ISERROR(SEARCH($AN$689,AB569)))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56" operator="containsText" id="{A8A96E24-E3A4-4624-9DA9-406845C9EAF1}">
            <xm:f>NOT(ISERROR(SEARCH($AN$687,AB569)))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57" operator="containsText" id="{5A612871-51F0-495D-8589-B0657D738602}">
            <xm:f>NOT(ISERROR(SEARCH($AN$688,AB569)))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58" operator="containsText" id="{2582AA7D-4565-4231-B315-BF4727D4152B}">
            <xm:f>NOT(ISERROR(SEARCH($AN$686,AB569)))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59" operator="containsText" id="{06C69E1E-A6D6-430D-A0D2-934A791F946F}">
            <xm:f>NOT(ISERROR(SEARCH($AN$685,AB569)))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60" operator="containsText" id="{1C7E0ECF-DA2C-4A1F-9631-B5C5F23A4B17}">
            <xm:f>NOT(ISERROR(SEARCH($AN$684,AB569)))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61" operator="containsText" id="{14EA1110-F624-484A-B633-BE5DC10C0023}">
            <xm:f>NOT(ISERROR(SEARCH($AN$683,AB569)))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62" operator="containsText" id="{361C3258-AA47-41C1-8A54-A59425F3B6AD}">
            <xm:f>NOT(ISERROR(SEARCH($AN$682,AB569)))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63" operator="containsText" id="{0A239D69-05D0-45C9-A375-2AD41E7953FE}">
            <xm:f>NOT(ISERROR(SEARCH($AN$681,AB569)))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64" operator="containsText" id="{1F0BD6D2-BEEB-482C-B073-E97BE4295AEC}">
            <xm:f>NOT(ISERROR(SEARCH($AN$680,AB569)))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65" operator="containsText" id="{500322CB-8DD0-4170-8206-655F938CD41E}">
            <xm:f>NOT(ISERROR(SEARCH($AN$678,AB569)))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66" operator="containsText" id="{6ED2BC99-90FD-45D3-AE4C-9A94DC837751}">
            <xm:f>NOT(ISERROR(SEARCH($AN$679,AB569)))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AB569:AC569</xm:sqref>
        </x14:conditionalFormatting>
        <x14:conditionalFormatting xmlns:xm="http://schemas.microsoft.com/office/excel/2006/main">
          <x14:cfRule type="containsText" priority="306" operator="containsText" id="{CEABA33C-9772-4E5C-A116-DB4EF6AE163B}">
            <xm:f>NOT(ISERROR(SEARCH($AN$690,AB569)))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AB569:AC570</xm:sqref>
        </x14:conditionalFormatting>
        <x14:conditionalFormatting xmlns:xm="http://schemas.microsoft.com/office/excel/2006/main">
          <x14:cfRule type="containsText" priority="307" operator="containsText" id="{6491D9A7-903D-45B9-A920-54614834AB8B}">
            <xm:f>NOT(ISERROR(SEARCH($AN$704,AB570)))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08" operator="containsText" id="{9B964B6A-CF84-4C30-BABB-759105485555}">
            <xm:f>NOT(ISERROR(SEARCH($AN$693,AB570)))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09" operator="containsText" id="{EEEEDE5E-19C6-44C8-8D56-AD02D6C9D5D1}">
            <xm:f>NOT(ISERROR(SEARCH($AN$692,AB570)))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10" operator="containsText" id="{9ED52E57-D0B0-43D3-A97A-5A2A787B3BA7}">
            <xm:f>NOT(ISERROR(SEARCH($AN$691,AB570)))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11" operator="containsText" id="{2DC3DD51-40DF-4BF4-B590-9BC25AA0709E}">
            <xm:f>NOT(ISERROR(SEARCH($AN$689,AB570)))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AB570:AC570</xm:sqref>
        </x14:conditionalFormatting>
        <x14:conditionalFormatting xmlns:xm="http://schemas.microsoft.com/office/excel/2006/main">
          <x14:cfRule type="containsText" priority="5676" operator="containsText" id="{3F600A54-6EA1-4522-BF30-56E433C04EE0}">
            <xm:f>NOT(ISERROR(SEARCH($AN$692,AB609)))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677" operator="containsText" id="{0DFD9F11-8A43-46E7-ACC5-214696A776D9}">
            <xm:f>NOT(ISERROR(SEARCH($AN$691,AB609)))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678" operator="containsText" id="{058FB274-B6B4-48B0-96F8-B35972B10E2C}">
            <xm:f>NOT(ISERROR(SEARCH($AN$689,AB609)))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679" operator="containsText" id="{AC447AC2-BDC5-496E-A477-6DCB33D3637E}">
            <xm:f>NOT(ISERROR(SEARCH($AN$687,AB609)))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680" operator="containsText" id="{3AF7B999-310D-47D4-B1DB-502CCBDE6267}">
            <xm:f>NOT(ISERROR(SEARCH($AN$688,AB609)))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681" operator="containsText" id="{45C520EF-D1F2-4980-8AA7-9D7402243284}">
            <xm:f>NOT(ISERROR(SEARCH($AN$686,AB609)))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682" operator="containsText" id="{C5222127-BBA7-43EF-BB9B-385D87F98BC4}">
            <xm:f>NOT(ISERROR(SEARCH($AN$685,AB609)))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683" operator="containsText" id="{3FC984B1-A5BC-49AE-99EB-4A68AB2E485F}">
            <xm:f>NOT(ISERROR(SEARCH($AN$684,AB609)))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684" operator="containsText" id="{9AB60653-F534-4BD3-9685-4AA81E7A1171}">
            <xm:f>NOT(ISERROR(SEARCH($AN$683,AB609)))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685" operator="containsText" id="{E95FF8D0-8BE0-44E6-88C1-78EF0BE45FFD}">
            <xm:f>NOT(ISERROR(SEARCH($AN$682,AB609)))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686" operator="containsText" id="{FFB3AEE7-8926-42A0-898E-8BF5BF46090A}">
            <xm:f>NOT(ISERROR(SEARCH($AN$681,AB609)))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687" operator="containsText" id="{2BDB9756-F6BA-4D4F-AEAB-558EEDC7F351}">
            <xm:f>NOT(ISERROR(SEARCH($AN$680,AB609)))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688" operator="containsText" id="{40EE2162-0A2B-4A14-A1B8-C7D1677F5972}">
            <xm:f>NOT(ISERROR(SEARCH($AN$678,AB609)))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689" operator="containsText" id="{7D9B3E3B-AAB9-4D32-8B86-B0517CAE2068}">
            <xm:f>NOT(ISERROR(SEARCH($AN$679,AB609)))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AB609:AC613</xm:sqref>
        </x14:conditionalFormatting>
        <x14:conditionalFormatting xmlns:xm="http://schemas.microsoft.com/office/excel/2006/main">
          <x14:cfRule type="containsText" priority="5656" operator="containsText" id="{3C881EF5-D74E-43D9-8E88-F8C6738261E0}">
            <xm:f>NOT(ISERROR(SEARCH($AN$690,AB612)))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657" operator="containsText" id="{2E7FF7AA-AD48-4766-9AEF-928877367A09}">
            <xm:f>NOT(ISERROR(SEARCH($AN$704,AB612)))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658" operator="containsText" id="{8919ECFF-297C-48DB-81C2-7C3CB19F818C}">
            <xm:f>NOT(ISERROR(SEARCH($AN$693,AB612)))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659" operator="containsText" id="{C8BB0047-01EB-4058-A2B1-69269DDE0742}">
            <xm:f>NOT(ISERROR(SEARCH($AN$692,AB612)))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660" operator="containsText" id="{114E48B7-A82F-4D1E-B31E-AB498CD5C277}">
            <xm:f>NOT(ISERROR(SEARCH($AN$691,AB612)))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661" operator="containsText" id="{3638C590-73A9-49D3-8C9E-9387D131F20F}">
            <xm:f>NOT(ISERROR(SEARCH($AN$689,AB612)))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662" operator="containsText" id="{1B6F8FFA-BD48-4845-93C2-EF3E57B92489}">
            <xm:f>NOT(ISERROR(SEARCH($AN$687,AB612)))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663" operator="containsText" id="{CF3C54D4-3B01-4B31-8AF0-C4DBFE209E81}">
            <xm:f>NOT(ISERROR(SEARCH($AN$688,AB612)))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664" operator="containsText" id="{A65E34D9-CB3C-4B25-B119-5E97F1E00E16}">
            <xm:f>NOT(ISERROR(SEARCH($AN$686,AB612)))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665" operator="containsText" id="{383FE52B-D671-4755-805C-21E78C3B4C05}">
            <xm:f>NOT(ISERROR(SEARCH($AN$685,AB612)))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666" operator="containsText" id="{0F37685C-FDA5-4E21-915B-F39EB7093D62}">
            <xm:f>NOT(ISERROR(SEARCH($AN$684,AB612)))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667" operator="containsText" id="{15846583-CAA0-4F8D-B048-3003CED7DC28}">
            <xm:f>NOT(ISERROR(SEARCH($AN$683,AB612)))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668" operator="containsText" id="{963E7478-1325-48E5-97A9-E692A10E6714}">
            <xm:f>NOT(ISERROR(SEARCH($AN$682,AB612)))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669" operator="containsText" id="{26EC940B-3EB7-49A9-9225-30AC14BE2681}">
            <xm:f>NOT(ISERROR(SEARCH($AN$681,AB612)))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670" operator="containsText" id="{FD82D8DF-AD07-4E52-A0E0-F7ACED137458}">
            <xm:f>NOT(ISERROR(SEARCH($AN$680,AB612)))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671" operator="containsText" id="{97FA6A3B-1B17-47C6-91FF-5C02B312118E}">
            <xm:f>NOT(ISERROR(SEARCH($AN$678,AB612)))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672" operator="containsText" id="{66526BEA-18A4-4D45-A7EC-F85FCA4E42EF}">
            <xm:f>NOT(ISERROR(SEARCH($AN$679,AB612)))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AB612:AC613</xm:sqref>
        </x14:conditionalFormatting>
        <x14:conditionalFormatting xmlns:xm="http://schemas.microsoft.com/office/excel/2006/main">
          <x14:cfRule type="containsText" priority="92" operator="containsText" id="{D634C4AD-DC8B-4366-8777-8AF330709A88}">
            <xm:f>NOT(ISERROR(SEARCH($AN$704,AB665)))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3" operator="containsText" id="{8DCB55CB-54EE-4D61-8AF5-3C3351982FAE}">
            <xm:f>NOT(ISERROR(SEARCH($AN$693,AB665)))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48" operator="containsText" id="{1C92D28D-B4AE-4C28-8A34-E3EF5BED6299}">
            <xm:f>NOT(ISERROR(SEARCH($AN$692,AB665)))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9" operator="containsText" id="{FF38A6F8-217C-4B7D-A665-F2C0339CCD58}">
            <xm:f>NOT(ISERROR(SEARCH($AN$691,AB665)))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50" operator="containsText" id="{84563468-E508-4A28-BC5B-455FB0D228CB}">
            <xm:f>NOT(ISERROR(SEARCH($AN$689,AB665)))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51" operator="containsText" id="{1ADB2722-29A5-4F58-A53F-F6F6379571EA}">
            <xm:f>NOT(ISERROR(SEARCH($AN$687,AB665)))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52" operator="containsText" id="{ADF9C3B9-0637-4C02-BDF9-2958FFB5DB61}">
            <xm:f>NOT(ISERROR(SEARCH($AN$688,AB665)))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53" operator="containsText" id="{E573EE86-ACFB-4C3D-BC08-1BFF5AA5D952}">
            <xm:f>NOT(ISERROR(SEARCH($AN$686,AB665)))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54" operator="containsText" id="{09E5715D-FC04-4E73-9F6B-15F1A28A70CC}">
            <xm:f>NOT(ISERROR(SEARCH($AN$685,AB665)))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55" operator="containsText" id="{1C53BEF1-10F8-42B0-8B5D-92EC9DC3B102}">
            <xm:f>NOT(ISERROR(SEARCH($AN$684,AB665)))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56" operator="containsText" id="{1C889A96-CD5A-4243-8F6D-B0A30027C856}">
            <xm:f>NOT(ISERROR(SEARCH($AN$683,AB665)))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57" operator="containsText" id="{0A91BD08-0AEA-4679-B815-AB02B58659AE}">
            <xm:f>NOT(ISERROR(SEARCH($AN$682,AB665)))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58" operator="containsText" id="{ECD604C7-A6D4-4C6F-B496-2344A8D199A2}">
            <xm:f>NOT(ISERROR(SEARCH($AN$681,AB665)))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59" operator="containsText" id="{ACCC3184-8CE3-4997-9C39-BDD21435E578}">
            <xm:f>NOT(ISERROR(SEARCH($AN$680,AB665)))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60" operator="containsText" id="{8CBA4F19-7CE5-4B36-9AE5-9A9BD8514DB8}">
            <xm:f>NOT(ISERROR(SEARCH($AN$678,AB665)))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61" operator="containsText" id="{41E4415F-6B21-4D39-AFBC-E47D6E848291}">
            <xm:f>NOT(ISERROR(SEARCH($AN$679,AB665)))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AB665:AC665</xm:sqref>
        </x14:conditionalFormatting>
        <x14:conditionalFormatting xmlns:xm="http://schemas.microsoft.com/office/excel/2006/main">
          <x14:cfRule type="containsText" priority="1" operator="containsText" id="{5E6E4ADC-4D24-4A74-9818-FEBB77DA5FAF}">
            <xm:f>NOT(ISERROR(SEARCH($AN$690,AB665)))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AB665:AC666</xm:sqref>
        </x14:conditionalFormatting>
        <x14:conditionalFormatting xmlns:xm="http://schemas.microsoft.com/office/excel/2006/main">
          <x14:cfRule type="containsText" priority="2" operator="containsText" id="{E874D5BF-BE56-4BF7-9768-F0CAE6908887}">
            <xm:f>NOT(ISERROR(SEARCH($AN$704,AB666)))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" operator="containsText" id="{805C30DA-2C4F-4CE8-A205-90CBFA583716}">
            <xm:f>NOT(ISERROR(SEARCH($AN$693,AB666)))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" operator="containsText" id="{1EB2D081-5F4B-4188-BEE1-E717DF826142}">
            <xm:f>NOT(ISERROR(SEARCH($AN$692,AB666)))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" operator="containsText" id="{A731B3CD-1865-43B3-B4B4-E188CAA9DE0B}">
            <xm:f>NOT(ISERROR(SEARCH($AN$691,AB666)))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6" operator="containsText" id="{D831A39B-F2C4-4D81-8714-66DC3BFE8D2A}">
            <xm:f>NOT(ISERROR(SEARCH($AN$689,AB666)))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AB666:AC666</xm:sqref>
        </x14:conditionalFormatting>
        <x14:conditionalFormatting xmlns:xm="http://schemas.microsoft.com/office/excel/2006/main">
          <x14:cfRule type="containsText" priority="5591" operator="containsText" id="{2ADED188-3779-426A-B88A-DD81CF5C5A9A}">
            <xm:f>NOT(ISERROR(SEARCH($AN$692,AB705)))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592" operator="containsText" id="{EBC064FD-C8EB-4D7E-AFD5-2E77BB64E373}">
            <xm:f>NOT(ISERROR(SEARCH($AN$691,AB705)))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593" operator="containsText" id="{56A597EF-4D48-41C7-9CA3-CF7BDF6431F1}">
            <xm:f>NOT(ISERROR(SEARCH($AN$689,AB705)))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594" operator="containsText" id="{A767FD5B-F1C3-4374-A566-4E7B647CE52B}">
            <xm:f>NOT(ISERROR(SEARCH($AN$687,AB705)))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595" operator="containsText" id="{CEB02475-4750-4186-88CC-6AFC18F7F651}">
            <xm:f>NOT(ISERROR(SEARCH($AN$688,AB705)))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596" operator="containsText" id="{9653E3B1-BF0E-40FC-B7B5-29DB1995BDCA}">
            <xm:f>NOT(ISERROR(SEARCH($AN$686,AB705)))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97" operator="containsText" id="{32F5CE5C-F733-4A5F-9088-C065AD0E3117}">
            <xm:f>NOT(ISERROR(SEARCH($AN$685,AB705)))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598" operator="containsText" id="{E64F34F8-AF0D-441A-A441-EF9EDBB212D4}">
            <xm:f>NOT(ISERROR(SEARCH($AN$684,AB705)))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99" operator="containsText" id="{B5D37CBF-78D0-4395-920E-91ACB2500DDA}">
            <xm:f>NOT(ISERROR(SEARCH($AN$683,AB705)))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600" operator="containsText" id="{7DBA1A43-9D58-49E7-ABC7-9A046AD00269}">
            <xm:f>NOT(ISERROR(SEARCH($AN$682,AB705)))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601" operator="containsText" id="{63E7089E-14BD-4FFB-803D-F3753182BC4A}">
            <xm:f>NOT(ISERROR(SEARCH($AN$681,AB705)))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602" operator="containsText" id="{621A8D40-6D32-45C9-93E1-9196EB1B7D55}">
            <xm:f>NOT(ISERROR(SEARCH($AN$680,AB705)))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603" operator="containsText" id="{BF7B671D-B53B-492E-895A-678A3BC7D57B}">
            <xm:f>NOT(ISERROR(SEARCH($AN$678,AB705)))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604" operator="containsText" id="{312B411A-1204-4F67-BB3D-70117242CC97}">
            <xm:f>NOT(ISERROR(SEARCH($AN$679,AB705)))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AB705:AC709</xm:sqref>
        </x14:conditionalFormatting>
        <x14:conditionalFormatting xmlns:xm="http://schemas.microsoft.com/office/excel/2006/main">
          <x14:cfRule type="containsText" priority="5571" operator="containsText" id="{28C8EBC6-D6BF-4B59-98D8-B8C18C44117C}">
            <xm:f>NOT(ISERROR(SEARCH($AN$690,AB708)))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572" operator="containsText" id="{9C313631-7162-440F-B9DF-22EE673E7B23}">
            <xm:f>NOT(ISERROR(SEARCH($AN$704,AB708)))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573" operator="containsText" id="{CEC24DAD-6BF0-4F1A-B590-E47C69AE8294}">
            <xm:f>NOT(ISERROR(SEARCH($AN$693,AB708)))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574" operator="containsText" id="{61272FCB-DDBF-4D72-AB54-AAC708A5A204}">
            <xm:f>NOT(ISERROR(SEARCH($AN$692,AB708)))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575" operator="containsText" id="{D5408D0C-0834-446A-8E36-F5E95C82DA8B}">
            <xm:f>NOT(ISERROR(SEARCH($AN$691,AB708)))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576" operator="containsText" id="{402C399B-05EC-43E7-A7B0-EFF715402039}">
            <xm:f>NOT(ISERROR(SEARCH($AN$689,AB708)))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577" operator="containsText" id="{B411324A-ADB9-4811-BCCD-38679CDD61F7}">
            <xm:f>NOT(ISERROR(SEARCH($AN$687,AB708)))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578" operator="containsText" id="{143CB5D2-2603-4906-8721-11EE1AEA3945}">
            <xm:f>NOT(ISERROR(SEARCH($AN$688,AB708)))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579" operator="containsText" id="{92C90C76-DC8B-4432-B8B6-0B50B941EC35}">
            <xm:f>NOT(ISERROR(SEARCH($AN$686,AB708)))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80" operator="containsText" id="{F2626DE2-8E16-46D6-8C48-F77A8EE1EA51}">
            <xm:f>NOT(ISERROR(SEARCH($AN$685,AB708)))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581" operator="containsText" id="{5CCBC768-DCD8-4FEC-BCAA-9A355D084D26}">
            <xm:f>NOT(ISERROR(SEARCH($AN$684,AB708)))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82" operator="containsText" id="{B145EE00-382E-4C0B-A644-B7E8DDD3EC0A}">
            <xm:f>NOT(ISERROR(SEARCH($AN$683,AB708)))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583" operator="containsText" id="{C56AF22E-A5F1-4C03-8374-CE8EEE79ED6C}">
            <xm:f>NOT(ISERROR(SEARCH($AN$682,AB708)))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584" operator="containsText" id="{A4248AC4-58D9-49D1-81B8-EAA61FADDADE}">
            <xm:f>NOT(ISERROR(SEARCH($AN$681,AB708)))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585" operator="containsText" id="{6F207BEC-A4FD-4B27-8298-2A973C5A9A42}">
            <xm:f>NOT(ISERROR(SEARCH($AN$680,AB708)))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586" operator="containsText" id="{CB5ECE78-AD65-4452-8B6E-DAD3F23F7872}">
            <xm:f>NOT(ISERROR(SEARCH($AN$678,AB708)))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587" operator="containsText" id="{1D5CCD12-DCB8-4816-82AD-43953AD18A50}">
            <xm:f>NOT(ISERROR(SEARCH($AN$679,AB708)))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AB708:AC709</xm:sqref>
        </x14:conditionalFormatting>
        <x14:conditionalFormatting xmlns:xm="http://schemas.microsoft.com/office/excel/2006/main">
          <x14:cfRule type="containsText" priority="2227" operator="containsText" id="{AB8AC308-344E-499F-A2D0-54B39C064CAE}">
            <xm:f>NOT(ISERROR(SEARCH($AN$704,AB761)))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28" operator="containsText" id="{DD56F678-DB15-4DA5-847B-5F463B0671B6}">
            <xm:f>NOT(ISERROR(SEARCH($AN$693,AB761)))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310" operator="containsText" id="{9ED675E5-DEC0-4DFE-9D9D-93468617BC25}">
            <xm:f>NOT(ISERROR(SEARCH($AN$692,AB761)))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311" operator="containsText" id="{7ACFAF89-E3C7-4495-8A21-7536A65B5486}">
            <xm:f>NOT(ISERROR(SEARCH($AN$691,AB761)))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312" operator="containsText" id="{DAF9D4FD-15A6-4224-976D-D58B6C6A7B9A}">
            <xm:f>NOT(ISERROR(SEARCH($AN$689,AB761)))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13" operator="containsText" id="{5EF457B2-7097-4B69-A0EF-1440962E949D}">
            <xm:f>NOT(ISERROR(SEARCH($AN$687,AB761)))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14" operator="containsText" id="{228CE1B8-9F90-482F-BE2E-DEC6E2E41145}">
            <xm:f>NOT(ISERROR(SEARCH($AN$688,AB761)))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15" operator="containsText" id="{4182D928-F84C-4472-96B4-647EF771B3C8}">
            <xm:f>NOT(ISERROR(SEARCH($AN$686,AB761)))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16" operator="containsText" id="{0B3EB4AE-1BF3-4C5E-9F2A-93D7CB609C7A}">
            <xm:f>NOT(ISERROR(SEARCH($AN$685,AB761)))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17" operator="containsText" id="{BCE06FBF-085D-44DC-9C05-20DE1CDCDE27}">
            <xm:f>NOT(ISERROR(SEARCH($AN$684,AB761)))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18" operator="containsText" id="{E27E2B35-B16B-4580-9726-B3605A44F485}">
            <xm:f>NOT(ISERROR(SEARCH($AN$683,AB761)))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19" operator="containsText" id="{86E18BBF-AB0C-40F6-AD05-82EDAB2C347C}">
            <xm:f>NOT(ISERROR(SEARCH($AN$682,AB761)))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20" operator="containsText" id="{B89126ED-FD34-487E-AF1B-BDCD2190F8A8}">
            <xm:f>NOT(ISERROR(SEARCH($AN$681,AB761)))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21" operator="containsText" id="{A71CBEC5-33A8-417F-B459-041A9C9429FA}">
            <xm:f>NOT(ISERROR(SEARCH($AN$680,AB761)))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22" operator="containsText" id="{2161C1B8-551F-4776-AEB4-ADE29A1B66AA}">
            <xm:f>NOT(ISERROR(SEARCH($AN$678,AB761)))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23" operator="containsText" id="{6572EA08-EB44-41A1-9980-F67B8011C2B9}">
            <xm:f>NOT(ISERROR(SEARCH($AN$679,AB761)))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AB761:AC761</xm:sqref>
        </x14:conditionalFormatting>
        <x14:conditionalFormatting xmlns:xm="http://schemas.microsoft.com/office/excel/2006/main">
          <x14:cfRule type="containsText" priority="2136" operator="containsText" id="{14AA7463-6B8A-43C4-BAE9-73EC99C3CFEE}">
            <xm:f>NOT(ISERROR(SEARCH($AN$690,AB761)))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AB761:AC762</xm:sqref>
        </x14:conditionalFormatting>
        <x14:conditionalFormatting xmlns:xm="http://schemas.microsoft.com/office/excel/2006/main">
          <x14:cfRule type="containsText" priority="2137" operator="containsText" id="{90F202BA-6150-4ED6-85CB-336B17AD2C03}">
            <xm:f>NOT(ISERROR(SEARCH($AN$704,AB762)))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138" operator="containsText" id="{9C7A1B75-0CCA-4217-844A-BBA12ED10593}">
            <xm:f>NOT(ISERROR(SEARCH($AN$693,AB762)))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139" operator="containsText" id="{32113049-42E5-4619-85E0-5AD34BB86F36}">
            <xm:f>NOT(ISERROR(SEARCH($AN$692,AB762)))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40" operator="containsText" id="{3EDB0200-2282-48E2-A91A-49A5CF8AA6B6}">
            <xm:f>NOT(ISERROR(SEARCH($AN$691,AB762)))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141" operator="containsText" id="{5D86511D-4221-4EC6-A731-39F73D5F26AB}">
            <xm:f>NOT(ISERROR(SEARCH($AN$689,AB762)))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AB762:AC762</xm:sqref>
        </x14:conditionalFormatting>
        <x14:conditionalFormatting xmlns:xm="http://schemas.microsoft.com/office/excel/2006/main">
          <x14:cfRule type="containsText" priority="5928" operator="containsText" id="{C968AD04-6274-4886-B9BC-9D25FC6A015D}">
            <xm:f>NOT(ISERROR(SEARCH($AN$690,AB321)))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929" operator="containsText" id="{1BA546F8-347B-4692-829D-7FD5C63DC413}">
            <xm:f>NOT(ISERROR(SEARCH($AN$704,AB321)))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930" operator="containsText" id="{412A91B4-8A38-43DC-8EB3-3C7339602E4F}">
            <xm:f>NOT(ISERROR(SEARCH($AN$693,AB321)))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AB321:AF325</xm:sqref>
        </x14:conditionalFormatting>
        <x14:conditionalFormatting xmlns:xm="http://schemas.microsoft.com/office/excel/2006/main">
          <x14:cfRule type="containsText" priority="5843" operator="containsText" id="{603F15E4-33CC-44EE-9649-6C227DE6930C}">
            <xm:f>NOT(ISERROR(SEARCH($AN$690,AB417)))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844" operator="containsText" id="{C37A5D1B-DFF6-449A-AF2E-1602C809AF00}">
            <xm:f>NOT(ISERROR(SEARCH($AN$704,AB417)))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845" operator="containsText" id="{FC1ACE08-20FF-4F21-84CC-27DB636D34D6}">
            <xm:f>NOT(ISERROR(SEARCH($AN$693,AB417)))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AB417:AF421</xm:sqref>
        </x14:conditionalFormatting>
        <x14:conditionalFormatting xmlns:xm="http://schemas.microsoft.com/office/excel/2006/main">
          <x14:cfRule type="containsText" priority="5758" operator="containsText" id="{D8A683C3-FD93-4DB3-9391-8D468436A3F1}">
            <xm:f>NOT(ISERROR(SEARCH($AN$690,AB513)))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759" operator="containsText" id="{32CA3280-0F05-4C8B-8A2B-FD8805FFC16E}">
            <xm:f>NOT(ISERROR(SEARCH($AN$704,AB513)))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760" operator="containsText" id="{190703C1-C56E-4DF5-B288-E34A72B90279}">
            <xm:f>NOT(ISERROR(SEARCH($AN$693,AB513)))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AB513:AF517</xm:sqref>
        </x14:conditionalFormatting>
        <x14:conditionalFormatting xmlns:xm="http://schemas.microsoft.com/office/excel/2006/main">
          <x14:cfRule type="containsText" priority="5673" operator="containsText" id="{F7D6A66F-7F9D-4D49-9837-3E3678ECE6D1}">
            <xm:f>NOT(ISERROR(SEARCH($AN$690,AB609)))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674" operator="containsText" id="{827708D6-2943-44A9-A709-45CC10CBF58A}">
            <xm:f>NOT(ISERROR(SEARCH($AN$704,AB609)))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675" operator="containsText" id="{FEA9A228-7560-48E6-92BC-F730331C6963}">
            <xm:f>NOT(ISERROR(SEARCH($AN$693,AB609)))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AB609:AF613</xm:sqref>
        </x14:conditionalFormatting>
        <x14:conditionalFormatting xmlns:xm="http://schemas.microsoft.com/office/excel/2006/main">
          <x14:cfRule type="containsText" priority="5588" operator="containsText" id="{DF1C5E3E-0657-4E65-BD1E-AFB904FB019A}">
            <xm:f>NOT(ISERROR(SEARCH($AN$690,AB705)))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589" operator="containsText" id="{2856369D-3A37-433E-8E87-26A7EF8A8CCA}">
            <xm:f>NOT(ISERROR(SEARCH($AN$704,AB705)))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590" operator="containsText" id="{4B29115F-B2D6-4F86-9307-161C93A5134A}">
            <xm:f>NOT(ISERROR(SEARCH($AN$693,AB705)))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AB705:AF709</xm:sqref>
        </x14:conditionalFormatting>
        <x14:conditionalFormatting xmlns:xm="http://schemas.microsoft.com/office/excel/2006/main">
          <x14:cfRule type="containsText" priority="1837" operator="containsText" id="{AC28BF43-B505-480B-B73C-32659DFEF452}">
            <xm:f>NOT(ISERROR(SEARCH($AN$687,AC90)))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838" operator="containsText" id="{4C2C0B5E-59B3-4BDD-8BA5-AAE508ECC6DA}">
            <xm:f>NOT(ISERROR(SEARCH($AN$688,AC90)))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839" operator="containsText" id="{62576C33-F905-4E45-800D-64AADFBF447F}">
            <xm:f>NOT(ISERROR(SEARCH($AN$686,AC90)))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40" operator="containsText" id="{B859BF08-2CCF-4F8D-AF7C-C74D89423615}">
            <xm:f>NOT(ISERROR(SEARCH($AN$685,AC90)))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841" operator="containsText" id="{FDCE8957-BEAE-4B97-B031-FBBC4E87B2F4}">
            <xm:f>NOT(ISERROR(SEARCH($AN$684,AC90)))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42" operator="containsText" id="{BCE26D35-8864-47E6-883B-EF3CB4EFC003}">
            <xm:f>NOT(ISERROR(SEARCH($AN$683,AC90)))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843" operator="containsText" id="{4DDB2E77-B063-44D3-BE8B-FCAC5AFC9FBF}">
            <xm:f>NOT(ISERROR(SEARCH($AN$682,AC90)))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844" operator="containsText" id="{F64D383C-7672-4D0D-A11E-A1250F09ACD0}">
            <xm:f>NOT(ISERROR(SEARCH($AN$681,AC90)))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845" operator="containsText" id="{2D0C508B-E736-4702-BDCD-819217E67DC7}">
            <xm:f>NOT(ISERROR(SEARCH($AN$680,AC90)))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846" operator="containsText" id="{D5D32328-BBB8-48E3-B1B5-7ED332283CC6}">
            <xm:f>NOT(ISERROR(SEARCH($AN$678,AC90)))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847" operator="containsText" id="{65BA7B76-F593-4E06-B9BF-A7CB6FF4A575}">
            <xm:f>NOT(ISERROR(SEARCH($AN$679,AC90)))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AC90</xm:sqref>
        </x14:conditionalFormatting>
        <x14:conditionalFormatting xmlns:xm="http://schemas.microsoft.com/office/excel/2006/main">
          <x14:cfRule type="containsText" priority="1887" operator="containsText" id="{6DA7E68F-D19B-4A97-81FC-E63192E251AD}">
            <xm:f>NOT(ISERROR(SEARCH($AN$690,AC91)))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888" operator="containsText" id="{1F19F6D0-8095-4BE2-B451-05A7C0AB18DB}">
            <xm:f>NOT(ISERROR(SEARCH($AN$704,AC91)))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889" operator="containsText" id="{28094C2B-074D-4615-82F5-8026AE766F4B}">
            <xm:f>NOT(ISERROR(SEARCH($AN$693,AC91)))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890" operator="containsText" id="{A9AA76A2-41D9-47E5-92A2-41E23A1ED03D}">
            <xm:f>NOT(ISERROR(SEARCH($AN$692,AC91)))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891" operator="containsText" id="{2F816BF7-9E27-4716-B8C4-F3388EF1C40F}">
            <xm:f>NOT(ISERROR(SEARCH($AN$691,AC91)))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892" operator="containsText" id="{C1B90415-635C-42DE-B0DA-43381DE58E84}">
            <xm:f>NOT(ISERROR(SEARCH($AN$689,AC91)))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893" operator="containsText" id="{7106CE48-C9D8-41CF-AA54-9D72EB4D1D8B}">
            <xm:f>NOT(ISERROR(SEARCH($AN$687,AC91)))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894" operator="containsText" id="{8E60DC29-6ADB-47B4-82F7-7BD367461775}">
            <xm:f>NOT(ISERROR(SEARCH($AN$688,AC91)))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895" operator="containsText" id="{C02029C1-7258-48CB-967F-772AB021ACA6}">
            <xm:f>NOT(ISERROR(SEARCH($AN$686,AC91)))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96" operator="containsText" id="{3876A85A-B3A1-4A2A-A8E5-CF765F744071}">
            <xm:f>NOT(ISERROR(SEARCH($AN$685,AC91)))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897" operator="containsText" id="{306DAEF6-28E9-4022-A686-00C6C98405F0}">
            <xm:f>NOT(ISERROR(SEARCH($AN$684,AC91)))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98" operator="containsText" id="{EB396417-C7F2-4FD5-9373-46B231DB6BB3}">
            <xm:f>NOT(ISERROR(SEARCH($AN$683,AC91)))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899" operator="containsText" id="{F325D154-1438-4F13-9D81-075924D99220}">
            <xm:f>NOT(ISERROR(SEARCH($AN$682,AC91)))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900" operator="containsText" id="{07045C1A-B8A0-4BF6-8862-0B0DC350399E}">
            <xm:f>NOT(ISERROR(SEARCH($AN$681,AC91)))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901" operator="containsText" id="{F23A8E48-3C86-432D-92F3-7DA732C40AB9}">
            <xm:f>NOT(ISERROR(SEARCH($AN$680,AC91)))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902" operator="containsText" id="{364C9E8B-8411-406D-81FE-163746063AE0}">
            <xm:f>NOT(ISERROR(SEARCH($AN$678,AC91)))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903" operator="containsText" id="{72DAA4E6-5706-40C7-A7C5-F5EFF9FCB49E}">
            <xm:f>NOT(ISERROR(SEARCH($AN$679,AC91)))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AC91:AC92</xm:sqref>
        </x14:conditionalFormatting>
        <x14:conditionalFormatting xmlns:xm="http://schemas.microsoft.com/office/excel/2006/main">
          <x14:cfRule type="containsText" priority="1924" operator="containsText" id="{7B0B18C6-BC2E-48C8-86FB-1B74D2469C36}">
            <xm:f>NOT(ISERROR(SEARCH($AN$689,AC93)))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925" operator="containsText" id="{68277F26-FB08-416D-9B7D-50242C7184B3}">
            <xm:f>NOT(ISERROR(SEARCH($AN$687,AC93)))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926" operator="containsText" id="{474CC608-B2F3-4DD4-AEC5-A3D468F4D7D2}">
            <xm:f>NOT(ISERROR(SEARCH($AN$688,AC93)))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927" operator="containsText" id="{AB8E86D0-3841-4777-AD8C-5C192548C936}">
            <xm:f>NOT(ISERROR(SEARCH($AN$686,AC93)))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928" operator="containsText" id="{0CB07DCD-A669-4535-A539-8F0F15072C17}">
            <xm:f>NOT(ISERROR(SEARCH($AN$685,AC93)))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929" operator="containsText" id="{8856113C-0655-4485-A77A-9C5E40BAE35B}">
            <xm:f>NOT(ISERROR(SEARCH($AN$684,AC93)))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930" operator="containsText" id="{E3659392-A6A4-4D0D-9FAE-7C697536131E}">
            <xm:f>NOT(ISERROR(SEARCH($AN$683,AC93)))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931" operator="containsText" id="{DE44B161-209F-406A-AA87-6714094E9F02}">
            <xm:f>NOT(ISERROR(SEARCH($AN$682,AC93)))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932" operator="containsText" id="{99061408-58E7-4E67-B378-297EC01D479D}">
            <xm:f>NOT(ISERROR(SEARCH($AN$681,AC93)))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933" operator="containsText" id="{5F713364-F369-405C-97D6-9BF3D66C0A20}">
            <xm:f>NOT(ISERROR(SEARCH($AN$680,AC93)))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934" operator="containsText" id="{4827A490-03F7-43B1-B650-F153A795F6D1}">
            <xm:f>NOT(ISERROR(SEARCH($AN$678,AC93)))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935" operator="containsText" id="{0A1FF955-0285-4795-B012-6DD00B8731CF}">
            <xm:f>NOT(ISERROR(SEARCH($AN$679,AC93)))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936" operator="containsText" id="{7908FF38-6FC0-47C9-8CF7-5DE70EA83D16}">
            <xm:f>NOT(ISERROR(SEARCH($AN$690,AC93)))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937" operator="containsText" id="{DB2D4618-D7CC-4B08-B343-E0FB8530895A}">
            <xm:f>NOT(ISERROR(SEARCH($AN$704,AC93)))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938" operator="containsText" id="{5FD0FE39-2E76-4B76-9681-156771475231}">
            <xm:f>NOT(ISERROR(SEARCH($AN$693,AC93)))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939" operator="containsText" id="{F4FD9493-9986-466B-A0AC-A76DC4246015}">
            <xm:f>NOT(ISERROR(SEARCH($AN$692,AC93)))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940" operator="containsText" id="{454A54A3-CBC0-40C7-BC04-620E6DCB603C}">
            <xm:f>NOT(ISERROR(SEARCH($AN$691,AC93)))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941" operator="containsText" id="{256792B0-1614-436D-8431-00EF512178AF}">
            <xm:f>NOT(ISERROR(SEARCH($AN$689,AC93)))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942" operator="containsText" id="{E6DDE368-F800-4261-B00D-4903FFBE74F1}">
            <xm:f>NOT(ISERROR(SEARCH($AN$687,AC93)))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943" operator="containsText" id="{49C946E0-1947-46AE-913F-0D15F7A21CF0}">
            <xm:f>NOT(ISERROR(SEARCH($AN$688,AC93)))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944" operator="containsText" id="{1252E345-C06D-4968-B1B7-22DBCAE0CCB4}">
            <xm:f>NOT(ISERROR(SEARCH($AN$686,AC93)))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945" operator="containsText" id="{805ED98E-911E-411C-80B6-4DA62454B9D6}">
            <xm:f>NOT(ISERROR(SEARCH($AN$685,AC93)))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946" operator="containsText" id="{BDDCF57C-A3AC-485E-89E5-B8DEB0FDB6C7}">
            <xm:f>NOT(ISERROR(SEARCH($AN$684,AC93)))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947" operator="containsText" id="{1D0CC3B1-549A-4B7C-90A3-58BFC98E0640}">
            <xm:f>NOT(ISERROR(SEARCH($AN$683,AC93)))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948" operator="containsText" id="{55163C0D-88DB-4FC9-BDCF-AF037902998E}">
            <xm:f>NOT(ISERROR(SEARCH($AN$682,AC93)))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949" operator="containsText" id="{72CE7552-B301-4CC5-A56B-867548A52F5D}">
            <xm:f>NOT(ISERROR(SEARCH($AN$681,AC93)))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950" operator="containsText" id="{2CF454D3-9CDE-4118-9D00-904F8BDAA1A5}">
            <xm:f>NOT(ISERROR(SEARCH($AN$680,AC93)))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951" operator="containsText" id="{475ABE4B-B811-4144-85AB-91CC9A538A41}">
            <xm:f>NOT(ISERROR(SEARCH($AN$678,AC93)))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952" operator="containsText" id="{EA7E650C-B417-475F-AFD8-405ADFFFAF45}">
            <xm:f>NOT(ISERROR(SEARCH($AN$679,AC93)))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AC93</xm:sqref>
        </x14:conditionalFormatting>
        <x14:conditionalFormatting xmlns:xm="http://schemas.microsoft.com/office/excel/2006/main">
          <x14:cfRule type="containsText" priority="1532" operator="containsText" id="{76228D40-B1BF-4602-8CAB-1B9F8EC0AE95}">
            <xm:f>NOT(ISERROR(SEARCH($AN$687,AC186)))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533" operator="containsText" id="{449F8743-38E1-4AE8-8E43-CA9B45FABB72}">
            <xm:f>NOT(ISERROR(SEARCH($AN$688,AC186)))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534" operator="containsText" id="{57C1FB65-9F00-4301-B392-26726B304E59}">
            <xm:f>NOT(ISERROR(SEARCH($AN$686,AC186)))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535" operator="containsText" id="{6DC5349F-53A6-4711-8E61-A88505FC55F8}">
            <xm:f>NOT(ISERROR(SEARCH($AN$685,AC186)))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536" operator="containsText" id="{87DB5811-27D0-4C91-97CB-7BDE193738E9}">
            <xm:f>NOT(ISERROR(SEARCH($AN$684,AC186)))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537" operator="containsText" id="{199891EA-EF54-4190-BF33-CA14BCC0A240}">
            <xm:f>NOT(ISERROR(SEARCH($AN$683,AC186)))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538" operator="containsText" id="{B4BD2E4C-7DFC-462E-8FFC-B5095D581E62}">
            <xm:f>NOT(ISERROR(SEARCH($AN$682,AC186)))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539" operator="containsText" id="{3CE4A604-7BBC-46E7-AC2E-58562CD42AAA}">
            <xm:f>NOT(ISERROR(SEARCH($AN$681,AC186)))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540" operator="containsText" id="{38448FF7-EC0C-43BC-8C45-56D57C03FDAE}">
            <xm:f>NOT(ISERROR(SEARCH($AN$680,AC186)))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541" operator="containsText" id="{87470F2D-9F43-4CA7-8C74-F6755173FB51}">
            <xm:f>NOT(ISERROR(SEARCH($AN$678,AC186)))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542" operator="containsText" id="{FBD6C4DC-F7A3-4ACE-BDE8-7CD751A54917}">
            <xm:f>NOT(ISERROR(SEARCH($AN$679,AC186)))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AC186</xm:sqref>
        </x14:conditionalFormatting>
        <x14:conditionalFormatting xmlns:xm="http://schemas.microsoft.com/office/excel/2006/main">
          <x14:cfRule type="containsText" priority="1582" operator="containsText" id="{BB1F6718-A4FF-4A99-A246-0132C0293597}">
            <xm:f>NOT(ISERROR(SEARCH($AN$690,AC187)))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583" operator="containsText" id="{608AB1F6-399D-44B2-96CE-2F7E35A821D4}">
            <xm:f>NOT(ISERROR(SEARCH($AN$704,AC187)))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584" operator="containsText" id="{9DF2C4B6-CC42-4DA2-9D39-597B2F179A1F}">
            <xm:f>NOT(ISERROR(SEARCH($AN$693,AC187)))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585" operator="containsText" id="{F0596C0F-64D8-4B18-BEF6-9947A9E724F7}">
            <xm:f>NOT(ISERROR(SEARCH($AN$692,AC187)))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586" operator="containsText" id="{58273E81-277A-44D5-B334-2C2EE191F687}">
            <xm:f>NOT(ISERROR(SEARCH($AN$691,AC187)))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587" operator="containsText" id="{8A5B53A9-5227-4718-B46E-C7CC46DD265E}">
            <xm:f>NOT(ISERROR(SEARCH($AN$689,AC187)))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588" operator="containsText" id="{5724C5E6-11AD-4DDC-A90E-F5ED245AAD3C}">
            <xm:f>NOT(ISERROR(SEARCH($AN$687,AC187)))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589" operator="containsText" id="{3CEBA339-87E4-4ED7-9D05-4E44881CFAC9}">
            <xm:f>NOT(ISERROR(SEARCH($AN$688,AC187)))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590" operator="containsText" id="{2C831881-D4F1-47C7-BF1C-B243384EB483}">
            <xm:f>NOT(ISERROR(SEARCH($AN$686,AC187)))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591" operator="containsText" id="{B950BBCB-0C69-4DC0-8CF7-B7DFC6AF4440}">
            <xm:f>NOT(ISERROR(SEARCH($AN$685,AC187)))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592" operator="containsText" id="{FE308F36-FD7C-43D2-8A64-3B4A3208F6E2}">
            <xm:f>NOT(ISERROR(SEARCH($AN$684,AC187)))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593" operator="containsText" id="{AE739D82-F7D1-420C-82EF-2674B18E1280}">
            <xm:f>NOT(ISERROR(SEARCH($AN$683,AC187)))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594" operator="containsText" id="{43E9152D-3953-453E-821E-214240E3ACE0}">
            <xm:f>NOT(ISERROR(SEARCH($AN$682,AC187)))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595" operator="containsText" id="{EEF87317-4B2B-4435-A515-CD8C40AB0E0F}">
            <xm:f>NOT(ISERROR(SEARCH($AN$681,AC187)))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596" operator="containsText" id="{ECE74AC7-982E-48EF-BACA-DADC12795E73}">
            <xm:f>NOT(ISERROR(SEARCH($AN$680,AC187)))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597" operator="containsText" id="{A1E75DA2-03A7-4168-91C1-FF87EFEAD07F}">
            <xm:f>NOT(ISERROR(SEARCH($AN$678,AC187)))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598" operator="containsText" id="{542F3FE0-6BA7-4B45-9B0B-4259959A04F5}">
            <xm:f>NOT(ISERROR(SEARCH($AN$679,AC187)))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AC187:AC188</xm:sqref>
        </x14:conditionalFormatting>
        <x14:conditionalFormatting xmlns:xm="http://schemas.microsoft.com/office/excel/2006/main">
          <x14:cfRule type="containsText" priority="1619" operator="containsText" id="{414B7E29-98C9-45C8-A2B5-4DE980FB1D92}">
            <xm:f>NOT(ISERROR(SEARCH($AN$689,AC189)))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620" operator="containsText" id="{F84ED975-7611-4B77-9322-59D036FD71F3}">
            <xm:f>NOT(ISERROR(SEARCH($AN$687,AC189)))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621" operator="containsText" id="{29B4FEE7-2982-4923-909F-429BAB16DE49}">
            <xm:f>NOT(ISERROR(SEARCH($AN$688,AC189)))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622" operator="containsText" id="{C28FB390-9B3F-4F10-A202-6FC4880B293F}">
            <xm:f>NOT(ISERROR(SEARCH($AN$686,AC189)))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23" operator="containsText" id="{0F0F6EFD-7A12-4CCD-9EF0-380D464C2843}">
            <xm:f>NOT(ISERROR(SEARCH($AN$685,AC189)))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624" operator="containsText" id="{C70CEF20-C9FF-4D40-B9B7-3A69B16D6B17}">
            <xm:f>NOT(ISERROR(SEARCH($AN$684,AC189)))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25" operator="containsText" id="{5752FD14-45CB-4D45-B4F1-5707EBF1634B}">
            <xm:f>NOT(ISERROR(SEARCH($AN$683,AC189)))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626" operator="containsText" id="{34FA5C1A-E2B0-476E-815B-4E4CFEE53585}">
            <xm:f>NOT(ISERROR(SEARCH($AN$682,AC189)))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627" operator="containsText" id="{92B105BD-2452-41F3-A183-19D85318B75C}">
            <xm:f>NOT(ISERROR(SEARCH($AN$681,AC189)))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628" operator="containsText" id="{E690CD8F-2583-4C55-B887-86E4FF443103}">
            <xm:f>NOT(ISERROR(SEARCH($AN$680,AC189)))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629" operator="containsText" id="{E0FDB9D4-0114-40C3-A936-0BBFC8022CA5}">
            <xm:f>NOT(ISERROR(SEARCH($AN$678,AC189)))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630" operator="containsText" id="{43783445-CFD8-4D81-ABFD-2471C7ABD2F7}">
            <xm:f>NOT(ISERROR(SEARCH($AN$679,AC189)))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631" operator="containsText" id="{1522CB50-18A8-4C5E-8360-CC1A983812A7}">
            <xm:f>NOT(ISERROR(SEARCH($AN$690,AC189)))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632" operator="containsText" id="{DA762E36-5474-44D1-A901-515F3C8CEA4C}">
            <xm:f>NOT(ISERROR(SEARCH($AN$704,AC189)))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633" operator="containsText" id="{3C0D08CF-BD43-4538-BC7B-9ED5B24DA2FC}">
            <xm:f>NOT(ISERROR(SEARCH($AN$693,AC189)))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634" operator="containsText" id="{D184FEEB-A96C-4D42-9CB7-C5A7F13B70CA}">
            <xm:f>NOT(ISERROR(SEARCH($AN$692,AC189)))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635" operator="containsText" id="{D5E4C83B-205C-4398-BB86-B7BADA3722A6}">
            <xm:f>NOT(ISERROR(SEARCH($AN$691,AC189)))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636" operator="containsText" id="{CB31D5C0-9055-480A-A70A-F422FAA1ADF3}">
            <xm:f>NOT(ISERROR(SEARCH($AN$689,AC189)))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637" operator="containsText" id="{E2C1D5A9-4046-4B51-B588-2D8153417A9A}">
            <xm:f>NOT(ISERROR(SEARCH($AN$687,AC189)))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638" operator="containsText" id="{816A0AC0-C43F-4B03-821B-CB4B64FFA996}">
            <xm:f>NOT(ISERROR(SEARCH($AN$688,AC189)))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639" operator="containsText" id="{5C7FE002-18C8-4758-921F-7E2D440718EE}">
            <xm:f>NOT(ISERROR(SEARCH($AN$686,AC189)))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40" operator="containsText" id="{758158AB-C5C1-4BB5-AD89-343F937730E2}">
            <xm:f>NOT(ISERROR(SEARCH($AN$685,AC189)))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641" operator="containsText" id="{3A1A9E2F-6D91-41F2-8428-ADCD37044231}">
            <xm:f>NOT(ISERROR(SEARCH($AN$684,AC189)))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42" operator="containsText" id="{27979D0D-3F6B-403A-914D-36466E8C54BA}">
            <xm:f>NOT(ISERROR(SEARCH($AN$683,AC189)))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643" operator="containsText" id="{D1D28D80-C38B-4297-8CFC-A4A39491B45A}">
            <xm:f>NOT(ISERROR(SEARCH($AN$682,AC189)))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644" operator="containsText" id="{AA965A0F-21D2-4B80-B9E7-D95BDCCA3772}">
            <xm:f>NOT(ISERROR(SEARCH($AN$681,AC189)))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645" operator="containsText" id="{FBC9904F-311F-4CA8-AC77-F3E7F1128463}">
            <xm:f>NOT(ISERROR(SEARCH($AN$680,AC189)))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646" operator="containsText" id="{678CE5D0-3684-4359-BA21-63D6E7471743}">
            <xm:f>NOT(ISERROR(SEARCH($AN$678,AC189)))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647" operator="containsText" id="{8C21C2D2-26CA-41C0-89F0-22D7E38B2818}">
            <xm:f>NOT(ISERROR(SEARCH($AN$679,AC189)))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AC189</xm:sqref>
        </x14:conditionalFormatting>
        <x14:conditionalFormatting xmlns:xm="http://schemas.microsoft.com/office/excel/2006/main">
          <x14:cfRule type="containsText" priority="1227" operator="containsText" id="{D9033C18-1345-4293-A905-B83941AEBBF0}">
            <xm:f>NOT(ISERROR(SEARCH($AN$687,AC282)))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228" operator="containsText" id="{ACD80398-A088-4802-AE40-76F38F6C2B13}">
            <xm:f>NOT(ISERROR(SEARCH($AN$688,AC282)))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29" operator="containsText" id="{D4C95369-86E7-4356-8389-50BE63D20F26}">
            <xm:f>NOT(ISERROR(SEARCH($AN$686,AC282)))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30" operator="containsText" id="{42E3107D-3B70-42C0-ADAB-74C9B9396A77}">
            <xm:f>NOT(ISERROR(SEARCH($AN$685,AC282)))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31" operator="containsText" id="{FEBD214D-42AE-4416-87C0-2721C533780A}">
            <xm:f>NOT(ISERROR(SEARCH($AN$684,AC282)))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32" operator="containsText" id="{38EE8F4C-B930-4E8C-8F89-A633AF17BF9B}">
            <xm:f>NOT(ISERROR(SEARCH($AN$683,AC282)))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33" operator="containsText" id="{3D04FA29-D468-4355-8427-9578D230F8A2}">
            <xm:f>NOT(ISERROR(SEARCH($AN$682,AC282)))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34" operator="containsText" id="{70B0E839-3C54-4818-AA64-D50A284FA9E5}">
            <xm:f>NOT(ISERROR(SEARCH($AN$681,AC282)))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35" operator="containsText" id="{44B05409-89BE-4405-A758-0AD16F0DB035}">
            <xm:f>NOT(ISERROR(SEARCH($AN$680,AC282)))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36" operator="containsText" id="{7B8B98AC-C473-45A7-AB8C-19C36CD1AEAA}">
            <xm:f>NOT(ISERROR(SEARCH($AN$678,AC282)))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37" operator="containsText" id="{D97A1840-ADC6-4D0E-BE9E-DF10D5B3BE00}">
            <xm:f>NOT(ISERROR(SEARCH($AN$679,AC282)))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AC282</xm:sqref>
        </x14:conditionalFormatting>
        <x14:conditionalFormatting xmlns:xm="http://schemas.microsoft.com/office/excel/2006/main">
          <x14:cfRule type="containsText" priority="1277" operator="containsText" id="{E400D9E1-D951-47B9-922D-7C2D8708B62F}">
            <xm:f>NOT(ISERROR(SEARCH($AN$690,AC283)))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278" operator="containsText" id="{553F19C4-1971-4F9E-B8C9-8A61966F5E10}">
            <xm:f>NOT(ISERROR(SEARCH($AN$704,AC283)))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279" operator="containsText" id="{AE234176-4860-4F6D-B42E-ED1D8465E233}">
            <xm:f>NOT(ISERROR(SEARCH($AN$693,AC283)))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280" operator="containsText" id="{C5CAAECF-3608-408F-995A-205191D9E56F}">
            <xm:f>NOT(ISERROR(SEARCH($AN$692,AC283)))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281" operator="containsText" id="{88C3822F-944A-4696-A010-28D34D5508A5}">
            <xm:f>NOT(ISERROR(SEARCH($AN$691,AC283)))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282" operator="containsText" id="{84BF150B-78EB-49EF-8FE0-A13DA74B30DA}">
            <xm:f>NOT(ISERROR(SEARCH($AN$689,AC283)))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283" operator="containsText" id="{ADAB6743-73FE-4968-B1D2-4C7D32ACE523}">
            <xm:f>NOT(ISERROR(SEARCH($AN$687,AC283)))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284" operator="containsText" id="{C5FB2B6A-8154-4EC8-8C92-3138F5F27ED1}">
            <xm:f>NOT(ISERROR(SEARCH($AN$688,AC283)))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85" operator="containsText" id="{CC93B22C-692C-4C9D-99BD-541A83FF2052}">
            <xm:f>NOT(ISERROR(SEARCH($AN$686,AC283)))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86" operator="containsText" id="{57678F25-7589-4B79-80B1-ABEDB537F9CD}">
            <xm:f>NOT(ISERROR(SEARCH($AN$685,AC283)))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87" operator="containsText" id="{D17ABFBE-F673-4217-A4B7-AE44C2509B0E}">
            <xm:f>NOT(ISERROR(SEARCH($AN$684,AC283)))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88" operator="containsText" id="{10B96568-CE84-40CB-942E-C25B9C9DD2A1}">
            <xm:f>NOT(ISERROR(SEARCH($AN$683,AC283)))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89" operator="containsText" id="{2C2188C3-3A08-4950-9D5D-760FC14B9014}">
            <xm:f>NOT(ISERROR(SEARCH($AN$682,AC283)))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90" operator="containsText" id="{F39744C9-6C18-49EA-8A55-05EDC64DD3CD}">
            <xm:f>NOT(ISERROR(SEARCH($AN$681,AC283)))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91" operator="containsText" id="{B1C1DA32-5A93-4310-92E3-806591A44895}">
            <xm:f>NOT(ISERROR(SEARCH($AN$680,AC283)))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92" operator="containsText" id="{CC2E2DBB-0E41-4FE5-B740-F07E2B4014A5}">
            <xm:f>NOT(ISERROR(SEARCH($AN$678,AC283)))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93" operator="containsText" id="{E6427E9E-55BF-4B2D-BD52-C1200EAADEEC}">
            <xm:f>NOT(ISERROR(SEARCH($AN$679,AC283)))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AC283:AC284</xm:sqref>
        </x14:conditionalFormatting>
        <x14:conditionalFormatting xmlns:xm="http://schemas.microsoft.com/office/excel/2006/main">
          <x14:cfRule type="containsText" priority="1314" operator="containsText" id="{6430C341-60AA-4E2C-A206-C18B707A795C}">
            <xm:f>NOT(ISERROR(SEARCH($AN$689,AC285)))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315" operator="containsText" id="{2818B678-0385-4A72-9413-FDDE74DD2C3F}">
            <xm:f>NOT(ISERROR(SEARCH($AN$687,AC285)))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316" operator="containsText" id="{E746F35C-69A4-4AC1-8AE8-049EBFE05381}">
            <xm:f>NOT(ISERROR(SEARCH($AN$688,AC285)))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317" operator="containsText" id="{089BFCCA-E6B4-47D9-9912-38C7321DE29E}">
            <xm:f>NOT(ISERROR(SEARCH($AN$686,AC285)))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18" operator="containsText" id="{65E3B3A7-AD4D-46F0-8844-762873FFBD4B}">
            <xm:f>NOT(ISERROR(SEARCH($AN$685,AC285)))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319" operator="containsText" id="{1C6CE83A-F9D9-4E95-93B0-DDA5736FBC1B}">
            <xm:f>NOT(ISERROR(SEARCH($AN$684,AC285)))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20" operator="containsText" id="{0F911C79-EBB1-4603-9FEE-A665F5B819C5}">
            <xm:f>NOT(ISERROR(SEARCH($AN$683,AC285)))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321" operator="containsText" id="{EE3C696A-9696-462B-B17C-AA5732B2BC6F}">
            <xm:f>NOT(ISERROR(SEARCH($AN$682,AC285)))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322" operator="containsText" id="{5C5FA917-6CF6-4FE2-A404-9AC2FDCAB8B8}">
            <xm:f>NOT(ISERROR(SEARCH($AN$681,AC285)))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23" operator="containsText" id="{0F7C306E-7CC9-483B-ACF1-F7520C3F93E6}">
            <xm:f>NOT(ISERROR(SEARCH($AN$680,AC285)))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24" operator="containsText" id="{0725228F-E5BC-488D-8970-43264081329D}">
            <xm:f>NOT(ISERROR(SEARCH($AN$678,AC285)))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25" operator="containsText" id="{E202BFB9-C1BC-43D4-8B78-94D3A2EACE98}">
            <xm:f>NOT(ISERROR(SEARCH($AN$679,AC285)))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326" operator="containsText" id="{1A87B4BB-A697-4CFE-885B-CCB4E804C62A}">
            <xm:f>NOT(ISERROR(SEARCH($AN$690,AC285)))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327" operator="containsText" id="{EBEF1A6B-163E-4420-B2C5-4AA732BA9E78}">
            <xm:f>NOT(ISERROR(SEARCH($AN$704,AC285)))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328" operator="containsText" id="{B23CBB8E-D7F9-4123-8ADD-A3EA7AC86FC5}">
            <xm:f>NOT(ISERROR(SEARCH($AN$693,AC285)))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329" operator="containsText" id="{06A77CE8-78D8-410A-9871-EE9BA7E1B8E9}">
            <xm:f>NOT(ISERROR(SEARCH($AN$692,AC285)))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30" operator="containsText" id="{84C7F153-30A2-458B-875B-FE82B6BAECB4}">
            <xm:f>NOT(ISERROR(SEARCH($AN$691,AC285)))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331" operator="containsText" id="{A8143F11-6087-497A-B747-1A7D6F597478}">
            <xm:f>NOT(ISERROR(SEARCH($AN$689,AC285)))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332" operator="containsText" id="{727049CF-1A32-4CF8-94EF-C232CE669A95}">
            <xm:f>NOT(ISERROR(SEARCH($AN$687,AC285)))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333" operator="containsText" id="{6D9E92F0-7115-4C1A-AC44-83C356D116E2}">
            <xm:f>NOT(ISERROR(SEARCH($AN$688,AC285)))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334" operator="containsText" id="{A8E311DC-C93C-474D-8765-5B4FC540E598}">
            <xm:f>NOT(ISERROR(SEARCH($AN$686,AC285)))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35" operator="containsText" id="{87C9054D-0042-4B40-AABC-6B217A64FF01}">
            <xm:f>NOT(ISERROR(SEARCH($AN$685,AC285)))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336" operator="containsText" id="{B86DB871-0B02-409D-8E4F-23E4F315B66F}">
            <xm:f>NOT(ISERROR(SEARCH($AN$684,AC285)))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37" operator="containsText" id="{7EAF87FD-F2E8-4DE2-875B-1CBB1B9817FF}">
            <xm:f>NOT(ISERROR(SEARCH($AN$683,AC285)))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338" operator="containsText" id="{149DF9CF-371B-450D-B002-DA623EDC0129}">
            <xm:f>NOT(ISERROR(SEARCH($AN$682,AC285)))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339" operator="containsText" id="{D5C086EE-0DCE-4904-8CF0-ABFE1788EABF}">
            <xm:f>NOT(ISERROR(SEARCH($AN$681,AC285)))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40" operator="containsText" id="{9F105C5B-F477-48F6-ACDB-6742294A0EAE}">
            <xm:f>NOT(ISERROR(SEARCH($AN$680,AC285)))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41" operator="containsText" id="{BC71E34B-E6C7-4072-9555-5E224C7B658E}">
            <xm:f>NOT(ISERROR(SEARCH($AN$678,AC285)))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42" operator="containsText" id="{EE6340FC-07E0-4305-8A4F-2DFA57AF3744}">
            <xm:f>NOT(ISERROR(SEARCH($AN$679,AC285)))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AC285</xm:sqref>
        </x14:conditionalFormatting>
        <x14:conditionalFormatting xmlns:xm="http://schemas.microsoft.com/office/excel/2006/main">
          <x14:cfRule type="containsText" priority="922" operator="containsText" id="{60E8EE81-5CAE-49FF-9052-6056511F5884}">
            <xm:f>NOT(ISERROR(SEARCH($AN$687,AC378)))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923" operator="containsText" id="{B146112B-CE55-4237-A731-386F354B7613}">
            <xm:f>NOT(ISERROR(SEARCH($AN$688,AC378)))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24" operator="containsText" id="{7019257F-1BAF-4238-A821-D46B51BC2E6D}">
            <xm:f>NOT(ISERROR(SEARCH($AN$686,AC378)))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25" operator="containsText" id="{A6FA314D-E370-4ABD-9CC8-072D4D33E817}">
            <xm:f>NOT(ISERROR(SEARCH($AN$685,AC378)))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26" operator="containsText" id="{26DDEF4D-3339-4252-AD1A-6086986D0094}">
            <xm:f>NOT(ISERROR(SEARCH($AN$684,AC378)))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27" operator="containsText" id="{CCA4ECAD-9D38-402B-85A1-AED04A54BA9E}">
            <xm:f>NOT(ISERROR(SEARCH($AN$683,AC378)))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28" operator="containsText" id="{A45F8B56-B0BB-443F-B669-8D95FB77C9DE}">
            <xm:f>NOT(ISERROR(SEARCH($AN$682,AC378)))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29" operator="containsText" id="{C8CC4D83-1BF2-44D7-B74E-BE458C78B241}">
            <xm:f>NOT(ISERROR(SEARCH($AN$681,AC378)))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30" operator="containsText" id="{E9FA7B11-6A72-41FF-845B-180607122D2D}">
            <xm:f>NOT(ISERROR(SEARCH($AN$680,AC378)))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31" operator="containsText" id="{CB0C9FE3-411C-4CEC-BADE-3623239E50B2}">
            <xm:f>NOT(ISERROR(SEARCH($AN$678,AC378)))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32" operator="containsText" id="{DD840405-8458-4AB9-9BD3-59E10FAB9934}">
            <xm:f>NOT(ISERROR(SEARCH($AN$679,AC378)))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AC378</xm:sqref>
        </x14:conditionalFormatting>
        <x14:conditionalFormatting xmlns:xm="http://schemas.microsoft.com/office/excel/2006/main">
          <x14:cfRule type="containsText" priority="972" operator="containsText" id="{5A8E7496-BA60-496F-943C-F1CFF9A85EAE}">
            <xm:f>NOT(ISERROR(SEARCH($AN$690,AC379)))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973" operator="containsText" id="{AA28E334-6903-426A-8EBA-91DA6AB2FA96}">
            <xm:f>NOT(ISERROR(SEARCH($AN$704,AC379)))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974" operator="containsText" id="{9D595586-48DF-4059-9BF3-4BD5E0B3F1A1}">
            <xm:f>NOT(ISERROR(SEARCH($AN$693,AC379)))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975" operator="containsText" id="{6A58D77F-5761-43CD-8564-C6EBE8CCADF8}">
            <xm:f>NOT(ISERROR(SEARCH($AN$692,AC379)))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76" operator="containsText" id="{55A2DECC-B51F-4809-B652-45CEE795BC0D}">
            <xm:f>NOT(ISERROR(SEARCH($AN$691,AC379)))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977" operator="containsText" id="{680FA284-5DCD-436B-AD53-E2C35688BDD1}">
            <xm:f>NOT(ISERROR(SEARCH($AN$689,AC379)))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978" operator="containsText" id="{52C1C22A-6E96-480F-BB0D-795D9A3DE8A6}">
            <xm:f>NOT(ISERROR(SEARCH($AN$687,AC379)))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979" operator="containsText" id="{4D77A2F2-526C-4C75-A9B7-E2A4ECE1A3D6}">
            <xm:f>NOT(ISERROR(SEARCH($AN$688,AC379)))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80" operator="containsText" id="{FDCE1DA3-C7CE-4C9B-87ED-95C8390E7AF2}">
            <xm:f>NOT(ISERROR(SEARCH($AN$686,AC379)))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81" operator="containsText" id="{6BBE78F6-6752-4B57-A55F-C56B5F24C31C}">
            <xm:f>NOT(ISERROR(SEARCH($AN$685,AC379)))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82" operator="containsText" id="{A5C96802-1598-498B-829C-FBE8324C575E}">
            <xm:f>NOT(ISERROR(SEARCH($AN$684,AC379)))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83" operator="containsText" id="{DEEAECCD-1896-4BCD-8724-E1B4F7DB05DF}">
            <xm:f>NOT(ISERROR(SEARCH($AN$683,AC379)))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984" operator="containsText" id="{E8525F2F-2EA2-4A7D-8659-8510C1A9CF99}">
            <xm:f>NOT(ISERROR(SEARCH($AN$682,AC379)))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985" operator="containsText" id="{154CE417-BA2A-4206-B891-D0B3F04C970F}">
            <xm:f>NOT(ISERROR(SEARCH($AN$681,AC379)))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986" operator="containsText" id="{AB68BE94-F623-429C-BCE9-7BD3A52831D4}">
            <xm:f>NOT(ISERROR(SEARCH($AN$680,AC379)))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987" operator="containsText" id="{9BDAED10-A97A-4CCE-8907-8B854432CA04}">
            <xm:f>NOT(ISERROR(SEARCH($AN$678,AC379)))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988" operator="containsText" id="{9518D486-7161-45E0-942D-E99A8831F1AE}">
            <xm:f>NOT(ISERROR(SEARCH($AN$679,AC379)))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AC379:AC380</xm:sqref>
        </x14:conditionalFormatting>
        <x14:conditionalFormatting xmlns:xm="http://schemas.microsoft.com/office/excel/2006/main">
          <x14:cfRule type="containsText" priority="1009" operator="containsText" id="{E398AEEF-9B37-4D2D-9E22-7CACB900205F}">
            <xm:f>NOT(ISERROR(SEARCH($AN$689,AC381)))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010" operator="containsText" id="{142A13CD-2673-43C5-BB2E-57123899DDF2}">
            <xm:f>NOT(ISERROR(SEARCH($AN$687,AC381)))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11" operator="containsText" id="{24010FB9-A404-4A7C-8820-E05D1A7406BB}">
            <xm:f>NOT(ISERROR(SEARCH($AN$688,AC381)))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12" operator="containsText" id="{94F632E1-7EF4-40CB-BC87-49AB4FA7D361}">
            <xm:f>NOT(ISERROR(SEARCH($AN$686,AC381)))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13" operator="containsText" id="{88C151D6-4B3C-4B27-A1A8-EB7D0140F6B6}">
            <xm:f>NOT(ISERROR(SEARCH($AN$685,AC381)))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14" operator="containsText" id="{F57822BF-02C3-4BD4-8609-45F3FF079D0D}">
            <xm:f>NOT(ISERROR(SEARCH($AN$684,AC381)))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15" operator="containsText" id="{2A41B49B-DB3F-435A-9138-6486EF127516}">
            <xm:f>NOT(ISERROR(SEARCH($AN$683,AC381)))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16" operator="containsText" id="{4C4DA460-4129-4D5B-B364-234C3521ABA2}">
            <xm:f>NOT(ISERROR(SEARCH($AN$682,AC381)))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17" operator="containsText" id="{E0DDABDF-C73D-4A90-BAFC-70635295D0CD}">
            <xm:f>NOT(ISERROR(SEARCH($AN$681,AC381)))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18" operator="containsText" id="{B378CADB-B3A1-4C3D-9D29-A964596393B3}">
            <xm:f>NOT(ISERROR(SEARCH($AN$680,AC381)))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19" operator="containsText" id="{8913299E-DCCC-4C72-BB9F-67BC75EA03C2}">
            <xm:f>NOT(ISERROR(SEARCH($AN$678,AC381)))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20" operator="containsText" id="{69285460-EB76-49CF-B7F6-20699F88AF5D}">
            <xm:f>NOT(ISERROR(SEARCH($AN$679,AC381)))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021" operator="containsText" id="{4465AAFE-6048-4535-9357-E91535AD9565}">
            <xm:f>NOT(ISERROR(SEARCH($AN$690,AC381)))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022" operator="containsText" id="{CB0A0152-3607-488E-BEB7-3B90D9525CCA}">
            <xm:f>NOT(ISERROR(SEARCH($AN$704,AC381)))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023" operator="containsText" id="{7534A29D-697F-4B3A-9D06-BAED9E87535A}">
            <xm:f>NOT(ISERROR(SEARCH($AN$693,AC381)))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024" operator="containsText" id="{62679A13-A4F2-4767-867B-8238F940AABF}">
            <xm:f>NOT(ISERROR(SEARCH($AN$692,AC381)))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25" operator="containsText" id="{0351B3EE-A955-4FF6-A618-549CCCFB6B53}">
            <xm:f>NOT(ISERROR(SEARCH($AN$691,AC381)))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026" operator="containsText" id="{2D42F37B-1BA8-4698-844D-A7F5A406BB63}">
            <xm:f>NOT(ISERROR(SEARCH($AN$689,AC381)))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027" operator="containsText" id="{968A376D-8BA7-46F9-8D5D-BA6623E74EA8}">
            <xm:f>NOT(ISERROR(SEARCH($AN$687,AC381)))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28" operator="containsText" id="{4E5B4237-0211-4725-AF11-3652274F6380}">
            <xm:f>NOT(ISERROR(SEARCH($AN$688,AC381)))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29" operator="containsText" id="{9A8BB56A-D145-4ABA-ACC0-2E336D381F58}">
            <xm:f>NOT(ISERROR(SEARCH($AN$686,AC381)))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30" operator="containsText" id="{6213E3A5-8866-4C17-BAF5-3B289DD56004}">
            <xm:f>NOT(ISERROR(SEARCH($AN$685,AC381)))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31" operator="containsText" id="{D623B144-282B-4E3E-B172-0D7595787A1C}">
            <xm:f>NOT(ISERROR(SEARCH($AN$684,AC381)))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32" operator="containsText" id="{7BC37C0A-D50D-4FEA-9CD7-540566D90B0E}">
            <xm:f>NOT(ISERROR(SEARCH($AN$683,AC381)))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33" operator="containsText" id="{688D41FE-1F59-41D8-A20A-D6D99BFE34F2}">
            <xm:f>NOT(ISERROR(SEARCH($AN$682,AC381)))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34" operator="containsText" id="{5F104994-6FAD-4BCF-80DF-866C7CF9346C}">
            <xm:f>NOT(ISERROR(SEARCH($AN$681,AC381)))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35" operator="containsText" id="{5DCE58E5-4EC1-4AD4-9AE0-CB6F0AE8251B}">
            <xm:f>NOT(ISERROR(SEARCH($AN$680,AC381)))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36" operator="containsText" id="{21F8B7FF-FE80-42F8-9697-7F5AD29EA467}">
            <xm:f>NOT(ISERROR(SEARCH($AN$678,AC381)))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37" operator="containsText" id="{1E36CFE2-2CA4-462A-BCE4-FE77113FB0B8}">
            <xm:f>NOT(ISERROR(SEARCH($AN$679,AC381)))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AC381</xm:sqref>
        </x14:conditionalFormatting>
        <x14:conditionalFormatting xmlns:xm="http://schemas.microsoft.com/office/excel/2006/main">
          <x14:cfRule type="containsText" priority="617" operator="containsText" id="{4536E1EF-F51A-40DE-8100-2B9F6AADE343}">
            <xm:f>NOT(ISERROR(SEARCH($AN$687,AC474)))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618" operator="containsText" id="{DA98EE2C-FBED-464B-9590-54F1962F8316}">
            <xm:f>NOT(ISERROR(SEARCH($AN$688,AC474)))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619" operator="containsText" id="{E9D288EF-46D6-4BFB-9EF1-B8B2089BA391}">
            <xm:f>NOT(ISERROR(SEARCH($AN$686,AC474)))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20" operator="containsText" id="{D06033A0-1059-4D9F-8BE8-B792AE02494F}">
            <xm:f>NOT(ISERROR(SEARCH($AN$685,AC474)))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621" operator="containsText" id="{E5473340-6873-4599-AD87-2354B8FFEB3C}">
            <xm:f>NOT(ISERROR(SEARCH($AN$684,AC474)))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22" operator="containsText" id="{9D87C240-95A7-4C3A-B1BE-CFF4DFB1F821}">
            <xm:f>NOT(ISERROR(SEARCH($AN$683,AC474)))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623" operator="containsText" id="{D6FBDCFD-52D8-439D-8184-74778D159C8B}">
            <xm:f>NOT(ISERROR(SEARCH($AN$682,AC474)))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624" operator="containsText" id="{AB4E1296-4AC4-4A85-8B21-7E7AD1BFBEA0}">
            <xm:f>NOT(ISERROR(SEARCH($AN$681,AC474)))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625" operator="containsText" id="{C27A7B3A-44F2-423E-AA68-68EA51410080}">
            <xm:f>NOT(ISERROR(SEARCH($AN$680,AC474)))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626" operator="containsText" id="{9C4546B6-B620-4002-A1F3-0691EC66F233}">
            <xm:f>NOT(ISERROR(SEARCH($AN$678,AC474)))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627" operator="containsText" id="{1D5F5D52-375E-4EA1-AE66-BF75E46C14E6}">
            <xm:f>NOT(ISERROR(SEARCH($AN$679,AC474)))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AC474</xm:sqref>
        </x14:conditionalFormatting>
        <x14:conditionalFormatting xmlns:xm="http://schemas.microsoft.com/office/excel/2006/main">
          <x14:cfRule type="containsText" priority="667" operator="containsText" id="{AACC4407-BE74-49E5-B429-877D52AE97A8}">
            <xm:f>NOT(ISERROR(SEARCH($AN$690,AC475)))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668" operator="containsText" id="{4E5D1698-CCFB-4EAC-9F85-ADD5718EE725}">
            <xm:f>NOT(ISERROR(SEARCH($AN$704,AC475)))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669" operator="containsText" id="{E4547BA8-ACB2-4F6E-993E-6F93D8034C60}">
            <xm:f>NOT(ISERROR(SEARCH($AN$693,AC475)))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670" operator="containsText" id="{8EB3A962-6AE6-4481-9A72-F5BE0C6F6C84}">
            <xm:f>NOT(ISERROR(SEARCH($AN$692,AC475)))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671" operator="containsText" id="{BFE7DEFB-BC26-4412-BBB4-8A97ECF387CB}">
            <xm:f>NOT(ISERROR(SEARCH($AN$691,AC475)))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672" operator="containsText" id="{73E7A257-71D6-462D-A12D-19D0876D884E}">
            <xm:f>NOT(ISERROR(SEARCH($AN$689,AC475)))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673" operator="containsText" id="{F2539AB0-A243-4393-BDAB-D26C789E26F3}">
            <xm:f>NOT(ISERROR(SEARCH($AN$687,AC475)))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674" operator="containsText" id="{F21643F3-20D8-4C2E-9CBA-0C786115B5B9}">
            <xm:f>NOT(ISERROR(SEARCH($AN$688,AC475)))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675" operator="containsText" id="{5094CE2C-5AA5-4F46-A55D-DC6C62A95BA9}">
            <xm:f>NOT(ISERROR(SEARCH($AN$686,AC475)))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76" operator="containsText" id="{C8117007-7F2A-4925-AF56-2018A4014C8D}">
            <xm:f>NOT(ISERROR(SEARCH($AN$685,AC475)))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677" operator="containsText" id="{841FE5AC-2055-45F0-A175-D6A731AD3D55}">
            <xm:f>NOT(ISERROR(SEARCH($AN$684,AC475)))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78" operator="containsText" id="{3C62F5B5-3490-4787-AC62-3CB0AFC5E2A3}">
            <xm:f>NOT(ISERROR(SEARCH($AN$683,AC475)))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679" operator="containsText" id="{E788E9BA-AE3C-4CBF-BF76-6A3CB3D032F0}">
            <xm:f>NOT(ISERROR(SEARCH($AN$682,AC475)))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680" operator="containsText" id="{21783AAE-371E-479A-80FF-A806D47C7AF3}">
            <xm:f>NOT(ISERROR(SEARCH($AN$681,AC475)))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681" operator="containsText" id="{75921986-9C3F-4D3E-8B5E-0F4BAF5FB6FB}">
            <xm:f>NOT(ISERROR(SEARCH($AN$680,AC475)))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682" operator="containsText" id="{064DDD3B-D37A-444E-A669-EA8FA50ECE65}">
            <xm:f>NOT(ISERROR(SEARCH($AN$678,AC475)))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683" operator="containsText" id="{921ECB3A-2A70-45D9-803F-96D65B815DF6}">
            <xm:f>NOT(ISERROR(SEARCH($AN$679,AC475)))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AC475:AC476</xm:sqref>
        </x14:conditionalFormatting>
        <x14:conditionalFormatting xmlns:xm="http://schemas.microsoft.com/office/excel/2006/main">
          <x14:cfRule type="containsText" priority="704" operator="containsText" id="{2BE20399-AD0C-4567-A555-867D5C5DB440}">
            <xm:f>NOT(ISERROR(SEARCH($AN$689,AC477)))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705" operator="containsText" id="{71E922D0-AE1E-462C-AD0F-F335EEFC3C94}">
            <xm:f>NOT(ISERROR(SEARCH($AN$687,AC477)))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706" operator="containsText" id="{4B13CC35-9686-43ED-B4EB-E940527C2F8A}">
            <xm:f>NOT(ISERROR(SEARCH($AN$688,AC477)))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707" operator="containsText" id="{64336BE8-6B9A-478B-8348-FA48105D2888}">
            <xm:f>NOT(ISERROR(SEARCH($AN$686,AC477)))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708" operator="containsText" id="{21FE3674-4C00-433B-99E5-FAC518E33F25}">
            <xm:f>NOT(ISERROR(SEARCH($AN$685,AC477)))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709" operator="containsText" id="{C329DBB0-B70B-46B3-A540-4DEB1E89A0C4}">
            <xm:f>NOT(ISERROR(SEARCH($AN$684,AC477)))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710" operator="containsText" id="{E2559690-4482-4E17-95CA-5F26C1CDE65F}">
            <xm:f>NOT(ISERROR(SEARCH($AN$683,AC477)))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711" operator="containsText" id="{0430DDE7-2F71-4EC5-A16F-855CB7CCADB6}">
            <xm:f>NOT(ISERROR(SEARCH($AN$682,AC477)))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712" operator="containsText" id="{5B638549-4EEF-43C4-B059-B2C499CC5379}">
            <xm:f>NOT(ISERROR(SEARCH($AN$681,AC477)))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713" operator="containsText" id="{62A07398-3D5C-4589-AB44-2DF4994CB6B5}">
            <xm:f>NOT(ISERROR(SEARCH($AN$680,AC477)))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714" operator="containsText" id="{3C487254-28DD-43A4-B3E4-37749A5642C6}">
            <xm:f>NOT(ISERROR(SEARCH($AN$678,AC477)))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715" operator="containsText" id="{5BAD6E15-9BF7-430B-95BD-71BB72BA6223}">
            <xm:f>NOT(ISERROR(SEARCH($AN$679,AC477)))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716" operator="containsText" id="{39401854-8909-48E6-A448-15512623F39F}">
            <xm:f>NOT(ISERROR(SEARCH($AN$690,AC477)))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717" operator="containsText" id="{BA59501C-F543-448E-9D14-89AD329AC291}">
            <xm:f>NOT(ISERROR(SEARCH($AN$704,AC477)))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718" operator="containsText" id="{AC13AEA7-21A2-4DD8-9904-5F97DA406841}">
            <xm:f>NOT(ISERROR(SEARCH($AN$693,AC477)))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719" operator="containsText" id="{6993AA22-2682-4242-8A3F-1B32F73A7717}">
            <xm:f>NOT(ISERROR(SEARCH($AN$692,AC477)))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720" operator="containsText" id="{F67B0746-47A7-410D-827E-C98650CDBD95}">
            <xm:f>NOT(ISERROR(SEARCH($AN$691,AC477)))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721" operator="containsText" id="{17E6ABC1-1F82-4F79-AC05-A82456AF9577}">
            <xm:f>NOT(ISERROR(SEARCH($AN$689,AC477)))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722" operator="containsText" id="{D0E1AAC0-A4BC-45B7-8A5F-045EB8663FA3}">
            <xm:f>NOT(ISERROR(SEARCH($AN$687,AC477)))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723" operator="containsText" id="{08CAF423-3207-41D3-8205-F1C1FC4C439A}">
            <xm:f>NOT(ISERROR(SEARCH($AN$688,AC477)))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724" operator="containsText" id="{D3090A1E-27D9-4393-911E-BC91101179BC}">
            <xm:f>NOT(ISERROR(SEARCH($AN$686,AC477)))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725" operator="containsText" id="{2082EF07-2FFB-453D-B7AB-9BECC053872B}">
            <xm:f>NOT(ISERROR(SEARCH($AN$685,AC477)))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726" operator="containsText" id="{B9B9F678-EF70-4F85-B905-02A31FB142B9}">
            <xm:f>NOT(ISERROR(SEARCH($AN$684,AC477)))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727" operator="containsText" id="{AED45EF3-E6BF-4651-A30C-DD6E0B1A14A5}">
            <xm:f>NOT(ISERROR(SEARCH($AN$683,AC477)))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728" operator="containsText" id="{AA3F07DF-A78C-4D29-91AA-9122AD51EBAD}">
            <xm:f>NOT(ISERROR(SEARCH($AN$682,AC477)))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729" operator="containsText" id="{FB1CE77D-33F9-483C-A20C-E57228BD8E9D}">
            <xm:f>NOT(ISERROR(SEARCH($AN$681,AC477)))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730" operator="containsText" id="{891C1D3C-A4D5-423D-9E23-625F081BE842}">
            <xm:f>NOT(ISERROR(SEARCH($AN$680,AC477)))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731" operator="containsText" id="{83A09957-3E39-4B2F-BA7D-B1048218B141}">
            <xm:f>NOT(ISERROR(SEARCH($AN$678,AC477)))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732" operator="containsText" id="{71427070-B618-46EB-A45A-04E6345A3B83}">
            <xm:f>NOT(ISERROR(SEARCH($AN$679,AC477)))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AC477</xm:sqref>
        </x14:conditionalFormatting>
        <x14:conditionalFormatting xmlns:xm="http://schemas.microsoft.com/office/excel/2006/main">
          <x14:cfRule type="containsText" priority="312" operator="containsText" id="{6A0795C4-DEDC-4556-B655-81BE9348B29D}">
            <xm:f>NOT(ISERROR(SEARCH($AN$687,AC570)))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13" operator="containsText" id="{B7029234-BC32-4958-B82C-CEA2498CDD5E}">
            <xm:f>NOT(ISERROR(SEARCH($AN$688,AC570)))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14" operator="containsText" id="{AEF2733C-3751-4301-ADC5-34D6DA74929F}">
            <xm:f>NOT(ISERROR(SEARCH($AN$686,AC570)))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15" operator="containsText" id="{18C2A903-C555-445F-B312-8DAF7B915B20}">
            <xm:f>NOT(ISERROR(SEARCH($AN$685,AC570)))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16" operator="containsText" id="{C33ED0D4-DE06-4F0A-B5C5-6AFBC2656F56}">
            <xm:f>NOT(ISERROR(SEARCH($AN$684,AC570)))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17" operator="containsText" id="{B135D358-C764-4E83-9F30-31F50E88AAF9}">
            <xm:f>NOT(ISERROR(SEARCH($AN$683,AC570)))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18" operator="containsText" id="{5CA284FF-AD3A-4621-889A-CB6785DCE3F7}">
            <xm:f>NOT(ISERROR(SEARCH($AN$682,AC570)))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19" operator="containsText" id="{238E877D-F795-4209-84E6-3CBABD5D745E}">
            <xm:f>NOT(ISERROR(SEARCH($AN$681,AC570)))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20" operator="containsText" id="{D8B75AC5-3556-4570-AEC1-D69079FB8F56}">
            <xm:f>NOT(ISERROR(SEARCH($AN$680,AC570)))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21" operator="containsText" id="{FD93688D-07AE-4CA0-9FEC-95EFC2982979}">
            <xm:f>NOT(ISERROR(SEARCH($AN$678,AC570)))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22" operator="containsText" id="{4FF1F293-56C4-4717-8F6D-B863870471B4}">
            <xm:f>NOT(ISERROR(SEARCH($AN$679,AC570)))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AC570</xm:sqref>
        </x14:conditionalFormatting>
        <x14:conditionalFormatting xmlns:xm="http://schemas.microsoft.com/office/excel/2006/main">
          <x14:cfRule type="containsText" priority="362" operator="containsText" id="{E98DCF4A-2860-4089-87C8-3AEE38E96D02}">
            <xm:f>NOT(ISERROR(SEARCH($AN$690,AC571)))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63" operator="containsText" id="{6C53C2AB-C5FD-4EF4-8AEE-FFFAE8E7BBB4}">
            <xm:f>NOT(ISERROR(SEARCH($AN$704,AC571)))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64" operator="containsText" id="{E08917AF-0861-4BB6-B1D7-845EBEB766EC}">
            <xm:f>NOT(ISERROR(SEARCH($AN$693,AC571)))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65" operator="containsText" id="{E06A0B26-7B71-47F4-AF70-F0152C2E82AB}">
            <xm:f>NOT(ISERROR(SEARCH($AN$692,AC571)))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66" operator="containsText" id="{25B51E1C-F92B-477D-BB9C-BC1A2E573C99}">
            <xm:f>NOT(ISERROR(SEARCH($AN$691,AC571)))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67" operator="containsText" id="{F02B5C6E-1893-4CCC-A6E6-A42A7E2FA9F3}">
            <xm:f>NOT(ISERROR(SEARCH($AN$689,AC571)))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68" operator="containsText" id="{FA7ECFB7-82BD-4EA1-A91B-9A4F76658B12}">
            <xm:f>NOT(ISERROR(SEARCH($AN$687,AC571)))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69" operator="containsText" id="{FBBC2CAD-1BE5-467B-95D0-12572A93C802}">
            <xm:f>NOT(ISERROR(SEARCH($AN$688,AC571)))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70" operator="containsText" id="{67326037-10A1-434D-85F0-C70D16F7A8E6}">
            <xm:f>NOT(ISERROR(SEARCH($AN$686,AC571)))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71" operator="containsText" id="{42E0A9A2-9978-4F00-A7F0-3857462E71E3}">
            <xm:f>NOT(ISERROR(SEARCH($AN$685,AC571)))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72" operator="containsText" id="{BE8DBD29-19B2-4CCC-814F-BF405F2A8846}">
            <xm:f>NOT(ISERROR(SEARCH($AN$684,AC571)))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73" operator="containsText" id="{744AF83D-6A06-4B0D-8BE8-6C772D3FA6F9}">
            <xm:f>NOT(ISERROR(SEARCH($AN$683,AC571)))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74" operator="containsText" id="{DB4B2FA4-713A-4093-9D4F-BC3779DD7368}">
            <xm:f>NOT(ISERROR(SEARCH($AN$682,AC571)))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75" operator="containsText" id="{F15FE811-0189-4A0F-B0FD-23C985D57C6D}">
            <xm:f>NOT(ISERROR(SEARCH($AN$681,AC571)))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76" operator="containsText" id="{A4BECF39-0107-4ED3-83EB-FCBC8911C1C1}">
            <xm:f>NOT(ISERROR(SEARCH($AN$680,AC571)))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77" operator="containsText" id="{8AC03D1F-E97A-47AB-9B05-C253CFF833A6}">
            <xm:f>NOT(ISERROR(SEARCH($AN$678,AC571)))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78" operator="containsText" id="{643637F7-A915-494E-A1E9-B040BD53C3E9}">
            <xm:f>NOT(ISERROR(SEARCH($AN$679,AC571)))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AC571:AC572</xm:sqref>
        </x14:conditionalFormatting>
        <x14:conditionalFormatting xmlns:xm="http://schemas.microsoft.com/office/excel/2006/main">
          <x14:cfRule type="containsText" priority="399" operator="containsText" id="{DB235BA0-8FFC-4007-B34C-CDD4CAA7018C}">
            <xm:f>NOT(ISERROR(SEARCH($AN$689,AC573)))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00" operator="containsText" id="{ED75F802-3E43-4C81-891D-FC5FD607163C}">
            <xm:f>NOT(ISERROR(SEARCH($AN$687,AC573)))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01" operator="containsText" id="{26850753-F282-4562-9829-5786AFE0EA37}">
            <xm:f>NOT(ISERROR(SEARCH($AN$688,AC573)))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02" operator="containsText" id="{D10D5CCB-0EB9-40CF-862E-452656381FF6}">
            <xm:f>NOT(ISERROR(SEARCH($AN$686,AC573)))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03" operator="containsText" id="{4F62467C-1453-4147-BBD9-EB91B3B1F7A2}">
            <xm:f>NOT(ISERROR(SEARCH($AN$685,AC573)))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04" operator="containsText" id="{DB8F498E-375A-468A-9D24-3BC2E7CAB2B2}">
            <xm:f>NOT(ISERROR(SEARCH($AN$684,AC573)))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05" operator="containsText" id="{2085B7CB-2FF1-4834-82E3-B9CD73D92898}">
            <xm:f>NOT(ISERROR(SEARCH($AN$683,AC573)))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06" operator="containsText" id="{E453CA8A-837E-4E0F-9483-9574E33B64AC}">
            <xm:f>NOT(ISERROR(SEARCH($AN$682,AC573)))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07" operator="containsText" id="{3D46B946-9DA9-4649-B279-06269FB43FA5}">
            <xm:f>NOT(ISERROR(SEARCH($AN$681,AC573)))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08" operator="containsText" id="{0988DE33-842D-4E45-A80D-DC0E179780B9}">
            <xm:f>NOT(ISERROR(SEARCH($AN$680,AC573)))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09" operator="containsText" id="{A86B78FA-1022-4FED-935E-D5CF2ACA9B45}">
            <xm:f>NOT(ISERROR(SEARCH($AN$678,AC573)))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10" operator="containsText" id="{0F532040-F52B-45B8-AB09-E7A96988C74E}">
            <xm:f>NOT(ISERROR(SEARCH($AN$679,AC573)))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11" operator="containsText" id="{D180384E-18D2-42C0-ADDA-203C4775B2A1}">
            <xm:f>NOT(ISERROR(SEARCH($AN$690,AC573)))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12" operator="containsText" id="{6885FAC8-2A28-46CE-8A6B-EFC5918C57F6}">
            <xm:f>NOT(ISERROR(SEARCH($AN$704,AC573)))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13" operator="containsText" id="{877F48FF-06BE-46DC-81E4-FEBF17AF0926}">
            <xm:f>NOT(ISERROR(SEARCH($AN$693,AC573)))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14" operator="containsText" id="{5E69C999-DA9E-4033-BC77-B91C2AB7BFBE}">
            <xm:f>NOT(ISERROR(SEARCH($AN$692,AC573)))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15" operator="containsText" id="{56AE93B9-25E3-4083-9D5D-C0CFEE803E72}">
            <xm:f>NOT(ISERROR(SEARCH($AN$691,AC573)))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16" operator="containsText" id="{D8843952-9058-480C-9109-2B739B5B0294}">
            <xm:f>NOT(ISERROR(SEARCH($AN$689,AC573)))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17" operator="containsText" id="{4680511D-435D-462D-A6F3-B33DD88135E3}">
            <xm:f>NOT(ISERROR(SEARCH($AN$687,AC573)))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18" operator="containsText" id="{5EFB199E-AA2A-4C4D-BB4C-95070459450A}">
            <xm:f>NOT(ISERROR(SEARCH($AN$688,AC573)))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19" operator="containsText" id="{5A2BE6CC-3290-450A-B357-45A98A0A29A0}">
            <xm:f>NOT(ISERROR(SEARCH($AN$686,AC573)))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20" operator="containsText" id="{70371712-5142-458B-A992-E20B36A7AE9B}">
            <xm:f>NOT(ISERROR(SEARCH($AN$685,AC573)))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21" operator="containsText" id="{96B675F2-27D7-4A6C-91CD-A0D880C6A563}">
            <xm:f>NOT(ISERROR(SEARCH($AN$684,AC573)))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22" operator="containsText" id="{E6126710-99DD-48C0-A7CA-63157F30F13E}">
            <xm:f>NOT(ISERROR(SEARCH($AN$683,AC573)))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23" operator="containsText" id="{3602659C-6317-4BA4-9CE8-83326692130A}">
            <xm:f>NOT(ISERROR(SEARCH($AN$682,AC573)))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24" operator="containsText" id="{5A2FAC0B-FED6-4230-9A7B-FC7DCA41E0D4}">
            <xm:f>NOT(ISERROR(SEARCH($AN$681,AC573)))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25" operator="containsText" id="{69DD3B1D-B507-4B2E-A9EC-4304E5F5BED1}">
            <xm:f>NOT(ISERROR(SEARCH($AN$680,AC573)))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26" operator="containsText" id="{278679C4-7A4F-4611-AD6F-F70768D00AAC}">
            <xm:f>NOT(ISERROR(SEARCH($AN$678,AC573)))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27" operator="containsText" id="{DBF024B3-0863-43C3-B071-33BA65D107FC}">
            <xm:f>NOT(ISERROR(SEARCH($AN$679,AC573)))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AC573</xm:sqref>
        </x14:conditionalFormatting>
        <x14:conditionalFormatting xmlns:xm="http://schemas.microsoft.com/office/excel/2006/main">
          <x14:cfRule type="containsText" priority="7" operator="containsText" id="{2B79BFE1-D931-4D2B-BA95-1E96A10353DF}">
            <xm:f>NOT(ISERROR(SEARCH($AN$687,AC666)))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8" operator="containsText" id="{E50D2EFE-446B-4284-9E64-014A250E978A}">
            <xm:f>NOT(ISERROR(SEARCH($AN$688,AC666)))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" operator="containsText" id="{806B10A2-F74D-4E05-87E3-D0517CC50FC2}">
            <xm:f>NOT(ISERROR(SEARCH($AN$686,AC666)))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" operator="containsText" id="{862DFB45-B543-4C2B-BE2B-6B50AEDE5CEC}">
            <xm:f>NOT(ISERROR(SEARCH($AN$685,AC666)))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" operator="containsText" id="{00E5F794-F7D1-421F-BAAD-41DB05DB7766}">
            <xm:f>NOT(ISERROR(SEARCH($AN$684,AC666)))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" operator="containsText" id="{80EF0BBE-16BE-4939-A266-37796D87F910}">
            <xm:f>NOT(ISERROR(SEARCH($AN$683,AC666)))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3" operator="containsText" id="{D8B5A063-6155-4D8A-A3E2-2C5D5D4C6BAF}">
            <xm:f>NOT(ISERROR(SEARCH($AN$682,AC666)))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4" operator="containsText" id="{45F77EC8-FA5F-4E4E-9B1E-DCFB41320AA3}">
            <xm:f>NOT(ISERROR(SEARCH($AN$681,AC666)))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5" operator="containsText" id="{DFCA8066-B40A-499F-BAC7-2AA9AE42A362}">
            <xm:f>NOT(ISERROR(SEARCH($AN$680,AC666)))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6" operator="containsText" id="{F027DF8B-85DC-40EB-B4F5-7C61F59DB578}">
            <xm:f>NOT(ISERROR(SEARCH($AN$678,AC666)))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7" operator="containsText" id="{703D3958-A944-471A-90A5-491541CC3D21}">
            <xm:f>NOT(ISERROR(SEARCH($AN$679,AC666)))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AC666</xm:sqref>
        </x14:conditionalFormatting>
        <x14:conditionalFormatting xmlns:xm="http://schemas.microsoft.com/office/excel/2006/main">
          <x14:cfRule type="containsText" priority="57" operator="containsText" id="{C0F255AC-9992-4092-A7C8-3744935514F4}">
            <xm:f>NOT(ISERROR(SEARCH($AN$690,AC667)))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8" operator="containsText" id="{C475493B-B984-4802-9575-348BF4FF0B4A}">
            <xm:f>NOT(ISERROR(SEARCH($AN$704,AC667)))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9" operator="containsText" id="{0CCA3E88-7B0A-4661-8E28-D11206D43B75}">
            <xm:f>NOT(ISERROR(SEARCH($AN$693,AC667)))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60" operator="containsText" id="{B1E4C654-4F51-408C-AFAC-B1584EAA5C45}">
            <xm:f>NOT(ISERROR(SEARCH($AN$692,AC667)))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61" operator="containsText" id="{90C54CB6-1A5C-4002-B573-D5F3BAB6A194}">
            <xm:f>NOT(ISERROR(SEARCH($AN$691,AC667)))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62" operator="containsText" id="{FE643D10-D2D2-4527-A901-7E7B01E47F3B}">
            <xm:f>NOT(ISERROR(SEARCH($AN$689,AC667)))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63" operator="containsText" id="{05F47BCF-1409-4C38-BB0D-9494F4FF3C99}">
            <xm:f>NOT(ISERROR(SEARCH($AN$687,AC667)))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64" operator="containsText" id="{14AD8367-279F-43A2-91A7-294C32FCCEB1}">
            <xm:f>NOT(ISERROR(SEARCH($AN$688,AC667)))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65" operator="containsText" id="{CD7921F6-2B88-4AFB-B9BB-EAC87526F77C}">
            <xm:f>NOT(ISERROR(SEARCH($AN$686,AC667)))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6" operator="containsText" id="{E24DDB4F-D998-44F7-AFA5-E8CA90273EBA}">
            <xm:f>NOT(ISERROR(SEARCH($AN$685,AC667)))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67" operator="containsText" id="{2B362425-6275-418B-A2A6-7314639F6EF2}">
            <xm:f>NOT(ISERROR(SEARCH($AN$684,AC667)))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68" operator="containsText" id="{FFFF91BD-8AFF-4EEC-9A0B-FEE880C74871}">
            <xm:f>NOT(ISERROR(SEARCH($AN$683,AC667)))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69" operator="containsText" id="{47123A72-E36B-4C53-B16E-70EABD70A66A}">
            <xm:f>NOT(ISERROR(SEARCH($AN$682,AC667)))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70" operator="containsText" id="{32130C14-7B2F-49F5-B165-AC8E1E8BE0F2}">
            <xm:f>NOT(ISERROR(SEARCH($AN$681,AC667)))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71" operator="containsText" id="{644644EE-1017-42A5-8393-2485F3C79D4D}">
            <xm:f>NOT(ISERROR(SEARCH($AN$680,AC667)))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72" operator="containsText" id="{2EC36B26-2644-4279-83D8-46787C4C903C}">
            <xm:f>NOT(ISERROR(SEARCH($AN$678,AC667)))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73" operator="containsText" id="{053B3C5E-45F4-4DC8-96E2-152AA87AB6E8}">
            <xm:f>NOT(ISERROR(SEARCH($AN$679,AC667)))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AC667:AC668</xm:sqref>
        </x14:conditionalFormatting>
        <x14:conditionalFormatting xmlns:xm="http://schemas.microsoft.com/office/excel/2006/main">
          <x14:cfRule type="containsText" priority="94" operator="containsText" id="{FC1263EE-F247-4E09-BA2D-80C409B4FF58}">
            <xm:f>NOT(ISERROR(SEARCH($AN$689,AC669)))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95" operator="containsText" id="{893BD100-34BE-4C4E-BE11-A4AFA42F0C17}">
            <xm:f>NOT(ISERROR(SEARCH($AN$687,AC669)))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96" operator="containsText" id="{DB7397C1-CB82-478C-8165-F4A8ADD9D2C8}">
            <xm:f>NOT(ISERROR(SEARCH($AN$688,AC669)))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97" operator="containsText" id="{CF103F1E-52FE-4897-9A44-7F29CEC0A0F4}">
            <xm:f>NOT(ISERROR(SEARCH($AN$686,AC669)))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98" operator="containsText" id="{71DEC2E7-F420-4A58-9AC4-2C5DD9D3865E}">
            <xm:f>NOT(ISERROR(SEARCH($AN$685,AC669)))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99" operator="containsText" id="{28745723-029E-4BCF-BC50-635708A183EE}">
            <xm:f>NOT(ISERROR(SEARCH($AN$684,AC669)))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0" operator="containsText" id="{8570B838-0478-4D80-963A-6982D0816F33}">
            <xm:f>NOT(ISERROR(SEARCH($AN$683,AC669)))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1" operator="containsText" id="{19220F64-2F71-42D3-9B02-E75AE4A5F2DF}">
            <xm:f>NOT(ISERROR(SEARCH($AN$682,AC669)))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2" operator="containsText" id="{4021DEDC-E57F-4463-A5E8-AD807085A4A0}">
            <xm:f>NOT(ISERROR(SEARCH($AN$681,AC669)))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3" operator="containsText" id="{F579247F-E9C7-4FE8-852C-122957CB7D07}">
            <xm:f>NOT(ISERROR(SEARCH($AN$680,AC669)))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4" operator="containsText" id="{C0E49829-5D55-4AE4-9BCB-988C3852EFA7}">
            <xm:f>NOT(ISERROR(SEARCH($AN$678,AC669)))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5" operator="containsText" id="{E8CA83EF-149A-4093-85B8-CA1DD929BDED}">
            <xm:f>NOT(ISERROR(SEARCH($AN$679,AC669)))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06" operator="containsText" id="{DED3130D-840D-4305-B974-A32AE604A690}">
            <xm:f>NOT(ISERROR(SEARCH($AN$690,AC669)))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07" operator="containsText" id="{86E69F23-6D58-4735-9405-3E101A923A72}">
            <xm:f>NOT(ISERROR(SEARCH($AN$704,AC669)))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08" operator="containsText" id="{0EB536C8-1678-4BB8-A25F-692A3E6C1BEC}">
            <xm:f>NOT(ISERROR(SEARCH($AN$693,AC669)))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09" operator="containsText" id="{B0447F85-BAD8-4132-82AD-689B8A22DD56}">
            <xm:f>NOT(ISERROR(SEARCH($AN$692,AC669)))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0" operator="containsText" id="{AEBA9A7E-7E73-47E9-8A61-16EFE50C9D28}">
            <xm:f>NOT(ISERROR(SEARCH($AN$691,AC669)))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11" operator="containsText" id="{946A6F5E-1C70-40F3-B759-06C8BE147786}">
            <xm:f>NOT(ISERROR(SEARCH($AN$689,AC669)))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12" operator="containsText" id="{1BDF9371-9802-4558-8941-6AAB2FDF335F}">
            <xm:f>NOT(ISERROR(SEARCH($AN$687,AC669)))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13" operator="containsText" id="{6BE569A7-7757-489F-B9C3-52C8B8E6C856}">
            <xm:f>NOT(ISERROR(SEARCH($AN$688,AC669)))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4" operator="containsText" id="{8E03E028-594F-455E-BE68-37692452BDEA}">
            <xm:f>NOT(ISERROR(SEARCH($AN$686,AC669)))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5" operator="containsText" id="{BB19798A-E4D2-4454-A999-9FD02F604B22}">
            <xm:f>NOT(ISERROR(SEARCH($AN$685,AC669)))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6" operator="containsText" id="{FB0B8DEC-DAEB-4CDB-B8C8-573593DD184C}">
            <xm:f>NOT(ISERROR(SEARCH($AN$684,AC669)))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7" operator="containsText" id="{6F1E3FAE-0793-43EF-9C87-0EB376783A74}">
            <xm:f>NOT(ISERROR(SEARCH($AN$683,AC669)))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8" operator="containsText" id="{E9B68826-0C92-410E-8F0F-E1C5A7484249}">
            <xm:f>NOT(ISERROR(SEARCH($AN$682,AC669)))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9" operator="containsText" id="{AED2EBBA-6A41-4CB3-B652-FA413A89DF46}">
            <xm:f>NOT(ISERROR(SEARCH($AN$681,AC669)))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0" operator="containsText" id="{60C26959-66EB-4786-9E16-41797C21108F}">
            <xm:f>NOT(ISERROR(SEARCH($AN$680,AC669)))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1" operator="containsText" id="{79E64E06-297D-4BDB-AB1B-461CA1CB7918}">
            <xm:f>NOT(ISERROR(SEARCH($AN$678,AC669)))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2" operator="containsText" id="{DBBA31D5-84E9-4D6C-A43F-76A800B7E42F}">
            <xm:f>NOT(ISERROR(SEARCH($AN$679,AC669)))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AC669</xm:sqref>
        </x14:conditionalFormatting>
        <x14:conditionalFormatting xmlns:xm="http://schemas.microsoft.com/office/excel/2006/main">
          <x14:cfRule type="containsText" priority="2142" operator="containsText" id="{97F4C262-62BD-45B2-B0BB-3E3B4F4C964B}">
            <xm:f>NOT(ISERROR(SEARCH($AN$687,AC762)))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43" operator="containsText" id="{231D2199-E6ED-4CFE-8667-A950A2BD4CD9}">
            <xm:f>NOT(ISERROR(SEARCH($AN$688,AC762)))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44" operator="containsText" id="{FDC8290C-2BDB-45CE-8579-12DCDAC595AD}">
            <xm:f>NOT(ISERROR(SEARCH($AN$686,AC762)))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45" operator="containsText" id="{A1A01A12-5C47-4B20-8D01-3A4820C7D61A}">
            <xm:f>NOT(ISERROR(SEARCH($AN$685,AC762)))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46" operator="containsText" id="{B4E75F54-D09B-4666-97C9-2A266749FE13}">
            <xm:f>NOT(ISERROR(SEARCH($AN$684,AC762)))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47" operator="containsText" id="{B15286E7-098E-4AD4-A545-E68CF683637B}">
            <xm:f>NOT(ISERROR(SEARCH($AN$683,AC762)))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48" operator="containsText" id="{999167D3-A5B1-49B3-AB41-1C559D1959BD}">
            <xm:f>NOT(ISERROR(SEARCH($AN$682,AC762)))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149" operator="containsText" id="{97CC2D52-8C22-4733-A706-A6794613374B}">
            <xm:f>NOT(ISERROR(SEARCH($AN$681,AC762)))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50" operator="containsText" id="{24F5719A-65EF-405F-BC75-EC1382BEB8BC}">
            <xm:f>NOT(ISERROR(SEARCH($AN$680,AC762)))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51" operator="containsText" id="{C07C53D9-8981-41B0-B766-FC836A6FF04A}">
            <xm:f>NOT(ISERROR(SEARCH($AN$678,AC762)))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52" operator="containsText" id="{DCAF1FE3-BAB7-4BC1-8F65-C27E98A17AF3}">
            <xm:f>NOT(ISERROR(SEARCH($AN$679,AC762)))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AC762</xm:sqref>
        </x14:conditionalFormatting>
        <x14:conditionalFormatting xmlns:xm="http://schemas.microsoft.com/office/excel/2006/main">
          <x14:cfRule type="containsText" priority="2192" operator="containsText" id="{FE83CBAC-763B-4B5F-BB95-202C18DDFC3F}">
            <xm:f>NOT(ISERROR(SEARCH($AN$690,AC763)))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193" operator="containsText" id="{BFD3385E-9FC2-40B0-A52A-2717CFB13ADC}">
            <xm:f>NOT(ISERROR(SEARCH($AN$704,AC763)))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194" operator="containsText" id="{618BB158-5B6A-4477-B240-7D34444B6EB3}">
            <xm:f>NOT(ISERROR(SEARCH($AN$693,AC763)))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195" operator="containsText" id="{D0D6E6F3-16EE-452B-9E39-7956552AE687}">
            <xm:f>NOT(ISERROR(SEARCH($AN$692,AC763)))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96" operator="containsText" id="{9492843B-851B-4913-B846-B5F55B7FC04B}">
            <xm:f>NOT(ISERROR(SEARCH($AN$691,AC763)))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197" operator="containsText" id="{7D4536B8-8F69-4804-A566-D6BC4FBCADB5}">
            <xm:f>NOT(ISERROR(SEARCH($AN$689,AC763)))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198" operator="containsText" id="{6F47FD6B-4422-420A-B5CD-3B9454F326EC}">
            <xm:f>NOT(ISERROR(SEARCH($AN$687,AC763)))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99" operator="containsText" id="{B559629D-3CBD-4851-9CBF-77487383CCCA}">
            <xm:f>NOT(ISERROR(SEARCH($AN$688,AC763)))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00" operator="containsText" id="{45786FC7-5FE6-40E8-B8C4-64EF9D697704}">
            <xm:f>NOT(ISERROR(SEARCH($AN$686,AC763)))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01" operator="containsText" id="{66C69F72-10AC-4756-A7ED-061D5F5800D2}">
            <xm:f>NOT(ISERROR(SEARCH($AN$685,AC763)))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02" operator="containsText" id="{702B24C9-8935-42A6-B0A2-3F9B466B6589}">
            <xm:f>NOT(ISERROR(SEARCH($AN$684,AC763)))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03" operator="containsText" id="{E3E50500-665E-4646-B1E2-F746FF697174}">
            <xm:f>NOT(ISERROR(SEARCH($AN$683,AC763)))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04" operator="containsText" id="{DA8D1417-ECBD-42C2-860A-A0758112990A}">
            <xm:f>NOT(ISERROR(SEARCH($AN$682,AC763)))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05" operator="containsText" id="{1D899A4A-76DE-4E8F-BB28-C2A480ACAE21}">
            <xm:f>NOT(ISERROR(SEARCH($AN$681,AC763)))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06" operator="containsText" id="{3EBC4388-84B3-460C-976E-1C3C9DE6AAA0}">
            <xm:f>NOT(ISERROR(SEARCH($AN$680,AC763)))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07" operator="containsText" id="{315C1D5C-452B-4B6A-9C2C-BF9B12B1D4B6}">
            <xm:f>NOT(ISERROR(SEARCH($AN$678,AC763)))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08" operator="containsText" id="{5071D70B-BC5D-4E12-9D8A-F32652029BE3}">
            <xm:f>NOT(ISERROR(SEARCH($AN$679,AC763)))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AC763:AC764</xm:sqref>
        </x14:conditionalFormatting>
        <x14:conditionalFormatting xmlns:xm="http://schemas.microsoft.com/office/excel/2006/main">
          <x14:cfRule type="containsText" priority="2229" operator="containsText" id="{F2E63936-2B61-4B8A-827D-20283B4EABC7}">
            <xm:f>NOT(ISERROR(SEARCH($AN$689,AC765)))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30" operator="containsText" id="{B450D2EC-D1DF-4434-879D-073DEBB3F69D}">
            <xm:f>NOT(ISERROR(SEARCH($AN$687,AC765)))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31" operator="containsText" id="{9D5F5AD2-4771-4A31-AE45-0022AF6C8C27}">
            <xm:f>NOT(ISERROR(SEARCH($AN$688,AC765)))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32" operator="containsText" id="{71965886-F6D7-4919-94FA-F64E88D45FD1}">
            <xm:f>NOT(ISERROR(SEARCH($AN$686,AC765)))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33" operator="containsText" id="{7FB166F1-2CB6-4A52-90E9-0EBF33C2B03C}">
            <xm:f>NOT(ISERROR(SEARCH($AN$685,AC765)))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34" operator="containsText" id="{F5D16708-058A-4FED-955B-F75FB144B371}">
            <xm:f>NOT(ISERROR(SEARCH($AN$684,AC765)))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35" operator="containsText" id="{46001EE5-698F-4070-8A9D-BEDC711C6442}">
            <xm:f>NOT(ISERROR(SEARCH($AN$683,AC765)))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36" operator="containsText" id="{D9483C24-8D11-482E-B7EF-852388E45CAC}">
            <xm:f>NOT(ISERROR(SEARCH($AN$682,AC765)))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37" operator="containsText" id="{6F2F71F1-3C7F-4932-853B-9D063D383C61}">
            <xm:f>NOT(ISERROR(SEARCH($AN$681,AC765)))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38" operator="containsText" id="{20DB9F73-B462-4963-97F5-BFD3340CC130}">
            <xm:f>NOT(ISERROR(SEARCH($AN$680,AC765)))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39" operator="containsText" id="{A2A449EF-C7B0-4BB1-A31C-5E87AC6090DD}">
            <xm:f>NOT(ISERROR(SEARCH($AN$678,AC765)))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40" operator="containsText" id="{D2325AC0-8B40-4620-A45A-D9396AAE7673}">
            <xm:f>NOT(ISERROR(SEARCH($AN$679,AC765)))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241" operator="containsText" id="{B01138AA-D6EF-4F40-98ED-40845A453C1C}">
            <xm:f>NOT(ISERROR(SEARCH($AN$690,AC765)))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42" operator="containsText" id="{CF3FE122-34B6-444F-ABD9-E4890C9F8B6A}">
            <xm:f>NOT(ISERROR(SEARCH($AN$704,AC765)))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43" operator="containsText" id="{9C61D3DA-7550-45F7-B7B1-61DAE2166954}">
            <xm:f>NOT(ISERROR(SEARCH($AN$693,AC765)))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44" operator="containsText" id="{9C36B328-2B9D-4F0F-B4AB-BD1170B52A41}">
            <xm:f>NOT(ISERROR(SEARCH($AN$692,AC765)))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45" operator="containsText" id="{645366D0-A0EA-46F6-BC9C-FB69ABFFE183}">
            <xm:f>NOT(ISERROR(SEARCH($AN$691,AC765)))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46" operator="containsText" id="{7FDD045F-700A-49EF-BAC8-C55EB0BD115F}">
            <xm:f>NOT(ISERROR(SEARCH($AN$689,AC765)))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47" operator="containsText" id="{A96BAD13-6D60-412E-9240-50CC91DE7BA8}">
            <xm:f>NOT(ISERROR(SEARCH($AN$687,AC765)))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48" operator="containsText" id="{051BA544-3B41-4208-BA8C-143C25572423}">
            <xm:f>NOT(ISERROR(SEARCH($AN$688,AC765)))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49" operator="containsText" id="{1B5082CA-9EF8-4E37-A45A-A0F3C28F19A6}">
            <xm:f>NOT(ISERROR(SEARCH($AN$686,AC765)))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50" operator="containsText" id="{AB69AEF8-FF2B-4811-AF7F-D0EC79038777}">
            <xm:f>NOT(ISERROR(SEARCH($AN$685,AC765)))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51" operator="containsText" id="{D119A7F8-0AA8-4FAF-87CE-E0968AD71C8C}">
            <xm:f>NOT(ISERROR(SEARCH($AN$684,AC765)))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52" operator="containsText" id="{E94D5B75-E717-4450-B2F6-5B9FAD4B30A2}">
            <xm:f>NOT(ISERROR(SEARCH($AN$683,AC765)))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53" operator="containsText" id="{24EDD848-8B37-4BE3-B58D-BA788B76FA33}">
            <xm:f>NOT(ISERROR(SEARCH($AN$682,AC765)))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54" operator="containsText" id="{90EB5C9B-40BD-4A10-9BB2-89AF51171F81}">
            <xm:f>NOT(ISERROR(SEARCH($AN$681,AC765)))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55" operator="containsText" id="{A23105EF-E465-4020-8F7F-D86ADD8D4A82}">
            <xm:f>NOT(ISERROR(SEARCH($AN$680,AC765)))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56" operator="containsText" id="{658D17DB-3EA0-4FD6-BA8E-300783029457}">
            <xm:f>NOT(ISERROR(SEARCH($AN$678,AC765)))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57" operator="containsText" id="{0D1BA8FA-9D64-40A8-9E03-85B86BEF966E}">
            <xm:f>NOT(ISERROR(SEARCH($AN$679,AC765)))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AC765</xm:sqref>
        </x14:conditionalFormatting>
        <x14:conditionalFormatting xmlns:xm="http://schemas.microsoft.com/office/excel/2006/main">
          <x14:cfRule type="containsText" priority="19490" operator="containsText" id="{1A64D6E4-642F-4202-B766-2DCFE78A8549}">
            <xm:f>NOT(ISERROR(SEARCH($AN$690,AD71)))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9491" operator="containsText" id="{03849862-B9C2-4E53-B1B3-196EAC8B8BB4}">
            <xm:f>NOT(ISERROR(SEARCH($AN$704,AD71)))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9492" operator="containsText" id="{8C567C59-E9B5-42A0-A346-86FD0F970DF3}">
            <xm:f>NOT(ISERROR(SEARCH($AN$693,AD71)))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9493" operator="containsText" id="{BD3A1601-B363-4D5B-9BE6-2B10888B317D}">
            <xm:f>NOT(ISERROR(SEARCH($AN$692,AD71)))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AD71:AF75</xm:sqref>
        </x14:conditionalFormatting>
        <x14:conditionalFormatting xmlns:xm="http://schemas.microsoft.com/office/excel/2006/main">
          <x14:cfRule type="containsText" priority="5154" operator="containsText" id="{E553219F-B82F-4E04-A32A-C21EAD437992}">
            <xm:f>NOT(ISERROR(SEARCH($AN$690,AD168)))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155" operator="containsText" id="{E545DECE-39D1-4932-B1AB-A07232BADC08}">
            <xm:f>NOT(ISERROR(SEARCH($AN$704,AD168)))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156" operator="containsText" id="{DD5113F9-0161-428C-B2F0-55F576C69799}">
            <xm:f>NOT(ISERROR(SEARCH($AN$693,AD168)))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AD168:AF171</xm:sqref>
        </x14:conditionalFormatting>
        <x14:conditionalFormatting xmlns:xm="http://schemas.microsoft.com/office/excel/2006/main">
          <x14:cfRule type="containsText" priority="4837" operator="containsText" id="{E4CC789E-47ED-4AEE-931B-581253E81228}">
            <xm:f>NOT(ISERROR(SEARCH($AN$690,AD264)))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838" operator="containsText" id="{F614F0FC-0E24-405D-AA5F-FEC5ACA8D238}">
            <xm:f>NOT(ISERROR(SEARCH($AN$704,AD264)))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839" operator="containsText" id="{573E8E3E-7F17-4B81-98D9-8D8C6830B974}">
            <xm:f>NOT(ISERROR(SEARCH($AN$693,AD264)))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AD264:AF267</xm:sqref>
        </x14:conditionalFormatting>
        <x14:conditionalFormatting xmlns:xm="http://schemas.microsoft.com/office/excel/2006/main">
          <x14:cfRule type="containsText" priority="4520" operator="containsText" id="{8F8D191B-F2B5-49AA-9451-4AA3A4FAE94A}">
            <xm:f>NOT(ISERROR(SEARCH($AN$690,AD360)))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521" operator="containsText" id="{4C839F54-B750-4F64-836D-1D2D4CDF5AD0}">
            <xm:f>NOT(ISERROR(SEARCH($AN$704,AD360)))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522" operator="containsText" id="{CB033948-30FD-40D5-B492-0CC0B622AE5B}">
            <xm:f>NOT(ISERROR(SEARCH($AN$693,AD360)))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AD360:AF363</xm:sqref>
        </x14:conditionalFormatting>
        <x14:conditionalFormatting xmlns:xm="http://schemas.microsoft.com/office/excel/2006/main">
          <x14:cfRule type="containsText" priority="24016" operator="containsText" id="{9E4D0319-3AA0-42D4-BAA6-0BDA3E2445EF}">
            <xm:f>NOT(ISERROR(SEARCH($AN$681,AD417)))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4017" operator="containsText" id="{BFD6ED93-037D-4840-AEBE-B804224FE357}">
            <xm:f>NOT(ISERROR(SEARCH($AN$680,AD417)))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4018" operator="containsText" id="{0489E27B-4918-45FD-BA2A-CB8B5D25C8E1}">
            <xm:f>NOT(ISERROR(SEARCH($AN$678,AD417)))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4019" operator="containsText" id="{B8D67405-C432-42AC-A144-6EBD8F7AA96D}">
            <xm:f>NOT(ISERROR(SEARCH($AN$679,AD417)))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AD417:AF421</xm:sqref>
        </x14:conditionalFormatting>
        <x14:conditionalFormatting xmlns:xm="http://schemas.microsoft.com/office/excel/2006/main">
          <x14:cfRule type="containsText" priority="4203" operator="containsText" id="{52F76E9B-9593-48C5-8367-1528D507E057}">
            <xm:f>NOT(ISERROR(SEARCH($AN$690,AD456)))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204" operator="containsText" id="{F6A3A003-AB41-49CD-8399-D2E2F6CE49E2}">
            <xm:f>NOT(ISERROR(SEARCH($AN$704,AD456)))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205" operator="containsText" id="{3284D55D-2949-423C-AEE7-FF062E3425F9}">
            <xm:f>NOT(ISERROR(SEARCH($AN$693,AD456)))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AD456:AF459</xm:sqref>
        </x14:conditionalFormatting>
        <x14:conditionalFormatting xmlns:xm="http://schemas.microsoft.com/office/excel/2006/main">
          <x14:cfRule type="containsText" priority="23606" operator="containsText" id="{4E5FCBC2-EBBE-43BB-B1F7-D3316E33441F}">
            <xm:f>NOT(ISERROR(SEARCH($AN$681,AD513)))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607" operator="containsText" id="{8CB47C1E-5D0F-494B-BA7D-88BE9944F2F6}">
            <xm:f>NOT(ISERROR(SEARCH($AN$680,AD513)))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608" operator="containsText" id="{A84DF2EF-0F8E-4EBB-BF24-F995117907F5}">
            <xm:f>NOT(ISERROR(SEARCH($AN$678,AD513)))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609" operator="containsText" id="{17C01EF1-D77C-4AA0-9736-EE94DDF155BE}">
            <xm:f>NOT(ISERROR(SEARCH($AN$679,AD513)))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AD513:AF517</xm:sqref>
        </x14:conditionalFormatting>
        <x14:conditionalFormatting xmlns:xm="http://schemas.microsoft.com/office/excel/2006/main">
          <x14:cfRule type="containsText" priority="3886" operator="containsText" id="{80A1D0CE-0909-4E0C-BD28-B52299B1F78C}">
            <xm:f>NOT(ISERROR(SEARCH($AN$690,AD552)))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887" operator="containsText" id="{160C9258-21CE-4518-AA1C-62485069EFBA}">
            <xm:f>NOT(ISERROR(SEARCH($AN$704,AD552)))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888" operator="containsText" id="{1C951935-DCFC-455D-B99C-C85CA4407C1C}">
            <xm:f>NOT(ISERROR(SEARCH($AN$693,AD552)))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AD552:AF555</xm:sqref>
        </x14:conditionalFormatting>
        <x14:conditionalFormatting xmlns:xm="http://schemas.microsoft.com/office/excel/2006/main">
          <x14:cfRule type="containsText" priority="23196" operator="containsText" id="{24EFF5C5-73CB-4EAD-9CF4-A4C5A20B4D73}">
            <xm:f>NOT(ISERROR(SEARCH($AN$681,AD609)))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197" operator="containsText" id="{2BE2324E-FB62-41A9-99FC-3B4C00DDF416}">
            <xm:f>NOT(ISERROR(SEARCH($AN$680,AD609)))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198" operator="containsText" id="{AA86EF3C-736B-4EAB-9433-A09EF528DEEB}">
            <xm:f>NOT(ISERROR(SEARCH($AN$678,AD609)))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199" operator="containsText" id="{9A06F4EC-81C5-408D-A9A5-C792C4D89323}">
            <xm:f>NOT(ISERROR(SEARCH($AN$679,AD609)))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AD609:AF613</xm:sqref>
        </x14:conditionalFormatting>
        <x14:conditionalFormatting xmlns:xm="http://schemas.microsoft.com/office/excel/2006/main">
          <x14:cfRule type="containsText" priority="3569" operator="containsText" id="{BAAB110A-B5AC-4622-93D8-2CEF97C7769B}">
            <xm:f>NOT(ISERROR(SEARCH($AN$690,AD648)))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570" operator="containsText" id="{6BD08BB8-9A14-44AD-A162-49B268E45191}">
            <xm:f>NOT(ISERROR(SEARCH($AN$704,AD648)))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571" operator="containsText" id="{DC11B1DC-4B70-4023-BF37-2CB701BA0BBC}">
            <xm:f>NOT(ISERROR(SEARCH($AN$693,AD648)))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AD648:AF651</xm:sqref>
        </x14:conditionalFormatting>
        <x14:conditionalFormatting xmlns:xm="http://schemas.microsoft.com/office/excel/2006/main">
          <x14:cfRule type="containsText" priority="22786" operator="containsText" id="{78905550-2C96-4396-8F47-BEDD12B06D38}">
            <xm:f>NOT(ISERROR(SEARCH($AN$681,AD705)))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787" operator="containsText" id="{60B14CDA-0624-48A2-BCF5-E956B1D1F5A7}">
            <xm:f>NOT(ISERROR(SEARCH($AN$680,AD705)))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788" operator="containsText" id="{14BD8A70-DF30-4AD8-AC6A-9C690BB2327A}">
            <xm:f>NOT(ISERROR(SEARCH($AN$678,AD705)))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789" operator="containsText" id="{14AB3D6F-CF2C-4C8B-8590-DB39F2426399}">
            <xm:f>NOT(ISERROR(SEARCH($AN$679,AD705)))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AD705:AF709</xm:sqref>
        </x14:conditionalFormatting>
        <x14:conditionalFormatting xmlns:xm="http://schemas.microsoft.com/office/excel/2006/main">
          <x14:cfRule type="containsText" priority="22642" operator="containsText" id="{6175A2D1-EDC0-4754-8C9C-261CC2AE0877}">
            <xm:f>NOT(ISERROR(SEARCH($AN$681,AD52)))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643" operator="containsText" id="{56C2DB53-01C9-4A1A-9C2B-44DAAFE259D4}">
            <xm:f>NOT(ISERROR(SEARCH($AN$680,AD52)))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644" operator="containsText" id="{A939D3BC-4C80-4677-A910-34B8E7E8F7CE}">
            <xm:f>NOT(ISERROR(SEARCH($AN$678,AD52)))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645" operator="containsText" id="{EB6E9A57-FC95-4C13-9143-71B399E2B8AE}">
            <xm:f>NOT(ISERROR(SEARCH($AN$679,AD52)))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AD52:AK70 AD71:AF75 AD76:AK93</xm:sqref>
        </x14:conditionalFormatting>
        <x14:conditionalFormatting xmlns:xm="http://schemas.microsoft.com/office/excel/2006/main">
          <x14:cfRule type="containsText" priority="22326" operator="containsText" id="{88457BE3-BCE6-4F01-A13C-2C8E9622B812}">
            <xm:f>NOT(ISERROR(SEARCH($AN$689,AD52)))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327" operator="containsText" id="{EA53F863-E294-42BA-90DB-3C6171F9981A}">
            <xm:f>NOT(ISERROR(SEARCH($AN$687,AD52)))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AD52:AK70 AD71:AF75 AI73:AI75 AD76:AK93</xm:sqref>
        </x14:conditionalFormatting>
        <x14:conditionalFormatting xmlns:xm="http://schemas.microsoft.com/office/excel/2006/main">
          <x14:cfRule type="containsText" priority="22328" operator="containsText" id="{FFC68FD4-6B1E-4E1B-8E5F-70943A4E4C26}">
            <xm:f>NOT(ISERROR(SEARCH($AN$688,AD52)))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329" operator="containsText" id="{419FA428-F122-41F2-AA30-BAAE48481C36}">
            <xm:f>NOT(ISERROR(SEARCH($AN$686,AD52)))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330" operator="containsText" id="{0BCB28D7-13C8-42B7-88F4-56977443B548}">
            <xm:f>NOT(ISERROR(SEARCH($AN$685,AD52)))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331" operator="containsText" id="{26EF7BAF-310E-40A3-8049-661255009ABB}">
            <xm:f>NOT(ISERROR(SEARCH($AN$684,AD52)))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332" operator="containsText" id="{C06A959C-F6DD-4FA0-A7B5-8AC91CB08DA2}">
            <xm:f>NOT(ISERROR(SEARCH($AN$683,AD52)))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333" operator="containsText" id="{AC0FDC6C-DF09-4209-98D0-7666524D4484}">
            <xm:f>NOT(ISERROR(SEARCH($AN$682,AD52)))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AD52:AK70 AI71 AD71:AF75 AD76:AK93 AI73:AI75</xm:sqref>
        </x14:conditionalFormatting>
        <x14:conditionalFormatting xmlns:xm="http://schemas.microsoft.com/office/excel/2006/main">
          <x14:cfRule type="containsText" priority="22325" operator="containsText" id="{50211A16-AA4A-4B57-BEF1-BAF836CABE6B}">
            <xm:f>NOT(ISERROR(SEARCH($AN$691,AD52)))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m:sqref>AD52:AK70 AI73:AI75 AD76:AK93 AD71:AF75</xm:sqref>
        </x14:conditionalFormatting>
        <x14:conditionalFormatting xmlns:xm="http://schemas.microsoft.com/office/excel/2006/main">
          <x14:cfRule type="containsText" priority="22322" operator="containsText" id="{7F263EBD-97C3-4DF5-8587-201389169B63}">
            <xm:f>NOT(ISERROR(SEARCH($AN$704,AD52)))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323" operator="containsText" id="{E2F7D69D-8B05-4384-9C8A-C93451847EC9}">
            <xm:f>NOT(ISERROR(SEARCH($AN$693,AD52)))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324" operator="containsText" id="{23380F18-E033-4C62-B765-38024963F233}">
            <xm:f>NOT(ISERROR(SEARCH($AN$692,AD52)))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AD52:AK70 AI73:AI75 AD76:AK93</xm:sqref>
        </x14:conditionalFormatting>
        <x14:conditionalFormatting xmlns:xm="http://schemas.microsoft.com/office/excel/2006/main">
          <x14:cfRule type="containsText" priority="3041" operator="containsText" id="{FDC889FC-2910-4626-BDB4-4310EE7D97FA}">
            <xm:f>NOT(ISERROR(SEARCH($AN$690,AD129)))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AD129:AK133</xm:sqref>
        </x14:conditionalFormatting>
        <x14:conditionalFormatting xmlns:xm="http://schemas.microsoft.com/office/excel/2006/main">
          <x14:cfRule type="containsText" priority="21916" operator="containsText" id="{FEB3823A-6579-404E-A0AF-8391FE85DA83}">
            <xm:f>NOT(ISERROR(SEARCH($AN$689,AD148)))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1917" operator="containsText" id="{47232B22-AF13-4323-B62C-4C6F8E2F4BDE}">
            <xm:f>NOT(ISERROR(SEARCH($AN$687,AD148)))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232" operator="containsText" id="{434AB723-834E-4216-A792-FC72FD261886}">
            <xm:f>NOT(ISERROR(SEARCH($AN$681,AD148)))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AD148:AK166 AD167:AF167 AD168:AE171 AD172:AK189</xm:sqref>
        </x14:conditionalFormatting>
        <x14:conditionalFormatting xmlns:xm="http://schemas.microsoft.com/office/excel/2006/main">
          <x14:cfRule type="containsText" priority="19214" operator="containsText" id="{9172A5A1-CA30-472C-B4E8-2D14AE92B00F}">
            <xm:f>NOT(ISERROR(SEARCH($AN$692,AD148)))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AD148:AK166 AD167:AF167 AD168:AE171</xm:sqref>
        </x14:conditionalFormatting>
        <x14:conditionalFormatting xmlns:xm="http://schemas.microsoft.com/office/excel/2006/main">
          <x14:cfRule type="containsText" priority="21918" operator="containsText" id="{A7798DA0-3258-4DEA-AE28-71EFEC6B366B}">
            <xm:f>NOT(ISERROR(SEARCH($AN$688,AD148)))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919" operator="containsText" id="{5F22122E-E146-42F7-B7E9-030FC8DE0161}">
            <xm:f>NOT(ISERROR(SEARCH($AN$686,AD148)))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920" operator="containsText" id="{9B3163E2-B534-49E4-BF70-85BAD21892CD}">
            <xm:f>NOT(ISERROR(SEARCH($AN$685,AD148)))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921" operator="containsText" id="{ED986C73-6BC4-4A77-98B4-B9594E680509}">
            <xm:f>NOT(ISERROR(SEARCH($AN$684,AD148)))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922" operator="containsText" id="{43EDEE32-9E8A-461D-94C2-60CA19B82F5D}">
            <xm:f>NOT(ISERROR(SEARCH($AN$683,AD148)))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923" operator="containsText" id="{F5A27FC3-53CC-4AA2-AFC7-5AC3D1D882B3}">
            <xm:f>NOT(ISERROR(SEARCH($AN$682,AD148)))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233" operator="containsText" id="{04FA3C4C-20DA-4EC6-83B3-2CF3DD70EE0B}">
            <xm:f>NOT(ISERROR(SEARCH($AN$680,AD148)))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234" operator="containsText" id="{2A261DE2-0E46-4563-A7A0-139A5546A2D4}">
            <xm:f>NOT(ISERROR(SEARCH($AN$678,AD148)))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235" operator="containsText" id="{DFF2974E-61A2-43CF-ADD5-1DB768801A36}">
            <xm:f>NOT(ISERROR(SEARCH($AN$679,AD148)))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AD148:AK166 AD167:AF167 AD172:AK189 AD168:AE171</xm:sqref>
        </x14:conditionalFormatting>
        <x14:conditionalFormatting xmlns:xm="http://schemas.microsoft.com/office/excel/2006/main">
          <x14:cfRule type="containsText" priority="12509" operator="containsText" id="{63B403E8-7B01-4DE5-9200-F2F48C55AE49}">
            <xm:f>NOT(ISERROR(SEARCH($AN$690,AD148)))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2510" operator="containsText" id="{F8600CFA-953B-4A37-A0BB-C4344064BF94}">
            <xm:f>NOT(ISERROR(SEARCH($AN$704,AD148)))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2511" operator="containsText" id="{ACFE3FBB-7D8C-46F6-8303-C887291D81CA}">
            <xm:f>NOT(ISERROR(SEARCH($AN$693,AD148)))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AD148:AK167</xm:sqref>
        </x14:conditionalFormatting>
        <x14:conditionalFormatting xmlns:xm="http://schemas.microsoft.com/office/excel/2006/main">
          <x14:cfRule type="containsText" priority="21915" operator="containsText" id="{7EBC8DC3-48DC-466D-AF88-CD96D6619D9C}">
            <xm:f>NOT(ISERROR(SEARCH($AN$691,AD148)))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m:sqref>AD172:AK189 AD148:AK166 AD167:AF167 AD168:AE171</xm:sqref>
        </x14:conditionalFormatting>
        <x14:conditionalFormatting xmlns:xm="http://schemas.microsoft.com/office/excel/2006/main">
          <x14:cfRule type="containsText" priority="21911" operator="containsText" id="{7F000079-D2DF-4BD4-95DD-51B8ABAD0131}">
            <xm:f>NOT(ISERROR(SEARCH($AN$690,AD172)))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1912" operator="containsText" id="{59D316B6-0ED3-479B-B835-143CEB8E24D8}">
            <xm:f>NOT(ISERROR(SEARCH($AN$704,AD172)))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1913" operator="containsText" id="{5232C521-39A1-4F88-B2D4-47AE8A73FC80}">
            <xm:f>NOT(ISERROR(SEARCH($AN$693,AD172)))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1914" operator="containsText" id="{D8F28A03-231C-4D97-AC0B-493AD011E7C3}">
            <xm:f>NOT(ISERROR(SEARCH($AN$692,AD172)))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AD172:AK189</xm:sqref>
        </x14:conditionalFormatting>
        <x14:conditionalFormatting xmlns:xm="http://schemas.microsoft.com/office/excel/2006/main">
          <x14:cfRule type="containsText" priority="21506" operator="containsText" id="{6D379D9B-4A99-4DA4-B1B5-4C454C1F59F7}">
            <xm:f>NOT(ISERROR(SEARCH($AN$689,AD244)))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1507" operator="containsText" id="{5375DF5B-F815-4DF3-88B9-A55BC07A439D}">
            <xm:f>NOT(ISERROR(SEARCH($AN$687,AD244)))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1822" operator="containsText" id="{07C868FF-532B-4BF6-8B13-4AE7A503EC9A}">
            <xm:f>NOT(ISERROR(SEARCH($AN$681,AD244)))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AD244:AK262 AD263:AF263 AD264:AE267 AD268:AK285</xm:sqref>
        </x14:conditionalFormatting>
        <x14:conditionalFormatting xmlns:xm="http://schemas.microsoft.com/office/excel/2006/main">
          <x14:cfRule type="containsText" priority="19706" operator="containsText" id="{0B90A89A-1643-4513-B55A-F3B56A06D0EB}">
            <xm:f>NOT(ISERROR(SEARCH($AN$692,AD244)))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AD244:AK262 AD263:AF263 AD264:AE267</xm:sqref>
        </x14:conditionalFormatting>
        <x14:conditionalFormatting xmlns:xm="http://schemas.microsoft.com/office/excel/2006/main">
          <x14:cfRule type="containsText" priority="21823" operator="containsText" id="{79E75614-3AFD-409F-80BF-BB37A52D1EA7}">
            <xm:f>NOT(ISERROR(SEARCH($AN$680,AD244)))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824" operator="containsText" id="{9D0F0AD0-EB15-45BB-AF85-A384939D4A42}">
            <xm:f>NOT(ISERROR(SEARCH($AN$678,AD244)))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825" operator="containsText" id="{933C815C-2C14-4B3B-AB09-FA9D1931A3F2}">
            <xm:f>NOT(ISERROR(SEARCH($AN$679,AD244)))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AD244:AK262 AD263:AF263 AD268:AK285 AD264:AE267</xm:sqref>
        </x14:conditionalFormatting>
        <x14:conditionalFormatting xmlns:xm="http://schemas.microsoft.com/office/excel/2006/main">
          <x14:cfRule type="containsText" priority="21508" operator="containsText" id="{0542C383-8101-435E-BDEC-6C73324AFFEF}">
            <xm:f>NOT(ISERROR(SEARCH($AN$688,AD244)))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1509" operator="containsText" id="{D0341516-11FB-4A34-9A95-1A24539E4CAB}">
            <xm:f>NOT(ISERROR(SEARCH($AN$686,AD244)))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510" operator="containsText" id="{E3E32FD4-68CB-4BCF-8B9E-40CD6550A5F4}">
            <xm:f>NOT(ISERROR(SEARCH($AN$685,AD244)))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511" operator="containsText" id="{D8F97FFF-3555-435D-8CE0-72662ECB1EC0}">
            <xm:f>NOT(ISERROR(SEARCH($AN$684,AD244)))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512" operator="containsText" id="{D3CE8DD2-72F1-412D-AE12-BBB70F6905EE}">
            <xm:f>NOT(ISERROR(SEARCH($AN$683,AD244)))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513" operator="containsText" id="{9AF74811-AD99-446A-98FA-2D7CDE6DDA5D}">
            <xm:f>NOT(ISERROR(SEARCH($AN$682,AD244)))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AD244:AK262 AD268:AK285 AD263:AF263 AD264:AE267</xm:sqref>
        </x14:conditionalFormatting>
        <x14:conditionalFormatting xmlns:xm="http://schemas.microsoft.com/office/excel/2006/main">
          <x14:cfRule type="containsText" priority="12160" operator="containsText" id="{DC9561A9-C242-4527-9261-20D92D9D762B}">
            <xm:f>NOT(ISERROR(SEARCH($AN$690,AD244)))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2161" operator="containsText" id="{7D0BC7D3-2DDC-48F6-BACB-2F9144BE9118}">
            <xm:f>NOT(ISERROR(SEARCH($AN$704,AD244)))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2162" operator="containsText" id="{F40628B7-EFA6-43DF-92BE-F32732A70485}">
            <xm:f>NOT(ISERROR(SEARCH($AN$693,AD244)))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AD244:AK263</xm:sqref>
        </x14:conditionalFormatting>
        <x14:conditionalFormatting xmlns:xm="http://schemas.microsoft.com/office/excel/2006/main">
          <x14:cfRule type="containsText" priority="21505" operator="containsText" id="{478AADC2-5520-4328-9EB7-D254E8991F78}">
            <xm:f>NOT(ISERROR(SEARCH($AN$691,AD244)))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m:sqref>AD268:AK285 AD244:AK262 AD263:AF263 AD264:AE267</xm:sqref>
        </x14:conditionalFormatting>
        <x14:conditionalFormatting xmlns:xm="http://schemas.microsoft.com/office/excel/2006/main">
          <x14:cfRule type="containsText" priority="21501" operator="containsText" id="{7E328581-B31F-4521-88E7-8C5AF98F65AA}">
            <xm:f>NOT(ISERROR(SEARCH($AN$690,AD268)))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1502" operator="containsText" id="{BBAFE5C6-E645-4ADE-8854-264A54172C03}">
            <xm:f>NOT(ISERROR(SEARCH($AN$704,AD268)))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1503" operator="containsText" id="{3A6D0B36-F55C-4FAD-964F-8534BD564AF8}">
            <xm:f>NOT(ISERROR(SEARCH($AN$693,AD268)))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1504" operator="containsText" id="{3C9A2CE3-A187-48F6-BD1A-771A64B40F99}">
            <xm:f>NOT(ISERROR(SEARCH($AN$692,AD268)))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AD268:AK285</xm:sqref>
        </x14:conditionalFormatting>
        <x14:conditionalFormatting xmlns:xm="http://schemas.microsoft.com/office/excel/2006/main">
          <x14:cfRule type="containsText" priority="25773" operator="containsText" id="{FD3B9E04-E058-4CFE-99F6-BF930A445468}">
            <xm:f>NOT(ISERROR(SEARCH($AN$687,AD340)))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5774" operator="containsText" id="{038B9AEC-6070-4263-9D1B-CE14AD8CD15C}">
            <xm:f>NOT(ISERROR(SEARCH($AN$688,AD340)))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5775" operator="containsText" id="{CD98CFDC-32F0-4DBE-BA56-878250C2AE8F}">
            <xm:f>NOT(ISERROR(SEARCH($AN$686,AD340)))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776" operator="containsText" id="{7CF7E13C-738F-4AB4-9477-3D8985B07931}">
            <xm:f>NOT(ISERROR(SEARCH($AN$685,AD340)))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5777" operator="containsText" id="{B039589D-54A7-43C6-B3C6-FE18E8DCEFB0}">
            <xm:f>NOT(ISERROR(SEARCH($AN$684,AD340)))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5778" operator="containsText" id="{2586FB5F-70C6-45DC-B202-E0477D9964AC}">
            <xm:f>NOT(ISERROR(SEARCH($AN$683,AD340)))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5779" operator="containsText" id="{BC86EBDE-28F3-4F84-93BE-B57DB7A93147}">
            <xm:f>NOT(ISERROR(SEARCH($AN$682,AD340)))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6121" operator="containsText" id="{2360C05B-10D8-4DE3-88E7-CEA35787596A}">
            <xm:f>NOT(ISERROR(SEARCH($AN$681,AD340)))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6122" operator="containsText" id="{B9CFF896-6050-4C99-8C4C-2D494A552B02}">
            <xm:f>NOT(ISERROR(SEARCH($AN$680,AD340)))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6123" operator="containsText" id="{A007DA18-73D5-4CF0-8CA3-114D6C0A08E4}">
            <xm:f>NOT(ISERROR(SEARCH($AN$678,AD340)))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6124" operator="containsText" id="{886B93D1-C7E2-428B-A001-F615C9AA4830}">
            <xm:f>NOT(ISERROR(SEARCH($AN$679,AD340)))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AD340:AK358 AD359:AF359 AD360:AE363 AD364:AK381</xm:sqref>
        </x14:conditionalFormatting>
        <x14:conditionalFormatting xmlns:xm="http://schemas.microsoft.com/office/excel/2006/main">
          <x14:cfRule type="containsText" priority="21215" operator="containsText" id="{EC8D8A3F-53CE-4341-A302-1376C77204C4}">
            <xm:f>NOT(ISERROR(SEARCH($AN$692,AD340)))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216" operator="containsText" id="{3823525D-527D-463E-B77D-33B796BFA78B}">
            <xm:f>NOT(ISERROR(SEARCH($AN$691,AD340)))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m:sqref>AD340:AK358 AD359:AF359 AD360:AE363</xm:sqref>
        </x14:conditionalFormatting>
        <x14:conditionalFormatting xmlns:xm="http://schemas.microsoft.com/office/excel/2006/main">
          <x14:cfRule type="containsText" priority="11811" operator="containsText" id="{A2E9255E-EDB0-480D-9BAD-3D04B606EA75}">
            <xm:f>NOT(ISERROR(SEARCH($AN$690,AD340)))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1812" operator="containsText" id="{747B2C03-B06E-4FF4-AAEB-C7A084972961}">
            <xm:f>NOT(ISERROR(SEARCH($AN$704,AD340)))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1813" operator="containsText" id="{7069A675-9D08-41B3-B775-0D0DD45C4A8E}">
            <xm:f>NOT(ISERROR(SEARCH($AN$693,AD340)))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AD340:AK359</xm:sqref>
        </x14:conditionalFormatting>
        <x14:conditionalFormatting xmlns:xm="http://schemas.microsoft.com/office/excel/2006/main">
          <x14:cfRule type="containsText" priority="25772" operator="containsText" id="{13E3B7C6-5111-496B-ACE4-085B713D3C40}">
            <xm:f>NOT(ISERROR(SEARCH($AN$689,AD340)))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AD364:AK381 AD340:AK358 AD359:AF359 AD360:AE363</xm:sqref>
        </x14:conditionalFormatting>
        <x14:conditionalFormatting xmlns:xm="http://schemas.microsoft.com/office/excel/2006/main">
          <x14:cfRule type="containsText" priority="25767" operator="containsText" id="{578FE452-32A2-46B9-80D7-8A9E89694538}">
            <xm:f>NOT(ISERROR(SEARCH($AN$690,AD364)))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5768" operator="containsText" id="{BD78A6A9-3634-4EA9-BD3C-893EABDDB7D9}">
            <xm:f>NOT(ISERROR(SEARCH($AN$704,AD364)))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5769" operator="containsText" id="{AED89820-03D3-4FE4-95AB-88F8CBA1293A}">
            <xm:f>NOT(ISERROR(SEARCH($AN$693,AD364)))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5770" operator="containsText" id="{B0962962-515A-46AA-B618-724B4E92B7AA}">
            <xm:f>NOT(ISERROR(SEARCH($AN$692,AD364)))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5771" operator="containsText" id="{B46610D1-176A-4401-AF92-235865CDB8C3}">
            <xm:f>NOT(ISERROR(SEARCH($AN$691,AD364)))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m:sqref>AD364:AK381</xm:sqref>
        </x14:conditionalFormatting>
        <x14:conditionalFormatting xmlns:xm="http://schemas.microsoft.com/office/excel/2006/main">
          <x14:cfRule type="containsText" priority="23966" operator="containsText" id="{CC1215F5-7556-4983-B287-D477E2F33EDC}">
            <xm:f>NOT(ISERROR(SEARCH($AN$689,AD436)))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967" operator="containsText" id="{D94DBEF2-B47F-45B4-B6C9-BE6E0EB50161}">
            <xm:f>NOT(ISERROR(SEARCH($AN$687,AD436)))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4282" operator="containsText" id="{7AAFC2CD-C32E-4128-B218-FC6BFBB50A1B}">
            <xm:f>NOT(ISERROR(SEARCH($AN$681,AD436)))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AD436:AK454 AD455:AF455 AD456:AE459 AD460:AK477</xm:sqref>
        </x14:conditionalFormatting>
        <x14:conditionalFormatting xmlns:xm="http://schemas.microsoft.com/office/excel/2006/main">
          <x14:cfRule type="containsText" priority="19028" operator="containsText" id="{762E84C0-5618-4A1A-8960-0EEF4CDC4A43}">
            <xm:f>NOT(ISERROR(SEARCH($AN$692,AD436)))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AD436:AK454 AD455:AF455 AD456:AE459</xm:sqref>
        </x14:conditionalFormatting>
        <x14:conditionalFormatting xmlns:xm="http://schemas.microsoft.com/office/excel/2006/main">
          <x14:cfRule type="containsText" priority="23968" operator="containsText" id="{17224F60-BDEC-4B77-A5EB-A9B9CA1F1D04}">
            <xm:f>NOT(ISERROR(SEARCH($AN$688,AD436)))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969" operator="containsText" id="{5DFF99FC-0067-4787-90D5-3E23193E3950}">
            <xm:f>NOT(ISERROR(SEARCH($AN$686,AD436)))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970" operator="containsText" id="{60E41152-DD83-47BA-BC17-8A6046125D2E}">
            <xm:f>NOT(ISERROR(SEARCH($AN$685,AD436)))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971" operator="containsText" id="{DF89F829-C83E-4BC8-90AF-AD7EE9BE2EE4}">
            <xm:f>NOT(ISERROR(SEARCH($AN$684,AD436)))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972" operator="containsText" id="{61498463-273D-4611-B1C0-CDBC565060A2}">
            <xm:f>NOT(ISERROR(SEARCH($AN$683,AD436)))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973" operator="containsText" id="{E44A08A5-A2CF-4968-B3D4-A03DE571164A}">
            <xm:f>NOT(ISERROR(SEARCH($AN$682,AD436)))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4283" operator="containsText" id="{0479D70F-1318-4AD0-B196-B019344E94AD}">
            <xm:f>NOT(ISERROR(SEARCH($AN$680,AD436)))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4284" operator="containsText" id="{7A7BF27C-1B5B-4A90-AC3D-CD2223055718}">
            <xm:f>NOT(ISERROR(SEARCH($AN$678,AD436)))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4285" operator="containsText" id="{C5D5423B-9BD8-4A90-8BF5-8AFED282064C}">
            <xm:f>NOT(ISERROR(SEARCH($AN$679,AD436)))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AD436:AK454 AD455:AF455 AD460:AK477 AD456:AE459</xm:sqref>
        </x14:conditionalFormatting>
        <x14:conditionalFormatting xmlns:xm="http://schemas.microsoft.com/office/excel/2006/main">
          <x14:cfRule type="containsText" priority="11462" operator="containsText" id="{1C271DCC-2830-4271-8680-AB05C64038BC}">
            <xm:f>NOT(ISERROR(SEARCH($AN$690,AD436)))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1463" operator="containsText" id="{D99F97A7-EBC0-4EA6-863A-CF9338C7AA3E}">
            <xm:f>NOT(ISERROR(SEARCH($AN$704,AD436)))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1464" operator="containsText" id="{A2E14F9E-02CE-426A-9057-70D95FE0D661}">
            <xm:f>NOT(ISERROR(SEARCH($AN$693,AD436)))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AD436:AK455</xm:sqref>
        </x14:conditionalFormatting>
        <x14:conditionalFormatting xmlns:xm="http://schemas.microsoft.com/office/excel/2006/main">
          <x14:cfRule type="containsText" priority="23965" operator="containsText" id="{52470F73-7ECE-47CE-B4D5-1F954A1267F1}">
            <xm:f>NOT(ISERROR(SEARCH($AN$691,AD436)))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m:sqref>AD460:AK477 AD436:AK454 AD455:AF455 AD456:AE459</xm:sqref>
        </x14:conditionalFormatting>
        <x14:conditionalFormatting xmlns:xm="http://schemas.microsoft.com/office/excel/2006/main">
          <x14:cfRule type="containsText" priority="23961" operator="containsText" id="{0E1C79B8-EF29-4555-9D79-D1AF0BE605B9}">
            <xm:f>NOT(ISERROR(SEARCH($AN$690,AD460)))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3962" operator="containsText" id="{4AFD40C2-379C-4990-A698-D58B564B9898}">
            <xm:f>NOT(ISERROR(SEARCH($AN$704,AD460)))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3963" operator="containsText" id="{1FD93230-4BD3-4A6D-8390-AC26B85F5B51}">
            <xm:f>NOT(ISERROR(SEARCH($AN$693,AD460)))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3964" operator="containsText" id="{B7DE79BA-996A-4B16-BDD9-3DCAC6DF266D}">
            <xm:f>NOT(ISERROR(SEARCH($AN$692,AD460)))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AD460:AK477</xm:sqref>
        </x14:conditionalFormatting>
        <x14:conditionalFormatting xmlns:xm="http://schemas.microsoft.com/office/excel/2006/main">
          <x14:cfRule type="containsText" priority="23556" operator="containsText" id="{3A558206-BADE-4321-BF64-BE9CC4C66268}">
            <xm:f>NOT(ISERROR(SEARCH($AN$689,AD532)))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557" operator="containsText" id="{2440A441-69FB-4D79-8035-9FB6BBDB6BAF}">
            <xm:f>NOT(ISERROR(SEARCH($AN$687,AD532)))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872" operator="containsText" id="{0B0D6963-0F88-4670-B09A-D28660944BEA}">
            <xm:f>NOT(ISERROR(SEARCH($AN$681,AD532)))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AD532:AK550 AD551:AF551 AD552:AE555 AD556:AK573</xm:sqref>
        </x14:conditionalFormatting>
        <x14:conditionalFormatting xmlns:xm="http://schemas.microsoft.com/office/excel/2006/main">
          <x14:cfRule type="containsText" priority="18842" operator="containsText" id="{8FCBC307-A0FF-464A-A1DD-2C5ABCAAB5EA}">
            <xm:f>NOT(ISERROR(SEARCH($AN$692,AD532)))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AD532:AK550 AD551:AF551 AD552:AE555</xm:sqref>
        </x14:conditionalFormatting>
        <x14:conditionalFormatting xmlns:xm="http://schemas.microsoft.com/office/excel/2006/main">
          <x14:cfRule type="containsText" priority="23558" operator="containsText" id="{58384286-B37D-4639-8B87-C7A9258FEEE7}">
            <xm:f>NOT(ISERROR(SEARCH($AN$688,AD532)))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559" operator="containsText" id="{D2DC063E-9634-418A-87AA-54AE6B756E31}">
            <xm:f>NOT(ISERROR(SEARCH($AN$686,AD532)))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560" operator="containsText" id="{1CCA603B-0801-4FCF-B928-6E2694537245}">
            <xm:f>NOT(ISERROR(SEARCH($AN$685,AD532)))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561" operator="containsText" id="{DF52F56F-9D8B-40E9-8040-DBD84A535255}">
            <xm:f>NOT(ISERROR(SEARCH($AN$684,AD532)))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562" operator="containsText" id="{B348AAFB-2BCA-49DF-A191-939CBCE2E13A}">
            <xm:f>NOT(ISERROR(SEARCH($AN$683,AD532)))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563" operator="containsText" id="{89EEC01B-2052-4AA9-928D-089E448F6319}">
            <xm:f>NOT(ISERROR(SEARCH($AN$682,AD532)))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873" operator="containsText" id="{6A9600A0-F3DD-459D-B2A5-21E244950253}">
            <xm:f>NOT(ISERROR(SEARCH($AN$680,AD532)))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874" operator="containsText" id="{84D91386-5E69-4D61-B7B2-D00C9697C93B}">
            <xm:f>NOT(ISERROR(SEARCH($AN$678,AD532)))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875" operator="containsText" id="{62522DDD-135B-4F01-9B38-1D0D7B10A2BC}">
            <xm:f>NOT(ISERROR(SEARCH($AN$679,AD532)))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AD532:AK550 AD551:AF551 AD556:AK573 AD552:AE555</xm:sqref>
        </x14:conditionalFormatting>
        <x14:conditionalFormatting xmlns:xm="http://schemas.microsoft.com/office/excel/2006/main">
          <x14:cfRule type="containsText" priority="11113" operator="containsText" id="{88D2EC50-1ED2-4637-8C1C-A4D7D9090775}">
            <xm:f>NOT(ISERROR(SEARCH($AN$690,AD532)))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1114" operator="containsText" id="{528A394F-796A-4251-9EB5-B67A82A6934C}">
            <xm:f>NOT(ISERROR(SEARCH($AN$704,AD532)))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1115" operator="containsText" id="{A27E3832-0FE8-44BA-BE40-90FFDDAC08F3}">
            <xm:f>NOT(ISERROR(SEARCH($AN$693,AD532)))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AD532:AK551</xm:sqref>
        </x14:conditionalFormatting>
        <x14:conditionalFormatting xmlns:xm="http://schemas.microsoft.com/office/excel/2006/main">
          <x14:cfRule type="containsText" priority="23555" operator="containsText" id="{04E5B9F6-3C8A-43FF-B147-72FA659DDAA4}">
            <xm:f>NOT(ISERROR(SEARCH($AN$691,AD532)))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m:sqref>AD556:AK573 AD532:AK550 AD551:AF551 AD552:AE555</xm:sqref>
        </x14:conditionalFormatting>
        <x14:conditionalFormatting xmlns:xm="http://schemas.microsoft.com/office/excel/2006/main">
          <x14:cfRule type="containsText" priority="23551" operator="containsText" id="{81711812-5AE0-480D-8A3C-1D11500B41B5}">
            <xm:f>NOT(ISERROR(SEARCH($AN$690,AD556)))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3552" operator="containsText" id="{B41B611C-7AE2-4439-A839-E7ED88C0963C}">
            <xm:f>NOT(ISERROR(SEARCH($AN$704,AD556)))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3553" operator="containsText" id="{B1776182-5270-4038-95D3-CE07DB272DEB}">
            <xm:f>NOT(ISERROR(SEARCH($AN$693,AD556)))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3554" operator="containsText" id="{347D0B4C-6798-4331-A74F-62A7EA6E8D77}">
            <xm:f>NOT(ISERROR(SEARCH($AN$692,AD556)))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AD556:AK573</xm:sqref>
        </x14:conditionalFormatting>
        <x14:conditionalFormatting xmlns:xm="http://schemas.microsoft.com/office/excel/2006/main">
          <x14:cfRule type="containsText" priority="23146" operator="containsText" id="{544B6133-0B96-4746-8C81-08B3BB794D27}">
            <xm:f>NOT(ISERROR(SEARCH($AN$689,AD628)))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147" operator="containsText" id="{65346B91-60F6-418C-832D-01E2892F8BA7}">
            <xm:f>NOT(ISERROR(SEARCH($AN$687,AD628)))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3462" operator="containsText" id="{BBAB5A4B-6E5A-4985-8025-5BD460934B86}">
            <xm:f>NOT(ISERROR(SEARCH($AN$681,AD628)))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AD628:AK646 AD647:AF647 AD648:AE651 AD652:AK669</xm:sqref>
        </x14:conditionalFormatting>
        <x14:conditionalFormatting xmlns:xm="http://schemas.microsoft.com/office/excel/2006/main">
          <x14:cfRule type="containsText" priority="18656" operator="containsText" id="{7A64FF8A-1956-4654-A4C0-62E932EEDEF9}">
            <xm:f>NOT(ISERROR(SEARCH($AN$692,AD628)))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AD628:AK646 AD647:AF647 AD648:AE651</xm:sqref>
        </x14:conditionalFormatting>
        <x14:conditionalFormatting xmlns:xm="http://schemas.microsoft.com/office/excel/2006/main">
          <x14:cfRule type="containsText" priority="23148" operator="containsText" id="{EABB49AD-D431-4F63-849D-C5E4CBE5EE69}">
            <xm:f>NOT(ISERROR(SEARCH($AN$688,AD628)))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3149" operator="containsText" id="{F7ED0F20-063C-4857-8C7E-286F6E5CC603}">
            <xm:f>NOT(ISERROR(SEARCH($AN$686,AD628)))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150" operator="containsText" id="{16A8BF89-30D6-4E51-975A-700BF95A5C8B}">
            <xm:f>NOT(ISERROR(SEARCH($AN$685,AD628)))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3151" operator="containsText" id="{E411D0D4-DFEB-4EC9-8ADA-3544C3764C9A}">
            <xm:f>NOT(ISERROR(SEARCH($AN$684,AD628)))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3152" operator="containsText" id="{90FA07E5-4418-4BA8-B15E-831CEB79C0D3}">
            <xm:f>NOT(ISERROR(SEARCH($AN$683,AD628)))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3153" operator="containsText" id="{76B46DAE-C487-4858-B7E6-03F6DA657C09}">
            <xm:f>NOT(ISERROR(SEARCH($AN$682,AD628)))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463" operator="containsText" id="{E131922E-E2E6-4C88-B747-F2ABDC551AE4}">
            <xm:f>NOT(ISERROR(SEARCH($AN$680,AD628)))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464" operator="containsText" id="{54401720-2A8C-4FE5-BA0F-E3C240B2843D}">
            <xm:f>NOT(ISERROR(SEARCH($AN$678,AD628)))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465" operator="containsText" id="{675CF62F-1C3B-487F-943B-D7FE132FBD23}">
            <xm:f>NOT(ISERROR(SEARCH($AN$679,AD628)))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AD628:AK646 AD647:AF647 AD652:AK669 AD648:AE651</xm:sqref>
        </x14:conditionalFormatting>
        <x14:conditionalFormatting xmlns:xm="http://schemas.microsoft.com/office/excel/2006/main">
          <x14:cfRule type="containsText" priority="10764" operator="containsText" id="{78E7A29A-13F3-46D4-93D5-515478B3B0F5}">
            <xm:f>NOT(ISERROR(SEARCH($AN$690,AD628)))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0765" operator="containsText" id="{D39C2E98-116B-418B-90CB-385C8A14D568}">
            <xm:f>NOT(ISERROR(SEARCH($AN$704,AD628)))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0766" operator="containsText" id="{9E43FB22-FCF4-4975-97A5-F34F2C92615F}">
            <xm:f>NOT(ISERROR(SEARCH($AN$693,AD628)))</xm:f>
            <xm:f>$AN$693</xm:f>
            <x14:dxf>
              <fill>
                <patternFill>
                  <bgColor rgb="FFE4F0BA"/>
                </patternFill>
              </fill>
            </x14:dxf>
          </x14:cfRule>
          <xm:sqref>AD628:AK647</xm:sqref>
        </x14:conditionalFormatting>
        <x14:conditionalFormatting xmlns:xm="http://schemas.microsoft.com/office/excel/2006/main">
          <x14:cfRule type="containsText" priority="23145" operator="containsText" id="{4BA6FEFA-7557-451C-B61B-57AED534F357}">
            <xm:f>NOT(ISERROR(SEARCH($AN$691,AD628)))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m:sqref>AD652:AK669 AD628:AK646 AD647:AF647 AD648:AE651</xm:sqref>
        </x14:conditionalFormatting>
        <x14:conditionalFormatting xmlns:xm="http://schemas.microsoft.com/office/excel/2006/main">
          <x14:cfRule type="containsText" priority="23141" operator="containsText" id="{8F0E328E-4F92-40E6-94FD-4EB7D78E3589}">
            <xm:f>NOT(ISERROR(SEARCH($AN$690,AD652)))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3142" operator="containsText" id="{F13FB036-43B1-409E-88FE-9E232BC67A1E}">
            <xm:f>NOT(ISERROR(SEARCH($AN$704,AD652)))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3143" operator="containsText" id="{34780629-7CB7-4F4D-8111-74F3B6C43E23}">
            <xm:f>NOT(ISERROR(SEARCH($AN$693,AD652)))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3144" operator="containsText" id="{34A02EE1-2935-471D-8B18-49F75028B779}">
            <xm:f>NOT(ISERROR(SEARCH($AN$692,AD652)))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AD652:AK669</xm:sqref>
        </x14:conditionalFormatting>
        <x14:conditionalFormatting xmlns:xm="http://schemas.microsoft.com/office/excel/2006/main">
          <x14:cfRule type="containsText" priority="22736" operator="containsText" id="{13AF35E6-780B-4E64-9253-CEF92A289172}">
            <xm:f>NOT(ISERROR(SEARCH($AN$689,AD724)))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737" operator="containsText" id="{1AAEE440-2835-40C5-AEAD-3B4966446429}">
            <xm:f>NOT(ISERROR(SEARCH($AN$687,AD724)))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738" operator="containsText" id="{59DBD105-4E1A-4C99-9933-74D6E9CE1C86}">
            <xm:f>NOT(ISERROR(SEARCH($AN$688,AD724)))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739" operator="containsText" id="{398B95A8-3876-47BE-916F-296051C662A6}">
            <xm:f>NOT(ISERROR(SEARCH($AN$686,AD724)))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740" operator="containsText" id="{06757ECA-D546-47ED-8EC5-B818F77C2611}">
            <xm:f>NOT(ISERROR(SEARCH($AN$685,AD724)))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741" operator="containsText" id="{EE5BEEF7-EC54-4AE9-BF85-01350D8A2BAB}">
            <xm:f>NOT(ISERROR(SEARCH($AN$684,AD724)))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742" operator="containsText" id="{0C98286A-4699-4612-A7FF-88D617A47C62}">
            <xm:f>NOT(ISERROR(SEARCH($AN$683,AD724)))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743" operator="containsText" id="{9C4E6EF7-29F6-4C9B-9E17-5C28C64C1687}">
            <xm:f>NOT(ISERROR(SEARCH($AN$682,AD724)))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3052" operator="containsText" id="{B4FD248A-40DD-41B5-A427-C25AD341AD0A}">
            <xm:f>NOT(ISERROR(SEARCH($AN$681,AD724)))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053" operator="containsText" id="{1B9A4E04-FFED-4721-A110-863331AB7D56}">
            <xm:f>NOT(ISERROR(SEARCH($AN$680,AD724)))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054" operator="containsText" id="{A7A1C5A2-F72E-494C-B5CF-3B5E4FDB4160}">
            <xm:f>NOT(ISERROR(SEARCH($AN$678,AD724)))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055" operator="containsText" id="{C67237AB-C8E5-465C-A2D1-E88E6785923E}">
            <xm:f>NOT(ISERROR(SEARCH($AN$679,AD724)))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AD724:AK742 AD743:AF747 AD748:AK765</xm:sqref>
        </x14:conditionalFormatting>
        <x14:conditionalFormatting xmlns:xm="http://schemas.microsoft.com/office/excel/2006/main">
          <x14:cfRule type="containsText" priority="18467" operator="containsText" id="{B269B43F-2236-4D20-A0E3-31190A57D66D}">
            <xm:f>NOT(ISERROR(SEARCH($AN$690,AD724)))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8468" operator="containsText" id="{012A6D7A-DF9E-49D1-9568-7F1AF9D0F922}">
            <xm:f>NOT(ISERROR(SEARCH($AN$704,AD724)))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8469" operator="containsText" id="{B85117F4-F13C-4479-BFC0-85F8A6E01923}">
            <xm:f>NOT(ISERROR(SEARCH($AN$693,AD724)))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8470" operator="containsText" id="{4852B3C6-AFD2-44CF-AF8D-823284D34B10}">
            <xm:f>NOT(ISERROR(SEARCH($AN$692,AD724)))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AD724:AK742 AD743:AF747</xm:sqref>
        </x14:conditionalFormatting>
        <x14:conditionalFormatting xmlns:xm="http://schemas.microsoft.com/office/excel/2006/main">
          <x14:cfRule type="containsText" priority="22735" operator="containsText" id="{A2FDAD4D-7216-4D62-8DA8-BE16B5913E1B}">
            <xm:f>NOT(ISERROR(SEARCH($AN$691,AD724)))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m:sqref>AD748:AK765 AD724:AK742 AD743:AF747</xm:sqref>
        </x14:conditionalFormatting>
        <x14:conditionalFormatting xmlns:xm="http://schemas.microsoft.com/office/excel/2006/main">
          <x14:cfRule type="containsText" priority="22731" operator="containsText" id="{7BF2BDB0-99A7-4017-AD5C-EA8BFC82F830}">
            <xm:f>NOT(ISERROR(SEARCH($AN$690,AD748)))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732" operator="containsText" id="{84B0B6E9-A555-4CD8-9A2F-FDD96C45FFB2}">
            <xm:f>NOT(ISERROR(SEARCH($AN$704,AD748)))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733" operator="containsText" id="{36EE438D-8DF1-4EBE-8A6F-3C72F44F4E2D}">
            <xm:f>NOT(ISERROR(SEARCH($AN$693,AD748)))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734" operator="containsText" id="{84E0E44D-A422-4934-A36F-ED506CBE8BB7}">
            <xm:f>NOT(ISERROR(SEARCH($AN$692,AD748)))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AD748:AK765</xm:sqref>
        </x14:conditionalFormatting>
        <x14:conditionalFormatting xmlns:xm="http://schemas.microsoft.com/office/excel/2006/main">
          <x14:cfRule type="containsText" priority="5173" operator="containsText" id="{FC40879A-8311-4AFF-AB24-4424D82A0144}">
            <xm:f>NOT(ISERROR(SEARCH($AN$691,AF168)))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174" operator="containsText" id="{59F24399-ABF7-494B-9754-C7B79149184E}">
            <xm:f>NOT(ISERROR(SEARCH($AN$689,AF168)))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175" operator="containsText" id="{A6F8E6B3-DFB3-48A3-B5B7-3A668232197D}">
            <xm:f>NOT(ISERROR(SEARCH($AN$687,AF168)))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176" operator="containsText" id="{C4008E65-031A-402F-9AB4-7EB524924BC9}">
            <xm:f>NOT(ISERROR(SEARCH($AN$688,AF168)))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177" operator="containsText" id="{AFE83D68-FD43-4278-A411-25AEE1B1D88F}">
            <xm:f>NOT(ISERROR(SEARCH($AN$686,AF168)))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178" operator="containsText" id="{1EAF4718-D8C9-4361-B163-9483CF9EA3DC}">
            <xm:f>NOT(ISERROR(SEARCH($AN$685,AF168)))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179" operator="containsText" id="{A61C0DF4-B08E-42F0-9AED-DD633B70EE5D}">
            <xm:f>NOT(ISERROR(SEARCH($AN$684,AF168)))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180" operator="containsText" id="{A3C25FE0-C390-410C-AEEE-8D60E99400C2}">
            <xm:f>NOT(ISERROR(SEARCH($AN$683,AF168)))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181" operator="containsText" id="{554ED73D-1005-4C82-A471-6AAD3AAED06B}">
            <xm:f>NOT(ISERROR(SEARCH($AN$682,AF168)))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AF168:AF171 AI169:AI171</xm:sqref>
        </x14:conditionalFormatting>
        <x14:conditionalFormatting xmlns:xm="http://schemas.microsoft.com/office/excel/2006/main">
          <x14:cfRule type="containsText" priority="5157" operator="containsText" id="{0680BB7E-141A-41BA-A484-441A1C1D9FEE}">
            <xm:f>NOT(ISERROR(SEARCH($AN$692,AF168)))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211" operator="containsText" id="{65103B54-F5C5-4F13-A7D1-BB1199A88926}">
            <xm:f>NOT(ISERROR(SEARCH($AN$681,AF168)))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212" operator="containsText" id="{875B80EC-AAF2-4228-A14D-6D3FEFD20F78}">
            <xm:f>NOT(ISERROR(SEARCH($AN$680,AF168)))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213" operator="containsText" id="{30ADF433-01D2-4981-8B1B-2AEAE289A41C}">
            <xm:f>NOT(ISERROR(SEARCH($AN$678,AF168)))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214" operator="containsText" id="{1EAE0E72-FCF3-4747-9B76-44AC6CB5BCCE}">
            <xm:f>NOT(ISERROR(SEARCH($AN$679,AF168)))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AF168:AF171</xm:sqref>
        </x14:conditionalFormatting>
        <x14:conditionalFormatting xmlns:xm="http://schemas.microsoft.com/office/excel/2006/main">
          <x14:cfRule type="containsText" priority="4856" operator="containsText" id="{2DBB65C4-FA89-42E6-9652-C91B1CC57E58}">
            <xm:f>NOT(ISERROR(SEARCH($AN$691,AF264)))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857" operator="containsText" id="{BBD85E13-529B-4E6A-A786-548799FE9B1A}">
            <xm:f>NOT(ISERROR(SEARCH($AN$689,AF264)))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858" operator="containsText" id="{25250CC8-C0ED-4F8F-BB9E-EFE4E8AB7523}">
            <xm:f>NOT(ISERROR(SEARCH($AN$687,AF264)))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859" operator="containsText" id="{67ED030C-7451-46E2-ABA1-17E6414C713A}">
            <xm:f>NOT(ISERROR(SEARCH($AN$688,AF264)))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860" operator="containsText" id="{D9AB2507-3076-4F3E-84EE-B87A1DF0A616}">
            <xm:f>NOT(ISERROR(SEARCH($AN$686,AF264)))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861" operator="containsText" id="{A1D5AA0D-1898-4021-A132-7A0B8E194B5D}">
            <xm:f>NOT(ISERROR(SEARCH($AN$685,AF264)))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862" operator="containsText" id="{1FEDF122-C206-4CDC-A963-BD40D3AB1D68}">
            <xm:f>NOT(ISERROR(SEARCH($AN$684,AF264)))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863" operator="containsText" id="{484A8DC3-5470-43EA-8F2D-4C084E5E0522}">
            <xm:f>NOT(ISERROR(SEARCH($AN$683,AF264)))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864" operator="containsText" id="{056C246E-AE9E-4EAA-B1A2-2E50A8277537}">
            <xm:f>NOT(ISERROR(SEARCH($AN$682,AF264)))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AF264:AF267 AI265:AI267</xm:sqref>
        </x14:conditionalFormatting>
        <x14:conditionalFormatting xmlns:xm="http://schemas.microsoft.com/office/excel/2006/main">
          <x14:cfRule type="containsText" priority="4840" operator="containsText" id="{BD4E65D6-7769-4D8C-8F80-9E1D7740E5A9}">
            <xm:f>NOT(ISERROR(SEARCH($AN$692,AF264)))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894" operator="containsText" id="{F1DDC82C-1639-4E62-B148-837CF9C8305F}">
            <xm:f>NOT(ISERROR(SEARCH($AN$681,AF264)))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895" operator="containsText" id="{FE2599A1-253F-4A59-A15C-D5871B4A518E}">
            <xm:f>NOT(ISERROR(SEARCH($AN$680,AF264)))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896" operator="containsText" id="{CAD53381-E87F-4455-9F74-BEF1435D06F9}">
            <xm:f>NOT(ISERROR(SEARCH($AN$678,AF264)))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897" operator="containsText" id="{216AEAC5-A066-47A4-8E6C-E354E46AE9DC}">
            <xm:f>NOT(ISERROR(SEARCH($AN$679,AF264)))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AF264:AF267</xm:sqref>
        </x14:conditionalFormatting>
        <x14:conditionalFormatting xmlns:xm="http://schemas.microsoft.com/office/excel/2006/main">
          <x14:cfRule type="containsText" priority="4539" operator="containsText" id="{55DF5404-551D-429B-A914-791CC490AFFB}">
            <xm:f>NOT(ISERROR(SEARCH($AN$691,AF360)))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540" operator="containsText" id="{7A08E4C1-B759-4ADA-BACC-AF2C5B4EAB0E}">
            <xm:f>NOT(ISERROR(SEARCH($AN$689,AF360)))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541" operator="containsText" id="{F52BF1F4-FECA-45AD-A9A9-CDF8C41C52BA}">
            <xm:f>NOT(ISERROR(SEARCH($AN$687,AF360)))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542" operator="containsText" id="{3AE33E4F-C4DA-4D84-A438-B68056C4AE5E}">
            <xm:f>NOT(ISERROR(SEARCH($AN$688,AF360)))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543" operator="containsText" id="{64071644-3DAE-471F-8F3F-A717EBC815E8}">
            <xm:f>NOT(ISERROR(SEARCH($AN$686,AF360)))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544" operator="containsText" id="{071C8A0E-A0FD-4737-A202-74E7AC12D332}">
            <xm:f>NOT(ISERROR(SEARCH($AN$685,AF360)))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545" operator="containsText" id="{82D2B4FD-FDED-43B9-AF21-420064DB7B8E}">
            <xm:f>NOT(ISERROR(SEARCH($AN$684,AF360)))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546" operator="containsText" id="{6CB2E6A0-F4E4-4449-B72E-6DADBB71D689}">
            <xm:f>NOT(ISERROR(SEARCH($AN$683,AF360)))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547" operator="containsText" id="{CF380C92-3747-4E47-A2B4-331630A27013}">
            <xm:f>NOT(ISERROR(SEARCH($AN$682,AF360)))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AF360:AF363 AI361:AI363</xm:sqref>
        </x14:conditionalFormatting>
        <x14:conditionalFormatting xmlns:xm="http://schemas.microsoft.com/office/excel/2006/main">
          <x14:cfRule type="containsText" priority="4523" operator="containsText" id="{876DE267-C77D-4F17-BCE1-8DD8D21E5AE0}">
            <xm:f>NOT(ISERROR(SEARCH($AN$692,AF360)))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577" operator="containsText" id="{3A3F784B-F43B-47EF-8795-1597B4240503}">
            <xm:f>NOT(ISERROR(SEARCH($AN$681,AF360)))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578" operator="containsText" id="{F6BCCC99-3976-47D1-81F7-BDF9D1D2413B}">
            <xm:f>NOT(ISERROR(SEARCH($AN$680,AF360)))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579" operator="containsText" id="{E1D8053A-2B5E-482C-A671-5B7DE0EFA770}">
            <xm:f>NOT(ISERROR(SEARCH($AN$678,AF360)))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580" operator="containsText" id="{835099F7-0E6A-4B54-A0C8-BE4324559690}">
            <xm:f>NOT(ISERROR(SEARCH($AN$679,AF360)))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AF360:AF363</xm:sqref>
        </x14:conditionalFormatting>
        <x14:conditionalFormatting xmlns:xm="http://schemas.microsoft.com/office/excel/2006/main">
          <x14:cfRule type="containsText" priority="4222" operator="containsText" id="{2634F36E-328F-4484-8771-36FB8567C3C7}">
            <xm:f>NOT(ISERROR(SEARCH($AN$691,AF456)))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223" operator="containsText" id="{2A0870E5-8BD2-4A38-816E-EBF2117E668B}">
            <xm:f>NOT(ISERROR(SEARCH($AN$689,AF456)))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224" operator="containsText" id="{33B40897-2FE8-4552-B83C-C3C38F17444D}">
            <xm:f>NOT(ISERROR(SEARCH($AN$687,AF456)))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225" operator="containsText" id="{95F4B963-2757-4095-A7EF-3D57E1C2C90D}">
            <xm:f>NOT(ISERROR(SEARCH($AN$688,AF456)))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226" operator="containsText" id="{2B187E91-F355-472F-AA45-F555940E04CD}">
            <xm:f>NOT(ISERROR(SEARCH($AN$686,AF456)))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227" operator="containsText" id="{8716EA9C-BFC9-4FDC-BA72-D5922315DFE1}">
            <xm:f>NOT(ISERROR(SEARCH($AN$685,AF456)))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228" operator="containsText" id="{CF6D10A7-4FD0-4D56-B259-AD8A6AC706A2}">
            <xm:f>NOT(ISERROR(SEARCH($AN$684,AF456)))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229" operator="containsText" id="{BEAF7E46-E648-44B5-A19C-3E5F7CAB8CDC}">
            <xm:f>NOT(ISERROR(SEARCH($AN$683,AF456)))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230" operator="containsText" id="{D55AE783-EFA9-47DE-9D75-82A9843D2EE9}">
            <xm:f>NOT(ISERROR(SEARCH($AN$682,AF456)))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AF456:AF459 AI457:AI459</xm:sqref>
        </x14:conditionalFormatting>
        <x14:conditionalFormatting xmlns:xm="http://schemas.microsoft.com/office/excel/2006/main">
          <x14:cfRule type="containsText" priority="4206" operator="containsText" id="{5B385B1A-3372-4934-86D2-4457E927BAA3}">
            <xm:f>NOT(ISERROR(SEARCH($AN$692,AF456)))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260" operator="containsText" id="{401ECE06-6EA7-44A5-BCE9-96178A332370}">
            <xm:f>NOT(ISERROR(SEARCH($AN$681,AF456)))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261" operator="containsText" id="{00C5EAD1-1DE5-4CC8-9B14-BBF3BAA09916}">
            <xm:f>NOT(ISERROR(SEARCH($AN$680,AF456)))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262" operator="containsText" id="{252B13A1-C38F-4BAE-9F97-BD5FAE90733A}">
            <xm:f>NOT(ISERROR(SEARCH($AN$678,AF456)))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263" operator="containsText" id="{C2899E78-1695-42DF-94B6-4C30FDE4CDD5}">
            <xm:f>NOT(ISERROR(SEARCH($AN$679,AF456)))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AF456:AF459</xm:sqref>
        </x14:conditionalFormatting>
        <x14:conditionalFormatting xmlns:xm="http://schemas.microsoft.com/office/excel/2006/main">
          <x14:cfRule type="containsText" priority="3905" operator="containsText" id="{A42CC681-0631-48C2-B072-6BC1CFC4FFDA}">
            <xm:f>NOT(ISERROR(SEARCH($AN$691,AF552)))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906" operator="containsText" id="{41B300E6-7E0C-4CBB-BC4C-9F74929353D6}">
            <xm:f>NOT(ISERROR(SEARCH($AN$689,AF552)))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907" operator="containsText" id="{9245A356-6FA9-493B-B005-FE0681A94226}">
            <xm:f>NOT(ISERROR(SEARCH($AN$687,AF552)))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908" operator="containsText" id="{121DFD41-A633-42AB-8C8A-ED24273BB542}">
            <xm:f>NOT(ISERROR(SEARCH($AN$688,AF552)))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909" operator="containsText" id="{5DD57D57-233A-462B-B6DE-B878E8004ECD}">
            <xm:f>NOT(ISERROR(SEARCH($AN$686,AF552)))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910" operator="containsText" id="{F4F678BC-FC23-49B8-AD91-4103A59A44C0}">
            <xm:f>NOT(ISERROR(SEARCH($AN$685,AF552)))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911" operator="containsText" id="{9C0F8474-BFFE-418C-84EF-1BBEBFE34A7C}">
            <xm:f>NOT(ISERROR(SEARCH($AN$684,AF552)))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912" operator="containsText" id="{A9A8609E-4EC6-4263-ADC1-2E19B2B3BC0C}">
            <xm:f>NOT(ISERROR(SEARCH($AN$683,AF552)))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913" operator="containsText" id="{62A37378-E0B1-467F-820E-A8A114B9EC69}">
            <xm:f>NOT(ISERROR(SEARCH($AN$682,AF552)))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AF552:AF555 AI553:AI555</xm:sqref>
        </x14:conditionalFormatting>
        <x14:conditionalFormatting xmlns:xm="http://schemas.microsoft.com/office/excel/2006/main">
          <x14:cfRule type="containsText" priority="3889" operator="containsText" id="{EADD4E71-84A9-44E2-BD86-560A2234ED92}">
            <xm:f>NOT(ISERROR(SEARCH($AN$692,AF552)))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943" operator="containsText" id="{267B3673-BAE9-4E2E-888C-C9E98B855F91}">
            <xm:f>NOT(ISERROR(SEARCH($AN$681,AF552)))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944" operator="containsText" id="{FB05F145-5571-4E20-A128-D62965AD1037}">
            <xm:f>NOT(ISERROR(SEARCH($AN$680,AF552)))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945" operator="containsText" id="{09AB4DD6-878B-4C2D-A6B3-3E327572D1CC}">
            <xm:f>NOT(ISERROR(SEARCH($AN$678,AF552)))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946" operator="containsText" id="{FD3CCBDB-CE57-4120-93B4-095A7E3D03AE}">
            <xm:f>NOT(ISERROR(SEARCH($AN$679,AF552)))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AF552:AF555</xm:sqref>
        </x14:conditionalFormatting>
        <x14:conditionalFormatting xmlns:xm="http://schemas.microsoft.com/office/excel/2006/main">
          <x14:cfRule type="containsText" priority="3588" operator="containsText" id="{03A2FEC3-0C0A-4C35-9564-B397F3FDB4CA}">
            <xm:f>NOT(ISERROR(SEARCH($AN$691,AF648)))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589" operator="containsText" id="{7F2222FD-4AD6-41F0-979D-72807B3FC455}">
            <xm:f>NOT(ISERROR(SEARCH($AN$689,AF648)))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590" operator="containsText" id="{AF37AD6E-3FB7-4035-A842-F94FF974C87B}">
            <xm:f>NOT(ISERROR(SEARCH($AN$687,AF648)))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591" operator="containsText" id="{3F94B0CF-0476-4F5C-A978-A18A797CF21D}">
            <xm:f>NOT(ISERROR(SEARCH($AN$688,AF648)))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592" operator="containsText" id="{2A5B8EF6-4D63-476F-B709-E1B9ADCB226E}">
            <xm:f>NOT(ISERROR(SEARCH($AN$686,AF648)))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593" operator="containsText" id="{0653EF72-509A-43AD-984D-F2B157BE9401}">
            <xm:f>NOT(ISERROR(SEARCH($AN$685,AF648)))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594" operator="containsText" id="{B87E3C20-19C2-4562-97E0-ABD16E8AE5FC}">
            <xm:f>NOT(ISERROR(SEARCH($AN$684,AF648)))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595" operator="containsText" id="{52A55719-182E-4883-BEE4-D9AB156B8C9C}">
            <xm:f>NOT(ISERROR(SEARCH($AN$683,AF648)))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596" operator="containsText" id="{3E738B5A-B2FB-437D-8CF9-6E99029265CC}">
            <xm:f>NOT(ISERROR(SEARCH($AN$682,AF648)))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AF648:AF651 AI649:AI651</xm:sqref>
        </x14:conditionalFormatting>
        <x14:conditionalFormatting xmlns:xm="http://schemas.microsoft.com/office/excel/2006/main">
          <x14:cfRule type="containsText" priority="3572" operator="containsText" id="{F2F2F65F-F12F-4457-96E9-7E26333EAF37}">
            <xm:f>NOT(ISERROR(SEARCH($AN$692,AF648)))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626" operator="containsText" id="{5F76D252-14B4-4073-9E4F-6E000C7A0EAA}">
            <xm:f>NOT(ISERROR(SEARCH($AN$681,AF648)))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627" operator="containsText" id="{59B7E0E7-2EFD-4236-A55C-FD56C2B3164E}">
            <xm:f>NOT(ISERROR(SEARCH($AN$680,AF648)))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628" operator="containsText" id="{C57081EE-580C-4FE3-96F4-2173D4F852FB}">
            <xm:f>NOT(ISERROR(SEARCH($AN$678,AF648)))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629" operator="containsText" id="{A4DB7837-6E66-4473-AEAA-B54230E9984D}">
            <xm:f>NOT(ISERROR(SEARCH($AN$679,AF648)))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AF648:AF651</xm:sqref>
        </x14:conditionalFormatting>
        <x14:conditionalFormatting xmlns:xm="http://schemas.microsoft.com/office/excel/2006/main">
          <x14:cfRule type="containsText" priority="21429" operator="containsText" id="{799083C9-6A14-4ACE-B287-04B19F0B9D2D}">
            <xm:f>NOT(ISERROR(SEARCH($AN$681,AG28)))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430" operator="containsText" id="{3B23811F-E494-4B5C-B9E0-AF9FC3132E71}">
            <xm:f>NOT(ISERROR(SEARCH($AN$680,AG28)))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431" operator="containsText" id="{17C67105-EC12-4ECD-89C2-5EC3D442B53D}">
            <xm:f>NOT(ISERROR(SEARCH($AN$678,AG28)))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432" operator="containsText" id="{7FDA2D8C-3A9F-487F-86B7-066F2C9C3881}">
            <xm:f>NOT(ISERROR(SEARCH($AN$679,AG28)))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AG28 AI28:AJ28</xm:sqref>
        </x14:conditionalFormatting>
        <x14:conditionalFormatting xmlns:xm="http://schemas.microsoft.com/office/excel/2006/main">
          <x14:cfRule type="containsText" priority="12968" operator="containsText" id="{792DB77E-42DF-4C55-B99F-8C6876665305}">
            <xm:f>NOT(ISERROR(SEARCH($AN$688,AG71)))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969" operator="containsText" id="{025B9EFE-2170-4717-ABC9-9F6464E3236C}">
            <xm:f>NOT(ISERROR(SEARCH($AN$686,AG71)))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970" operator="containsText" id="{9C7CA3D0-226B-4F52-9D78-04E0F34DCC7F}">
            <xm:f>NOT(ISERROR(SEARCH($AN$685,AG71)))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971" operator="containsText" id="{5DF000CE-BCED-4862-8A99-821CDC7C0730}">
            <xm:f>NOT(ISERROR(SEARCH($AN$684,AG71)))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972" operator="containsText" id="{4174D00D-0A9B-48BF-B6DD-90412747AEB7}">
            <xm:f>NOT(ISERROR(SEARCH($AN$683,AG71)))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973" operator="containsText" id="{382E11F0-BB51-4383-9A74-271DE7D3B2A3}">
            <xm:f>NOT(ISERROR(SEARCH($AN$682,AG71)))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AG71 AG73:AG75</xm:sqref>
        </x14:conditionalFormatting>
        <x14:conditionalFormatting xmlns:xm="http://schemas.microsoft.com/office/excel/2006/main">
          <x14:cfRule type="containsText" priority="12949" operator="containsText" id="{5109AA20-5230-40DD-ADE4-6FCE83EC84F8}">
            <xm:f>NOT(ISERROR(SEARCH($AN$687,AG71)))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2978" operator="containsText" id="{77AD7643-8A0A-40F5-A018-400207434D15}">
            <xm:f>NOT(ISERROR(SEARCH($AN$681,AG71)))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979" operator="containsText" id="{06A90873-2463-4575-B805-1ECFED567AFF}">
            <xm:f>NOT(ISERROR(SEARCH($AN$680,AG71)))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980" operator="containsText" id="{9D802681-F777-4976-BFB3-A8024FA5D1A4}">
            <xm:f>NOT(ISERROR(SEARCH($AN$678,AG71)))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981" operator="containsText" id="{AA67BF8F-1FE8-4766-8381-CFFA848A5B33}">
            <xm:f>NOT(ISERROR(SEARCH($AN$679,AG71)))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AG71:AG74</xm:sqref>
        </x14:conditionalFormatting>
        <x14:conditionalFormatting xmlns:xm="http://schemas.microsoft.com/office/excel/2006/main">
          <x14:cfRule type="containsText" priority="12864" operator="containsText" id="{EDDA38FA-1041-4413-9524-79ECA46DEE94}">
            <xm:f>NOT(ISERROR(SEARCH($AN$687,AG72)))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2865" operator="containsText" id="{1D1917E7-843F-4078-9214-48291DB65200}">
            <xm:f>NOT(ISERROR(SEARCH($AN$688,AG72)))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866" operator="containsText" id="{4A18B184-7CA7-4898-82AA-02251DA4D766}">
            <xm:f>NOT(ISERROR(SEARCH($AN$686,AG72)))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867" operator="containsText" id="{B14420C0-21A2-4F36-AE37-53FC1D252F05}">
            <xm:f>NOT(ISERROR(SEARCH($AN$685,AG72)))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868" operator="containsText" id="{DB461BAC-F2E6-44C9-9E71-748D27495AAF}">
            <xm:f>NOT(ISERROR(SEARCH($AN$684,AG72)))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869" operator="containsText" id="{F88B0E30-D256-47BF-B3AE-85717DEB6C82}">
            <xm:f>NOT(ISERROR(SEARCH($AN$683,AG72)))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870" operator="containsText" id="{0EFF6F19-D333-4C7A-9F0D-0B264AF15236}">
            <xm:f>NOT(ISERROR(SEARCH($AN$682,AG72)))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AG72</xm:sqref>
        </x14:conditionalFormatting>
        <x14:conditionalFormatting xmlns:xm="http://schemas.microsoft.com/office/excel/2006/main">
          <x14:cfRule type="containsText" priority="12955" operator="containsText" id="{11B79132-F154-4EC6-B8E6-C3FC74133F54}">
            <xm:f>NOT(ISERROR(SEARCH($AN$682,AG72)))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956" operator="containsText" id="{C0DC08B5-798F-4E33-B515-4688A336A460}">
            <xm:f>NOT(ISERROR(SEARCH($AN$681,AG72)))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957" operator="containsText" id="{CB74D45D-B9F6-43DF-A47C-8523BAB8D62C}">
            <xm:f>NOT(ISERROR(SEARCH($AN$680,AG72)))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958" operator="containsText" id="{F38E9E37-549C-4475-874E-8F680173EFF9}">
            <xm:f>NOT(ISERROR(SEARCH($AN$678,AG72)))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959" operator="containsText" id="{6EC6AFA1-FE95-421D-8362-691DF0582854}">
            <xm:f>NOT(ISERROR(SEARCH($AN$679,AG72)))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AG72:AG73</xm:sqref>
        </x14:conditionalFormatting>
        <x14:conditionalFormatting xmlns:xm="http://schemas.microsoft.com/office/excel/2006/main">
          <x14:cfRule type="containsText" priority="12950" operator="containsText" id="{C618A11B-A250-4FBD-9099-AA896448007E}">
            <xm:f>NOT(ISERROR(SEARCH($AN$688,AG72)))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951" operator="containsText" id="{AE10125A-013A-4911-970C-2E83D8260903}">
            <xm:f>NOT(ISERROR(SEARCH($AN$686,AG72)))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952" operator="containsText" id="{9F8FFB09-6590-4201-ACE7-1FB31B32AF64}">
            <xm:f>NOT(ISERROR(SEARCH($AN$685,AG72)))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953" operator="containsText" id="{4A018B2C-DF16-4DBD-9CBB-E7215A4551F9}">
            <xm:f>NOT(ISERROR(SEARCH($AN$684,AG72)))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954" operator="containsText" id="{1D7180BA-2937-47B6-A2A5-69FB1787FBF7}">
            <xm:f>NOT(ISERROR(SEARCH($AN$683,AG72)))</xm:f>
            <xm:f>$AN$683</xm:f>
            <x14:dxf>
              <fill>
                <patternFill>
                  <bgColor rgb="FF0070C0"/>
                </patternFill>
              </fill>
            </x14:dxf>
          </x14:cfRule>
          <xm:sqref>AG72:AG74</xm:sqref>
        </x14:conditionalFormatting>
        <x14:conditionalFormatting xmlns:xm="http://schemas.microsoft.com/office/excel/2006/main">
          <x14:cfRule type="containsText" priority="12960" operator="containsText" id="{D9FDF3CE-A08A-4C84-ABB0-B74A4EAFB75E}">
            <xm:f>NOT(ISERROR(SEARCH($AN$682,AG73)))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974" operator="containsText" id="{CF876472-FDC7-4507-9280-FFEFE256919B}">
            <xm:f>NOT(ISERROR(SEARCH($AN$681,AG73)))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975" operator="containsText" id="{7DDFE110-704B-4026-8BB4-3E80995B5E26}">
            <xm:f>NOT(ISERROR(SEARCH($AN$680,AG73)))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976" operator="containsText" id="{018BCF3E-3A3E-4158-89D9-93314B701F5C}">
            <xm:f>NOT(ISERROR(SEARCH($AN$678,AG73)))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977" operator="containsText" id="{4FD9844E-E3B0-4B70-A98C-411CA550ACBD}">
            <xm:f>NOT(ISERROR(SEARCH($AN$679,AG73)))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AG73:AG74</xm:sqref>
        </x14:conditionalFormatting>
        <x14:conditionalFormatting xmlns:xm="http://schemas.microsoft.com/office/excel/2006/main">
          <x14:cfRule type="containsText" priority="12961" operator="containsText" id="{9EE75694-AB5E-4363-9262-882F54E58F69}">
            <xm:f>NOT(ISERROR(SEARCH($AN$690,AG73)))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2962" operator="containsText" id="{7BBC4EEE-F719-4D92-9B96-DA0F789B6BD6}">
            <xm:f>NOT(ISERROR(SEARCH($AN$704,AG73)))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2963" operator="containsText" id="{D26D2C67-C76A-4670-9A57-E30595E95101}">
            <xm:f>NOT(ISERROR(SEARCH($AN$693,AG73)))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2964" operator="containsText" id="{413CA4BC-02DC-4B00-AD03-B4BE098CA4B4}">
            <xm:f>NOT(ISERROR(SEARCH($AN$692,AG73)))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2965" operator="containsText" id="{2556AA76-EEB1-4736-A8CC-64378117758B}">
            <xm:f>NOT(ISERROR(SEARCH($AN$691,AG73)))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2966" operator="containsText" id="{61D59C31-D088-4DAA-B2E4-415BA72ECDBA}">
            <xm:f>NOT(ISERROR(SEARCH($AN$689,AG73)))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2967" operator="containsText" id="{48B2AC4B-AC95-4CD8-ABAF-AC5DA0A25EA6}">
            <xm:f>NOT(ISERROR(SEARCH($AN$687,AG73)))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AG73:AG75</xm:sqref>
        </x14:conditionalFormatting>
        <x14:conditionalFormatting xmlns:xm="http://schemas.microsoft.com/office/excel/2006/main">
          <x14:cfRule type="containsText" priority="12982" operator="containsText" id="{10A7FEB6-6D8C-4BF5-AEC9-6AAF967C0973}">
            <xm:f>NOT(ISERROR(SEARCH($AN$690,AG75)))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2983" operator="containsText" id="{6FEF3B01-F0C7-4855-8ED0-DDF267013B1A}">
            <xm:f>NOT(ISERROR(SEARCH($AN$704,AG75)))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2984" operator="containsText" id="{DCEAA5DF-AE12-42A5-88E4-E1C6097D7D61}">
            <xm:f>NOT(ISERROR(SEARCH($AN$693,AG75)))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2985" operator="containsText" id="{E6E4E05B-FA9B-480A-91D4-7F05E56D42E2}">
            <xm:f>NOT(ISERROR(SEARCH($AN$692,AG75)))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2986" operator="containsText" id="{28196E66-8CBD-4F84-AEAA-50433F57F28D}">
            <xm:f>NOT(ISERROR(SEARCH($AN$691,AG75)))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2987" operator="containsText" id="{1ADCD83F-1523-4778-A84B-01B7C1AAF51F}">
            <xm:f>NOT(ISERROR(SEARCH($AN$689,AG75)))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2988" operator="containsText" id="{8F51309F-8B1B-4F4E-BD4F-04318DB0E452}">
            <xm:f>NOT(ISERROR(SEARCH($AN$687,AG75)))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2989" operator="containsText" id="{ED5CE8AE-4A4E-4D15-8F37-7EE4AF59CB7A}">
            <xm:f>NOT(ISERROR(SEARCH($AN$688,AG75)))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990" operator="containsText" id="{920C6C0A-E5FB-454B-A3F5-FDA3D338385F}">
            <xm:f>NOT(ISERROR(SEARCH($AN$686,AG75)))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991" operator="containsText" id="{EEB3172D-69E1-45D2-9D0D-F607198E357C}">
            <xm:f>NOT(ISERROR(SEARCH($AN$685,AG75)))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992" operator="containsText" id="{53A020DB-A669-4320-9C1D-6BC0523D8BBC}">
            <xm:f>NOT(ISERROR(SEARCH($AN$684,AG75)))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993" operator="containsText" id="{81863005-2007-4380-98A5-870FA6E23860}">
            <xm:f>NOT(ISERROR(SEARCH($AN$683,AG75)))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994" operator="containsText" id="{2007190F-1A51-46EC-B120-DAC97EA89AEA}">
            <xm:f>NOT(ISERROR(SEARCH($AN$682,AG75)))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995" operator="containsText" id="{23BE9A49-C0D6-4A4F-BB8E-798F0FB52AFB}">
            <xm:f>NOT(ISERROR(SEARCH($AN$681,AG75)))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996" operator="containsText" id="{D4D974A2-0874-4C16-A9B5-5A15065C5D6C}">
            <xm:f>NOT(ISERROR(SEARCH($AN$680,AG75)))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997" operator="containsText" id="{FA728683-19FF-4EB5-AADF-02D13499732F}">
            <xm:f>NOT(ISERROR(SEARCH($AN$678,AG75)))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998" operator="containsText" id="{8AD51FF8-A5E9-41F7-8C15-6FD4E1C8047B}">
            <xm:f>NOT(ISERROR(SEARCH($AN$679,AG75)))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2999" operator="containsText" id="{A08814EA-0C55-4008-8579-3BFA3EE56367}">
            <xm:f>NOT(ISERROR(SEARCH($AN$681,AG75)))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000" operator="containsText" id="{5039E2B2-EA30-4726-AC20-B3049CA83ECB}">
            <xm:f>NOT(ISERROR(SEARCH($AN$680,AG75)))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001" operator="containsText" id="{B98B1500-3CBC-435A-9C6D-442034065C2F}">
            <xm:f>NOT(ISERROR(SEARCH($AN$678,AG75)))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002" operator="containsText" id="{E13FB305-A4A4-47BA-8702-9A0AB025F6B2}">
            <xm:f>NOT(ISERROR(SEARCH($AN$679,AG75)))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AG75</xm:sqref>
        </x14:conditionalFormatting>
        <x14:conditionalFormatting xmlns:xm="http://schemas.microsoft.com/office/excel/2006/main">
          <x14:cfRule type="containsText" priority="12619" operator="containsText" id="{D72797EF-6826-4F9C-B133-F076BAAF8739}">
            <xm:f>NOT(ISERROR(SEARCH($AN$688,AG167)))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620" operator="containsText" id="{74E737E2-F56A-469F-B3C8-37AB7190E0AC}">
            <xm:f>NOT(ISERROR(SEARCH($AN$686,AG167)))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621" operator="containsText" id="{58B8BAE5-2492-40D8-B9EF-9ADEADDA3669}">
            <xm:f>NOT(ISERROR(SEARCH($AN$685,AG167)))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622" operator="containsText" id="{DFBEE651-F86B-463F-81AC-FF8E42E63D82}">
            <xm:f>NOT(ISERROR(SEARCH($AN$684,AG167)))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623" operator="containsText" id="{0AEC6BE9-EBB4-4C87-8B13-A92EA0C0D5F3}">
            <xm:f>NOT(ISERROR(SEARCH($AN$683,AG167)))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624" operator="containsText" id="{81973061-2E32-49E5-97F6-1CDA6EACE718}">
            <xm:f>NOT(ISERROR(SEARCH($AN$682,AG167)))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629" operator="containsText" id="{8AB57EA1-B087-409B-A15B-B8D3817D668C}">
            <xm:f>NOT(ISERROR(SEARCH($AN$681,AG167)))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630" operator="containsText" id="{749854B0-934C-49E8-A2EA-7F0771B79814}">
            <xm:f>NOT(ISERROR(SEARCH($AN$680,AG167)))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631" operator="containsText" id="{7F0B9B90-978D-43A7-92CA-0BA91428F953}">
            <xm:f>NOT(ISERROR(SEARCH($AN$678,AG167)))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632" operator="containsText" id="{7A8A927C-3CD9-4FB8-AE24-90497702B8C8}">
            <xm:f>NOT(ISERROR(SEARCH($AN$679,AG167)))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AG167</xm:sqref>
        </x14:conditionalFormatting>
        <x14:conditionalFormatting xmlns:xm="http://schemas.microsoft.com/office/excel/2006/main">
          <x14:cfRule type="containsText" priority="4904" operator="containsText" id="{BA719BFA-5E26-42B4-B5C6-EFF9D6EF1494}">
            <xm:f>NOT(ISERROR(SEARCH($AN$687,AG168)))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905" operator="containsText" id="{5F8898F0-744C-413A-B45B-1891FDF16DF7}">
            <xm:f>NOT(ISERROR(SEARCH($AN$688,AG168)))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906" operator="containsText" id="{DCB9CBD1-D132-4E53-848E-C469EEDDBB07}">
            <xm:f>NOT(ISERROR(SEARCH($AN$686,AG168)))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907" operator="containsText" id="{04785E34-8D24-4B6F-B5C7-1A480D1BAE3B}">
            <xm:f>NOT(ISERROR(SEARCH($AN$685,AG168)))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908" operator="containsText" id="{1A5D2A23-5B8D-4A00-ADC6-DDF69F40EAA3}">
            <xm:f>NOT(ISERROR(SEARCH($AN$684,AG168)))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909" operator="containsText" id="{FB95F6ED-3FE5-4480-83BA-331D28E52E40}">
            <xm:f>NOT(ISERROR(SEARCH($AN$683,AG168)))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910" operator="containsText" id="{B657AD64-2403-4D3B-9832-D192A76FE001}">
            <xm:f>NOT(ISERROR(SEARCH($AN$682,AG168)))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AG168</xm:sqref>
        </x14:conditionalFormatting>
        <x14:conditionalFormatting xmlns:xm="http://schemas.microsoft.com/office/excel/2006/main">
          <x14:cfRule type="containsText" priority="4981" operator="containsText" id="{638BE23E-F857-42A2-AF5F-707295D7622D}">
            <xm:f>NOT(ISERROR(SEARCH($AN$682,AG168)))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982" operator="containsText" id="{69CCFF75-5931-42DE-A032-A589E63F167D}">
            <xm:f>NOT(ISERROR(SEARCH($AN$681,AG168)))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983" operator="containsText" id="{EA25506C-F366-43C3-8817-4A3F89C6F1D8}">
            <xm:f>NOT(ISERROR(SEARCH($AN$680,AG168)))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984" operator="containsText" id="{3735DBF9-E8A4-4D74-9279-66410B87AEDF}">
            <xm:f>NOT(ISERROR(SEARCH($AN$678,AG168)))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985" operator="containsText" id="{8FDAA445-130F-4CE9-A52B-A86156CE1F8D}">
            <xm:f>NOT(ISERROR(SEARCH($AN$679,AG168)))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AG168:AG169</xm:sqref>
        </x14:conditionalFormatting>
        <x14:conditionalFormatting xmlns:xm="http://schemas.microsoft.com/office/excel/2006/main">
          <x14:cfRule type="containsText" priority="4975" operator="containsText" id="{35FCC9DE-0B89-4391-9EA6-39F05E7C1BC9}">
            <xm:f>NOT(ISERROR(SEARCH($AN$687,AG168)))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976" operator="containsText" id="{9E612714-7FC3-4EE5-9A05-F781F51E746F}">
            <xm:f>NOT(ISERROR(SEARCH($AN$688,AG168)))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977" operator="containsText" id="{89EFD64A-F9CB-495E-818E-9B0B145214E4}">
            <xm:f>NOT(ISERROR(SEARCH($AN$686,AG168)))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978" operator="containsText" id="{82553343-221E-4795-94EA-7AFCB99930A8}">
            <xm:f>NOT(ISERROR(SEARCH($AN$685,AG168)))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979" operator="containsText" id="{F59E8154-6792-4961-8ADA-A5B7BC058F1E}">
            <xm:f>NOT(ISERROR(SEARCH($AN$684,AG168)))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980" operator="containsText" id="{FB402AF0-62D6-424B-B144-7C97D46914E2}">
            <xm:f>NOT(ISERROR(SEARCH($AN$683,AG168)))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004" operator="containsText" id="{0732622A-8CF5-4CD1-A9D3-4C763A6A85F6}">
            <xm:f>NOT(ISERROR(SEARCH($AN$681,AG168)))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005" operator="containsText" id="{73F7A16B-68D9-4B29-85B9-DAE5CFE81FE9}">
            <xm:f>NOT(ISERROR(SEARCH($AN$680,AG168)))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006" operator="containsText" id="{8C8A3060-3FDD-46F4-B7A4-55569C4725DB}">
            <xm:f>NOT(ISERROR(SEARCH($AN$678,AG168)))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007" operator="containsText" id="{DE55A1D6-D077-47FD-A0C9-670255542EB3}">
            <xm:f>NOT(ISERROR(SEARCH($AN$679,AG168)))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AG168:AG170</xm:sqref>
        </x14:conditionalFormatting>
        <x14:conditionalFormatting xmlns:xm="http://schemas.microsoft.com/office/excel/2006/main">
          <x14:cfRule type="containsText" priority="4986" operator="containsText" id="{DB1F3BED-AA44-490F-A505-7BA19187AB01}">
            <xm:f>NOT(ISERROR(SEARCH($AN$682,AG169)))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000" operator="containsText" id="{A926BE82-2496-4174-95D5-76D1C156811F}">
            <xm:f>NOT(ISERROR(SEARCH($AN$681,AG169)))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001" operator="containsText" id="{3D0EC792-6E88-43AB-876B-627B7DB5AA9E}">
            <xm:f>NOT(ISERROR(SEARCH($AN$680,AG169)))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002" operator="containsText" id="{AB0FB767-6F70-4DAE-A3DC-C7E44A9439C4}">
            <xm:f>NOT(ISERROR(SEARCH($AN$678,AG169)))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003" operator="containsText" id="{AA375326-39B7-43F2-A6E3-EFF8F450055C}">
            <xm:f>NOT(ISERROR(SEARCH($AN$679,AG169)))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AG169:AG170</xm:sqref>
        </x14:conditionalFormatting>
        <x14:conditionalFormatting xmlns:xm="http://schemas.microsoft.com/office/excel/2006/main">
          <x14:cfRule type="containsText" priority="4987" operator="containsText" id="{7D871671-B5BD-40ED-AD43-48F47E8427CE}">
            <xm:f>NOT(ISERROR(SEARCH($AN$690,AG169)))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988" operator="containsText" id="{B8ABDB68-F7B8-4063-98EF-0F2D67BC1685}">
            <xm:f>NOT(ISERROR(SEARCH($AN$704,AG169)))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989" operator="containsText" id="{CC3791BF-3D4E-4821-BB4F-C7CD9E93EB6B}">
            <xm:f>NOT(ISERROR(SEARCH($AN$693,AG169)))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990" operator="containsText" id="{F913D336-8968-46F0-AB04-F9ACAB9160AA}">
            <xm:f>NOT(ISERROR(SEARCH($AN$692,AG169)))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991" operator="containsText" id="{97567F7C-888B-4E05-91AC-0CE9E1F1F218}">
            <xm:f>NOT(ISERROR(SEARCH($AN$691,AG169)))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992" operator="containsText" id="{C33B16BE-0BDB-43E5-8C29-7B4A2958B99F}">
            <xm:f>NOT(ISERROR(SEARCH($AN$689,AG169)))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993" operator="containsText" id="{0A9D1F7D-8096-41B0-8A8E-4C9D6CCAF643}">
            <xm:f>NOT(ISERROR(SEARCH($AN$687,AG169)))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994" operator="containsText" id="{A407CF9A-A8CE-49BB-B6B7-09E056740BD4}">
            <xm:f>NOT(ISERROR(SEARCH($AN$688,AG169)))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995" operator="containsText" id="{8E0A8BFB-038E-4F87-A6DA-34EE37937AEA}">
            <xm:f>NOT(ISERROR(SEARCH($AN$686,AG169)))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996" operator="containsText" id="{8D0D67D5-835F-4DB5-B1BF-6943E786E17F}">
            <xm:f>NOT(ISERROR(SEARCH($AN$685,AG169)))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997" operator="containsText" id="{FA9DBD39-E550-432F-8E8E-A850E686A8D3}">
            <xm:f>NOT(ISERROR(SEARCH($AN$684,AG169)))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998" operator="containsText" id="{6EC94FB4-0ECE-466C-9F58-00356648219F}">
            <xm:f>NOT(ISERROR(SEARCH($AN$683,AG169)))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999" operator="containsText" id="{010C8C29-2BF5-44D1-BCAE-D37D4230E1B8}">
            <xm:f>NOT(ISERROR(SEARCH($AN$682,AG169)))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AG169:AG171</xm:sqref>
        </x14:conditionalFormatting>
        <x14:conditionalFormatting xmlns:xm="http://schemas.microsoft.com/office/excel/2006/main">
          <x14:cfRule type="containsText" priority="5008" operator="containsText" id="{E951EE76-954A-4B81-8461-DFD5B5D827C0}">
            <xm:f>NOT(ISERROR(SEARCH($AN$690,AG171)))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009" operator="containsText" id="{71ACAA3B-62B9-41BC-969D-BFB4A0F6EB16}">
            <xm:f>NOT(ISERROR(SEARCH($AN$704,AG171)))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010" operator="containsText" id="{DCC01535-1E24-4F5D-BAD5-FB7CADE77E0B}">
            <xm:f>NOT(ISERROR(SEARCH($AN$693,AG171)))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011" operator="containsText" id="{2F3C3057-021E-45EE-9F7A-44712D44B2E0}">
            <xm:f>NOT(ISERROR(SEARCH($AN$692,AG171)))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012" operator="containsText" id="{F8362DF2-15B3-4389-A37E-4C430594EF38}">
            <xm:f>NOT(ISERROR(SEARCH($AN$691,AG171)))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013" operator="containsText" id="{089DA698-039D-47DE-AA4D-1EE7880E32F8}">
            <xm:f>NOT(ISERROR(SEARCH($AN$689,AG171)))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014" operator="containsText" id="{584CD1DE-1B68-4189-87E7-76714B5BAAFA}">
            <xm:f>NOT(ISERROR(SEARCH($AN$687,AG171)))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015" operator="containsText" id="{F02FB2F2-FED2-450B-A397-4A326D63BEDD}">
            <xm:f>NOT(ISERROR(SEARCH($AN$688,AG171)))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016" operator="containsText" id="{C213A216-3F87-45C3-A9B1-1EACBA1B3385}">
            <xm:f>NOT(ISERROR(SEARCH($AN$686,AG171)))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017" operator="containsText" id="{7BBFB985-7703-4424-9DB7-94E1D1DCC256}">
            <xm:f>NOT(ISERROR(SEARCH($AN$685,AG171)))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018" operator="containsText" id="{8978A109-2832-4264-9B11-5A59205EE6E6}">
            <xm:f>NOT(ISERROR(SEARCH($AN$684,AG171)))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019" operator="containsText" id="{974BEEDE-3552-4A73-9D3E-B3AE8ACBEE53}">
            <xm:f>NOT(ISERROR(SEARCH($AN$683,AG171)))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020" operator="containsText" id="{B84C4298-3DAE-4B92-A8CD-D32F31C8560F}">
            <xm:f>NOT(ISERROR(SEARCH($AN$682,AG171)))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021" operator="containsText" id="{B64B801A-A6EE-4E64-82B3-B7383332BAE2}">
            <xm:f>NOT(ISERROR(SEARCH($AN$681,AG171)))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022" operator="containsText" id="{94AF3A67-3D42-42EB-9FB6-F3C329975116}">
            <xm:f>NOT(ISERROR(SEARCH($AN$680,AG171)))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023" operator="containsText" id="{DDDE3217-B8F6-4665-A506-E496766F706F}">
            <xm:f>NOT(ISERROR(SEARCH($AN$678,AG171)))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024" operator="containsText" id="{B5A667A3-F9D3-43BA-9C14-529AFF1C7223}">
            <xm:f>NOT(ISERROR(SEARCH($AN$679,AG171)))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025" operator="containsText" id="{3EB7D687-DB54-412F-8452-FE4D6F990367}">
            <xm:f>NOT(ISERROR(SEARCH($AN$681,AG171)))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026" operator="containsText" id="{729D6177-478A-41F7-8952-F872590A2619}">
            <xm:f>NOT(ISERROR(SEARCH($AN$680,AG171)))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027" operator="containsText" id="{5858FD7C-5F09-40D8-A817-75864D802475}">
            <xm:f>NOT(ISERROR(SEARCH($AN$678,AG171)))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028" operator="containsText" id="{A0627271-D813-4F16-92B6-941AEE07B183}">
            <xm:f>NOT(ISERROR(SEARCH($AN$679,AG171)))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AG171</xm:sqref>
        </x14:conditionalFormatting>
        <x14:conditionalFormatting xmlns:xm="http://schemas.microsoft.com/office/excel/2006/main">
          <x14:cfRule type="containsText" priority="12270" operator="containsText" id="{5B3E4AD3-14C7-4122-9809-DA7CAEB9E993}">
            <xm:f>NOT(ISERROR(SEARCH($AN$688,AG263)))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271" operator="containsText" id="{D83F2967-ED80-4A67-86F1-47EBF0EDA599}">
            <xm:f>NOT(ISERROR(SEARCH($AN$686,AG263)))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272" operator="containsText" id="{76E93CC7-5E5C-4D79-809F-A37694D315DE}">
            <xm:f>NOT(ISERROR(SEARCH($AN$685,AG263)))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273" operator="containsText" id="{31B470EB-ACE6-470E-9625-284BACEEEEFE}">
            <xm:f>NOT(ISERROR(SEARCH($AN$684,AG263)))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274" operator="containsText" id="{64570AE4-0DD5-4BE5-968F-A937CA3EDA0E}">
            <xm:f>NOT(ISERROR(SEARCH($AN$683,AG263)))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275" operator="containsText" id="{8A1B0A3A-2030-4159-B7CD-D544E1AA8BEB}">
            <xm:f>NOT(ISERROR(SEARCH($AN$682,AG263)))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280" operator="containsText" id="{68CA9D5C-DC9D-440B-93FE-EEF3A5723C98}">
            <xm:f>NOT(ISERROR(SEARCH($AN$681,AG263)))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281" operator="containsText" id="{773E37EB-3EE5-4504-B832-D648B1CA3A7A}">
            <xm:f>NOT(ISERROR(SEARCH($AN$680,AG263)))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282" operator="containsText" id="{D6D4CCCB-10D7-4AA0-AF07-0FE37B3CB83A}">
            <xm:f>NOT(ISERROR(SEARCH($AN$678,AG263)))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283" operator="containsText" id="{389F2898-4957-4319-8F3B-C0B0C0F14EAF}">
            <xm:f>NOT(ISERROR(SEARCH($AN$679,AG263)))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AG263</xm:sqref>
        </x14:conditionalFormatting>
        <x14:conditionalFormatting xmlns:xm="http://schemas.microsoft.com/office/excel/2006/main">
          <x14:cfRule type="containsText" priority="4587" operator="containsText" id="{CAC80034-E116-48DF-AF1D-837F27485E61}">
            <xm:f>NOT(ISERROR(SEARCH($AN$687,AG264)))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588" operator="containsText" id="{00C945B2-5B81-4E6A-9DD5-0CCE39DD036D}">
            <xm:f>NOT(ISERROR(SEARCH($AN$688,AG264)))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589" operator="containsText" id="{12B9B8C7-89E0-4124-AC1D-6358DF695D7E}">
            <xm:f>NOT(ISERROR(SEARCH($AN$686,AG264)))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590" operator="containsText" id="{95AD3EF1-904A-495D-8FCD-B9379322526E}">
            <xm:f>NOT(ISERROR(SEARCH($AN$685,AG264)))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591" operator="containsText" id="{4B8FD064-B11E-4F77-9531-3E80D8B86AD9}">
            <xm:f>NOT(ISERROR(SEARCH($AN$684,AG264)))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592" operator="containsText" id="{8EEDD533-1041-4E2F-823F-F2AF915FD86F}">
            <xm:f>NOT(ISERROR(SEARCH($AN$683,AG264)))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593" operator="containsText" id="{B1AEA023-28FA-4B9C-8275-DA735C00BB0E}">
            <xm:f>NOT(ISERROR(SEARCH($AN$682,AG264)))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AG264</xm:sqref>
        </x14:conditionalFormatting>
        <x14:conditionalFormatting xmlns:xm="http://schemas.microsoft.com/office/excel/2006/main">
          <x14:cfRule type="containsText" priority="4664" operator="containsText" id="{868D47EC-2D1B-4AAB-ADBC-01D61E451654}">
            <xm:f>NOT(ISERROR(SEARCH($AN$682,AG264)))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665" operator="containsText" id="{ADA15048-96D8-4664-8ABC-F2C6C81B5C1A}">
            <xm:f>NOT(ISERROR(SEARCH($AN$681,AG264)))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666" operator="containsText" id="{0DA4F70D-7B64-4552-8F63-9ED0C2DDDB96}">
            <xm:f>NOT(ISERROR(SEARCH($AN$680,AG264)))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667" operator="containsText" id="{78603664-56F1-48D8-BEDD-05769DF52ABA}">
            <xm:f>NOT(ISERROR(SEARCH($AN$678,AG264)))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668" operator="containsText" id="{20EC44E7-FC5C-4D4D-A17A-B67875B3AF19}">
            <xm:f>NOT(ISERROR(SEARCH($AN$679,AG264)))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AG264:AG265</xm:sqref>
        </x14:conditionalFormatting>
        <x14:conditionalFormatting xmlns:xm="http://schemas.microsoft.com/office/excel/2006/main">
          <x14:cfRule type="containsText" priority="4658" operator="containsText" id="{EA3BF991-C639-4F3A-B875-3C6947448A10}">
            <xm:f>NOT(ISERROR(SEARCH($AN$687,AG264)))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659" operator="containsText" id="{ACD4B90F-CC09-4F6B-97D5-4A44692A8572}">
            <xm:f>NOT(ISERROR(SEARCH($AN$688,AG264)))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660" operator="containsText" id="{A9A31383-EF11-4676-BE7B-29DEC007B257}">
            <xm:f>NOT(ISERROR(SEARCH($AN$686,AG264)))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661" operator="containsText" id="{1C363F55-7BA2-4461-B9AA-5D1E96375B1A}">
            <xm:f>NOT(ISERROR(SEARCH($AN$685,AG264)))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662" operator="containsText" id="{C5330535-7518-43E0-9AB7-B1BFB48C73CA}">
            <xm:f>NOT(ISERROR(SEARCH($AN$684,AG264)))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663" operator="containsText" id="{4A5DB672-1FBA-433D-A66B-F8F9E6CF6BF8}">
            <xm:f>NOT(ISERROR(SEARCH($AN$683,AG264)))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687" operator="containsText" id="{7A210016-2750-4B5E-90C5-440AFD00341A}">
            <xm:f>NOT(ISERROR(SEARCH($AN$681,AG264)))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688" operator="containsText" id="{1BC187B1-E217-46D0-889A-834B496B0175}">
            <xm:f>NOT(ISERROR(SEARCH($AN$680,AG264)))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689" operator="containsText" id="{300146AF-D3C2-4988-9E55-7E393F3F0537}">
            <xm:f>NOT(ISERROR(SEARCH($AN$678,AG264)))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690" operator="containsText" id="{8FE5C54E-EC96-4661-8F16-1B87908D3A59}">
            <xm:f>NOT(ISERROR(SEARCH($AN$679,AG264)))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AG264:AG266</xm:sqref>
        </x14:conditionalFormatting>
        <x14:conditionalFormatting xmlns:xm="http://schemas.microsoft.com/office/excel/2006/main">
          <x14:cfRule type="containsText" priority="4669" operator="containsText" id="{BDCDD8B7-0D22-4DEC-A6EA-F4FB579448C1}">
            <xm:f>NOT(ISERROR(SEARCH($AN$682,AG265)))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683" operator="containsText" id="{38E8C1CD-C588-4840-B538-5C36D43D92CA}">
            <xm:f>NOT(ISERROR(SEARCH($AN$681,AG265)))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684" operator="containsText" id="{60E59D3F-6076-413B-90DB-592708F89E79}">
            <xm:f>NOT(ISERROR(SEARCH($AN$680,AG265)))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685" operator="containsText" id="{8D3DCF99-A06E-4E34-BE71-C41B035C3955}">
            <xm:f>NOT(ISERROR(SEARCH($AN$678,AG265)))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686" operator="containsText" id="{5C229E94-47B2-4AA6-9F40-BB06B9E7E714}">
            <xm:f>NOT(ISERROR(SEARCH($AN$679,AG265)))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AG265:AG266</xm:sqref>
        </x14:conditionalFormatting>
        <x14:conditionalFormatting xmlns:xm="http://schemas.microsoft.com/office/excel/2006/main">
          <x14:cfRule type="containsText" priority="4670" operator="containsText" id="{7CF2B03A-5252-4D73-AE30-4EFEF908A3F1}">
            <xm:f>NOT(ISERROR(SEARCH($AN$690,AG265)))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671" operator="containsText" id="{C9C6513C-98AC-4E93-B479-33149B727E97}">
            <xm:f>NOT(ISERROR(SEARCH($AN$704,AG265)))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672" operator="containsText" id="{B6103B2B-F06D-4CB0-81C9-111389DC760E}">
            <xm:f>NOT(ISERROR(SEARCH($AN$693,AG265)))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673" operator="containsText" id="{7F10891D-8713-42A9-8526-6F1B7131E8A6}">
            <xm:f>NOT(ISERROR(SEARCH($AN$692,AG265)))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674" operator="containsText" id="{644B4FAD-60AA-4166-989C-4584BC097269}">
            <xm:f>NOT(ISERROR(SEARCH($AN$691,AG265)))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675" operator="containsText" id="{8B7B7BBF-47C7-47F3-8DF9-DD907F1064C4}">
            <xm:f>NOT(ISERROR(SEARCH($AN$689,AG265)))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676" operator="containsText" id="{A3949365-2884-4F5C-ADB8-8261F6F4E3F2}">
            <xm:f>NOT(ISERROR(SEARCH($AN$687,AG265)))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677" operator="containsText" id="{3FE40A89-1539-4230-A3F5-C40E975E9A23}">
            <xm:f>NOT(ISERROR(SEARCH($AN$688,AG265)))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678" operator="containsText" id="{BA55AF56-648C-44A3-B141-0C69BEF44C6F}">
            <xm:f>NOT(ISERROR(SEARCH($AN$686,AG265)))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679" operator="containsText" id="{A22E0CDD-5491-4043-A63B-02EB8FDAF8BF}">
            <xm:f>NOT(ISERROR(SEARCH($AN$685,AG265)))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680" operator="containsText" id="{85D705AB-122C-406D-9455-333AA480739D}">
            <xm:f>NOT(ISERROR(SEARCH($AN$684,AG265)))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681" operator="containsText" id="{1FE4208B-0E6E-4B91-8A66-013606695CD5}">
            <xm:f>NOT(ISERROR(SEARCH($AN$683,AG265)))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682" operator="containsText" id="{5900E105-7762-4445-BAFD-0C26BED5E907}">
            <xm:f>NOT(ISERROR(SEARCH($AN$682,AG265)))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AG265:AG267</xm:sqref>
        </x14:conditionalFormatting>
        <x14:conditionalFormatting xmlns:xm="http://schemas.microsoft.com/office/excel/2006/main">
          <x14:cfRule type="containsText" priority="4691" operator="containsText" id="{9A8358D5-CC4E-422E-BE96-DA9568B33085}">
            <xm:f>NOT(ISERROR(SEARCH($AN$690,AG267)))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692" operator="containsText" id="{8F9F9A7D-3D4A-4BE9-942A-10F17120F4EF}">
            <xm:f>NOT(ISERROR(SEARCH($AN$704,AG267)))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693" operator="containsText" id="{4CFA4E71-B5BA-4B2D-A066-D6084836ABAC}">
            <xm:f>NOT(ISERROR(SEARCH($AN$693,AG267)))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694" operator="containsText" id="{8AB824E8-B108-4DA5-81A8-C9DFB87333CE}">
            <xm:f>NOT(ISERROR(SEARCH($AN$692,AG267)))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695" operator="containsText" id="{4E5C790C-F5B2-4B27-81B4-0DB4D658FCDD}">
            <xm:f>NOT(ISERROR(SEARCH($AN$691,AG267)))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696" operator="containsText" id="{6DC00366-0AFD-402F-82E2-CA6CBE556143}">
            <xm:f>NOT(ISERROR(SEARCH($AN$689,AG267)))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697" operator="containsText" id="{28424551-1439-4826-BFC9-5C6ACE25969B}">
            <xm:f>NOT(ISERROR(SEARCH($AN$687,AG267)))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698" operator="containsText" id="{DA80C47A-EC7F-4709-B6D1-92C26B901424}">
            <xm:f>NOT(ISERROR(SEARCH($AN$688,AG267)))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699" operator="containsText" id="{5A6B2FFF-9CA6-4E37-BA33-BD08146870B9}">
            <xm:f>NOT(ISERROR(SEARCH($AN$686,AG267)))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700" operator="containsText" id="{3037BCDE-B233-4B67-B4C1-A3D8F86BCDD3}">
            <xm:f>NOT(ISERROR(SEARCH($AN$685,AG267)))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701" operator="containsText" id="{C01AE7CD-FB5A-473D-9EE0-C97757635E34}">
            <xm:f>NOT(ISERROR(SEARCH($AN$684,AG267)))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702" operator="containsText" id="{414A80E7-9BF7-4FF3-8824-48E5D3DB596C}">
            <xm:f>NOT(ISERROR(SEARCH($AN$683,AG267)))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703" operator="containsText" id="{354E3FF6-17DF-46D1-A8DA-6C2129B9A176}">
            <xm:f>NOT(ISERROR(SEARCH($AN$682,AG267)))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704" operator="containsText" id="{319C9F14-0A8D-40D9-9FD5-7898127ADC6F}">
            <xm:f>NOT(ISERROR(SEARCH($AN$681,AG267)))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705" operator="containsText" id="{7DAC1695-4FC9-4D5E-AEF8-1A9866A920B0}">
            <xm:f>NOT(ISERROR(SEARCH($AN$680,AG267)))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706" operator="containsText" id="{B743D7ED-98D8-4AF0-B3DC-651DFDD7140F}">
            <xm:f>NOT(ISERROR(SEARCH($AN$678,AG267)))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707" operator="containsText" id="{34B7A1A1-A104-4BBA-B1D6-E93A67A9DA19}">
            <xm:f>NOT(ISERROR(SEARCH($AN$679,AG267)))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708" operator="containsText" id="{40B90292-14D7-4A24-A953-B00A943E3809}">
            <xm:f>NOT(ISERROR(SEARCH($AN$681,AG267)))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709" operator="containsText" id="{A51DC2CC-8C63-4C1D-9774-F65BE043E167}">
            <xm:f>NOT(ISERROR(SEARCH($AN$680,AG267)))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710" operator="containsText" id="{9EC81955-8689-4BAF-B6D1-9E039A6B0A4C}">
            <xm:f>NOT(ISERROR(SEARCH($AN$678,AG267)))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711" operator="containsText" id="{00A95296-8216-47B9-9214-B38340654AC5}">
            <xm:f>NOT(ISERROR(SEARCH($AN$679,AG267)))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AG267</xm:sqref>
        </x14:conditionalFormatting>
        <x14:conditionalFormatting xmlns:xm="http://schemas.microsoft.com/office/excel/2006/main">
          <x14:cfRule type="containsText" priority="11921" operator="containsText" id="{FA17C056-D67D-4D8C-84CF-BA26759E3EEF}">
            <xm:f>NOT(ISERROR(SEARCH($AN$688,AG359)))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922" operator="containsText" id="{282AD193-5B9C-43A3-8AE5-A5DC8F144FD3}">
            <xm:f>NOT(ISERROR(SEARCH($AN$686,AG359)))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923" operator="containsText" id="{9363D910-D67E-4BA8-B2C5-09953EB5C1A9}">
            <xm:f>NOT(ISERROR(SEARCH($AN$685,AG359)))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924" operator="containsText" id="{16997C28-F909-45DF-9172-82266580CEB4}">
            <xm:f>NOT(ISERROR(SEARCH($AN$684,AG359)))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925" operator="containsText" id="{9D94EB6E-89F0-4911-ADC1-B9BD86C549EE}">
            <xm:f>NOT(ISERROR(SEARCH($AN$683,AG359)))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926" operator="containsText" id="{F534726E-87B9-4238-AF2B-F447BBD4A7F4}">
            <xm:f>NOT(ISERROR(SEARCH($AN$682,AG359)))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931" operator="containsText" id="{3A9538EB-E8C5-4287-8E3E-0C9791D09462}">
            <xm:f>NOT(ISERROR(SEARCH($AN$681,AG359)))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932" operator="containsText" id="{62E7A942-E4B0-4858-B94D-9A1D2A829A9E}">
            <xm:f>NOT(ISERROR(SEARCH($AN$680,AG359)))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933" operator="containsText" id="{671EC1C6-FA72-4E04-AFC0-B6B4C67A3BE6}">
            <xm:f>NOT(ISERROR(SEARCH($AN$678,AG359)))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934" operator="containsText" id="{B52ADF67-BD47-459A-B190-7BD4E059CABB}">
            <xm:f>NOT(ISERROR(SEARCH($AN$679,AG359)))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AG359</xm:sqref>
        </x14:conditionalFormatting>
        <x14:conditionalFormatting xmlns:xm="http://schemas.microsoft.com/office/excel/2006/main">
          <x14:cfRule type="containsText" priority="4270" operator="containsText" id="{760BF96D-CD6B-4DC2-8DBD-79A05FA60E14}">
            <xm:f>NOT(ISERROR(SEARCH($AN$687,AG360)))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271" operator="containsText" id="{FF736989-1BEC-4ED9-90BE-5D0815F49FA4}">
            <xm:f>NOT(ISERROR(SEARCH($AN$688,AG360)))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272" operator="containsText" id="{8D841674-B8A7-418E-94B7-1E6ABEA39034}">
            <xm:f>NOT(ISERROR(SEARCH($AN$686,AG360)))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273" operator="containsText" id="{A84AD36E-1173-4340-BC56-004E946C959C}">
            <xm:f>NOT(ISERROR(SEARCH($AN$685,AG360)))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274" operator="containsText" id="{AD463CE1-4D18-439C-ACD0-5040FE1E0466}">
            <xm:f>NOT(ISERROR(SEARCH($AN$684,AG360)))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275" operator="containsText" id="{5C6AF5EB-3EFB-47CB-BA35-175C328201B5}">
            <xm:f>NOT(ISERROR(SEARCH($AN$683,AG360)))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276" operator="containsText" id="{B7F55C54-1028-4FBC-B76E-3D956BF913E5}">
            <xm:f>NOT(ISERROR(SEARCH($AN$682,AG360)))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AG360</xm:sqref>
        </x14:conditionalFormatting>
        <x14:conditionalFormatting xmlns:xm="http://schemas.microsoft.com/office/excel/2006/main">
          <x14:cfRule type="containsText" priority="4347" operator="containsText" id="{7696E4D0-9101-412B-A49E-DC9076680896}">
            <xm:f>NOT(ISERROR(SEARCH($AN$682,AG360)))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348" operator="containsText" id="{82724CF6-46E7-4967-AE1B-C5EA3E3E0B17}">
            <xm:f>NOT(ISERROR(SEARCH($AN$681,AG360)))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349" operator="containsText" id="{4E394078-B6E1-40EC-BBD9-8F4CFA686A0E}">
            <xm:f>NOT(ISERROR(SEARCH($AN$680,AG360)))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350" operator="containsText" id="{4BC67B92-9E80-4AB6-B75B-E88D7B0AD410}">
            <xm:f>NOT(ISERROR(SEARCH($AN$678,AG360)))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351" operator="containsText" id="{93D4B961-F418-4705-89DF-4D0B3A7E8FE0}">
            <xm:f>NOT(ISERROR(SEARCH($AN$679,AG360)))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AG360:AG361</xm:sqref>
        </x14:conditionalFormatting>
        <x14:conditionalFormatting xmlns:xm="http://schemas.microsoft.com/office/excel/2006/main">
          <x14:cfRule type="containsText" priority="4341" operator="containsText" id="{129F959E-4654-4CF5-8D40-66227A4BA66E}">
            <xm:f>NOT(ISERROR(SEARCH($AN$687,AG360)))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342" operator="containsText" id="{CA00A27C-E779-4833-AE61-82623BFE853D}">
            <xm:f>NOT(ISERROR(SEARCH($AN$688,AG360)))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343" operator="containsText" id="{FE1B9B83-D2B8-483D-B16D-C01721F35159}">
            <xm:f>NOT(ISERROR(SEARCH($AN$686,AG360)))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344" operator="containsText" id="{667D1D25-C25C-4779-81C2-05E185BAF13C}">
            <xm:f>NOT(ISERROR(SEARCH($AN$685,AG360)))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345" operator="containsText" id="{EB8A8C34-2A11-435C-BADF-7BFCC98FE63E}">
            <xm:f>NOT(ISERROR(SEARCH($AN$684,AG360)))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346" operator="containsText" id="{46E5D5C2-253E-4513-9F07-1B378744CE32}">
            <xm:f>NOT(ISERROR(SEARCH($AN$683,AG360)))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370" operator="containsText" id="{6395C067-1F2A-4AA0-BD40-55E2F5A3C4D1}">
            <xm:f>NOT(ISERROR(SEARCH($AN$681,AG360)))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371" operator="containsText" id="{52E4AE58-8DFE-4179-9D2D-E1CD968B1350}">
            <xm:f>NOT(ISERROR(SEARCH($AN$680,AG360)))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372" operator="containsText" id="{A121250A-DA0C-41C2-8C55-50564BFCF8AE}">
            <xm:f>NOT(ISERROR(SEARCH($AN$678,AG360)))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373" operator="containsText" id="{BE2C6CE3-9F89-428C-920D-7415C7B23848}">
            <xm:f>NOT(ISERROR(SEARCH($AN$679,AG360)))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AG360:AG362</xm:sqref>
        </x14:conditionalFormatting>
        <x14:conditionalFormatting xmlns:xm="http://schemas.microsoft.com/office/excel/2006/main">
          <x14:cfRule type="containsText" priority="4352" operator="containsText" id="{CDB49FB3-1758-4430-8F89-18AA4DF34F02}">
            <xm:f>NOT(ISERROR(SEARCH($AN$682,AG361)))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366" operator="containsText" id="{B35D1541-1F6F-4217-B46E-24ACD4A5D240}">
            <xm:f>NOT(ISERROR(SEARCH($AN$681,AG361)))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367" operator="containsText" id="{36932A3B-3ECF-4087-8FE2-F2B448E159B6}">
            <xm:f>NOT(ISERROR(SEARCH($AN$680,AG361)))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368" operator="containsText" id="{791D175F-B02D-4206-9F29-224A6B44FAB7}">
            <xm:f>NOT(ISERROR(SEARCH($AN$678,AG361)))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369" operator="containsText" id="{0836EA23-4A16-43A9-B186-FED65B0D2856}">
            <xm:f>NOT(ISERROR(SEARCH($AN$679,AG361)))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AG361:AG362</xm:sqref>
        </x14:conditionalFormatting>
        <x14:conditionalFormatting xmlns:xm="http://schemas.microsoft.com/office/excel/2006/main">
          <x14:cfRule type="containsText" priority="4353" operator="containsText" id="{5E3206E0-75D1-44FA-9279-1360A2CA724D}">
            <xm:f>NOT(ISERROR(SEARCH($AN$690,AG361)))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354" operator="containsText" id="{4983470B-68E0-42F0-A003-77949FA82A87}">
            <xm:f>NOT(ISERROR(SEARCH($AN$704,AG361)))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355" operator="containsText" id="{31211CC2-0590-4CFE-A231-C3F50CB29B20}">
            <xm:f>NOT(ISERROR(SEARCH($AN$693,AG361)))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356" operator="containsText" id="{904F7630-710E-4057-B824-600CA94C3180}">
            <xm:f>NOT(ISERROR(SEARCH($AN$692,AG361)))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357" operator="containsText" id="{7C026C03-35F3-44AD-B01F-BDAAA28258CC}">
            <xm:f>NOT(ISERROR(SEARCH($AN$691,AG361)))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358" operator="containsText" id="{00D27D28-2D28-42FA-92AB-98444A6D4BC9}">
            <xm:f>NOT(ISERROR(SEARCH($AN$689,AG361)))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359" operator="containsText" id="{8652BF71-6B9A-4B30-93CE-B791C04E527E}">
            <xm:f>NOT(ISERROR(SEARCH($AN$687,AG361)))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360" operator="containsText" id="{AC7D35B1-B7BA-4205-8DA0-F2BC48922E90}">
            <xm:f>NOT(ISERROR(SEARCH($AN$688,AG361)))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361" operator="containsText" id="{7611B250-0B24-4D0E-881B-AA77C628308E}">
            <xm:f>NOT(ISERROR(SEARCH($AN$686,AG361)))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362" operator="containsText" id="{D03057A8-6BEC-4AC5-B495-AE7EA2DEFDD8}">
            <xm:f>NOT(ISERROR(SEARCH($AN$685,AG361)))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363" operator="containsText" id="{2A9EC016-E948-41CA-AFE1-4D7D66A7763B}">
            <xm:f>NOT(ISERROR(SEARCH($AN$684,AG361)))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364" operator="containsText" id="{5FBCCBC7-52B2-45C9-B21A-FBACCE5F18A4}">
            <xm:f>NOT(ISERROR(SEARCH($AN$683,AG361)))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365" operator="containsText" id="{42742A06-45E8-4920-8147-2F8A964D002F}">
            <xm:f>NOT(ISERROR(SEARCH($AN$682,AG361)))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AG361:AG363</xm:sqref>
        </x14:conditionalFormatting>
        <x14:conditionalFormatting xmlns:xm="http://schemas.microsoft.com/office/excel/2006/main">
          <x14:cfRule type="containsText" priority="4374" operator="containsText" id="{D15B1D79-E37C-4B04-9C12-78B449707897}">
            <xm:f>NOT(ISERROR(SEARCH($AN$690,AG363)))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375" operator="containsText" id="{1FDE831C-91A1-4C40-BACF-5684F46EE819}">
            <xm:f>NOT(ISERROR(SEARCH($AN$704,AG363)))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376" operator="containsText" id="{BA5E82D3-5095-499B-A666-E236EE648B47}">
            <xm:f>NOT(ISERROR(SEARCH($AN$693,AG363)))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377" operator="containsText" id="{9538DCB3-DD68-4F8C-A694-ACC129CDD077}">
            <xm:f>NOT(ISERROR(SEARCH($AN$692,AG363)))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378" operator="containsText" id="{1DD2CF8C-9D99-4CF8-9E0B-1E8E927E7C03}">
            <xm:f>NOT(ISERROR(SEARCH($AN$691,AG363)))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379" operator="containsText" id="{28225FC0-715F-4E32-97CE-F8B1D548A4B2}">
            <xm:f>NOT(ISERROR(SEARCH($AN$689,AG363)))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380" operator="containsText" id="{72704923-40F6-4E39-9308-B76408473162}">
            <xm:f>NOT(ISERROR(SEARCH($AN$687,AG363)))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381" operator="containsText" id="{3A41D857-FD6A-430C-8444-947457520754}">
            <xm:f>NOT(ISERROR(SEARCH($AN$688,AG363)))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382" operator="containsText" id="{F01E08EA-7197-481B-A04A-E27C0B2D56BC}">
            <xm:f>NOT(ISERROR(SEARCH($AN$686,AG363)))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383" operator="containsText" id="{236787AE-00F8-4D6E-BF76-963EB76C8615}">
            <xm:f>NOT(ISERROR(SEARCH($AN$685,AG363)))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384" operator="containsText" id="{54F96372-6640-4B3A-92C2-0B1111BD8C75}">
            <xm:f>NOT(ISERROR(SEARCH($AN$684,AG363)))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385" operator="containsText" id="{61CEB434-2CA9-4501-928F-9A67456D5F9F}">
            <xm:f>NOT(ISERROR(SEARCH($AN$683,AG363)))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386" operator="containsText" id="{A68AA1A5-D0A9-47F8-9F71-2EEA1A270C4E}">
            <xm:f>NOT(ISERROR(SEARCH($AN$682,AG363)))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387" operator="containsText" id="{AC06CB75-D448-4EED-B563-5D17ABF6CD4B}">
            <xm:f>NOT(ISERROR(SEARCH($AN$681,AG363)))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388" operator="containsText" id="{5F996644-CD39-4396-9E44-3ED72DE06A00}">
            <xm:f>NOT(ISERROR(SEARCH($AN$680,AG363)))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389" operator="containsText" id="{1374534D-9B79-417C-8146-DFFC66A13450}">
            <xm:f>NOT(ISERROR(SEARCH($AN$678,AG363)))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390" operator="containsText" id="{5B9F668E-E809-4F40-A3A3-9A9211FC786C}">
            <xm:f>NOT(ISERROR(SEARCH($AN$679,AG363)))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391" operator="containsText" id="{7ED54870-091A-4EAE-8B18-3D3A5B7E9D7C}">
            <xm:f>NOT(ISERROR(SEARCH($AN$681,AG363)))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392" operator="containsText" id="{A42B4EEB-AA6B-415E-BCDB-00DD22B83586}">
            <xm:f>NOT(ISERROR(SEARCH($AN$680,AG363)))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393" operator="containsText" id="{FC697A6D-66B5-4DD5-A0ED-6105BB5E7B54}">
            <xm:f>NOT(ISERROR(SEARCH($AN$678,AG363)))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394" operator="containsText" id="{984E45C5-B210-40FE-97DC-9CB37C15F5BE}">
            <xm:f>NOT(ISERROR(SEARCH($AN$679,AG363)))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AG363</xm:sqref>
        </x14:conditionalFormatting>
        <x14:conditionalFormatting xmlns:xm="http://schemas.microsoft.com/office/excel/2006/main">
          <x14:cfRule type="containsText" priority="11572" operator="containsText" id="{B627B418-8D79-4263-A48B-B0B145D18175}">
            <xm:f>NOT(ISERROR(SEARCH($AN$688,AG455)))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573" operator="containsText" id="{697DD37B-5463-4A6E-93EA-55CDD18F4563}">
            <xm:f>NOT(ISERROR(SEARCH($AN$686,AG455)))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574" operator="containsText" id="{424BF2B6-C23C-403D-AF8E-6C04C3CA918A}">
            <xm:f>NOT(ISERROR(SEARCH($AN$685,AG455)))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575" operator="containsText" id="{E9B801ED-9A2C-4B48-9EDB-46AAD3E1CE27}">
            <xm:f>NOT(ISERROR(SEARCH($AN$684,AG455)))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576" operator="containsText" id="{B69D99C0-CD8B-4259-BF42-B027B9B4A5C1}">
            <xm:f>NOT(ISERROR(SEARCH($AN$683,AG455)))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577" operator="containsText" id="{AC63EFFD-CE2C-4F44-B078-43CD9CFF886B}">
            <xm:f>NOT(ISERROR(SEARCH($AN$682,AG455)))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582" operator="containsText" id="{8ACE4FA8-DF06-4D41-AE35-DD3CBDAB1DFD}">
            <xm:f>NOT(ISERROR(SEARCH($AN$681,AG455)))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583" operator="containsText" id="{EDDDCB09-39BD-4BA2-9155-0A9178164F00}">
            <xm:f>NOT(ISERROR(SEARCH($AN$680,AG455)))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584" operator="containsText" id="{9B7DB232-F9DF-47BF-A4CE-883DB4CBDF43}">
            <xm:f>NOT(ISERROR(SEARCH($AN$678,AG455)))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585" operator="containsText" id="{C5D96299-7387-4F30-B54B-AED83EB667BE}">
            <xm:f>NOT(ISERROR(SEARCH($AN$679,AG455)))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AG455</xm:sqref>
        </x14:conditionalFormatting>
        <x14:conditionalFormatting xmlns:xm="http://schemas.microsoft.com/office/excel/2006/main">
          <x14:cfRule type="containsText" priority="3953" operator="containsText" id="{A0C685B3-E0EC-4BF1-A3A5-EC1B34274CA0}">
            <xm:f>NOT(ISERROR(SEARCH($AN$687,AG456)))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954" operator="containsText" id="{6A38EBC4-B5FA-49DD-BEEE-E996418535D8}">
            <xm:f>NOT(ISERROR(SEARCH($AN$688,AG456)))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955" operator="containsText" id="{B8924864-A459-4562-B5EA-47B56C3DCEB1}">
            <xm:f>NOT(ISERROR(SEARCH($AN$686,AG456)))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956" operator="containsText" id="{86D4E139-1175-4946-8854-28559A9F88FD}">
            <xm:f>NOT(ISERROR(SEARCH($AN$685,AG456)))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957" operator="containsText" id="{BBE75C51-9D55-4B11-BDBD-D2BFF5071217}">
            <xm:f>NOT(ISERROR(SEARCH($AN$684,AG456)))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958" operator="containsText" id="{51997A20-F7EE-409F-A9CE-91470EFFF99E}">
            <xm:f>NOT(ISERROR(SEARCH($AN$683,AG456)))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959" operator="containsText" id="{40AED180-CCAB-4806-9D48-DDFC215E9E60}">
            <xm:f>NOT(ISERROR(SEARCH($AN$682,AG456)))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AG456</xm:sqref>
        </x14:conditionalFormatting>
        <x14:conditionalFormatting xmlns:xm="http://schemas.microsoft.com/office/excel/2006/main">
          <x14:cfRule type="containsText" priority="4030" operator="containsText" id="{88F5C948-4558-4BED-BF92-9A928502DF50}">
            <xm:f>NOT(ISERROR(SEARCH($AN$682,AG456)))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031" operator="containsText" id="{83150CD6-A4E2-4D49-9841-18EE40890C59}">
            <xm:f>NOT(ISERROR(SEARCH($AN$681,AG456)))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032" operator="containsText" id="{56C03F6D-9DB4-41AC-B16A-76FDDE827473}">
            <xm:f>NOT(ISERROR(SEARCH($AN$680,AG456)))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033" operator="containsText" id="{546626D6-BA63-4920-8B88-D842D07232C4}">
            <xm:f>NOT(ISERROR(SEARCH($AN$678,AG456)))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034" operator="containsText" id="{4BBF6FB0-3B05-4CE9-84B4-9FEF425B58B0}">
            <xm:f>NOT(ISERROR(SEARCH($AN$679,AG456)))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AG456:AG457</xm:sqref>
        </x14:conditionalFormatting>
        <x14:conditionalFormatting xmlns:xm="http://schemas.microsoft.com/office/excel/2006/main">
          <x14:cfRule type="containsText" priority="4024" operator="containsText" id="{CC6C46F9-0E44-4D18-A249-F74522D51417}">
            <xm:f>NOT(ISERROR(SEARCH($AN$687,AG456)))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025" operator="containsText" id="{F3A346AF-9545-44CF-B2FA-6741C5512BAD}">
            <xm:f>NOT(ISERROR(SEARCH($AN$688,AG456)))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026" operator="containsText" id="{234BD6E7-C259-403D-861F-388176B4D087}">
            <xm:f>NOT(ISERROR(SEARCH($AN$686,AG456)))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027" operator="containsText" id="{6C54C2F4-742C-466A-9937-C2DC05662FEB}">
            <xm:f>NOT(ISERROR(SEARCH($AN$685,AG456)))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028" operator="containsText" id="{EDAE55DA-A774-47DB-9134-30451EB7605F}">
            <xm:f>NOT(ISERROR(SEARCH($AN$684,AG456)))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029" operator="containsText" id="{3A03A243-98BD-44FA-9BC9-6C76C8761DC2}">
            <xm:f>NOT(ISERROR(SEARCH($AN$683,AG456)))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053" operator="containsText" id="{9E56E491-C9C5-40FF-A24C-8807B2422420}">
            <xm:f>NOT(ISERROR(SEARCH($AN$681,AG456)))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054" operator="containsText" id="{EA9B6002-5690-40DC-87B8-190BD5342A04}">
            <xm:f>NOT(ISERROR(SEARCH($AN$680,AG456)))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055" operator="containsText" id="{A16A7BCA-7672-48B1-9371-471FDC3447FE}">
            <xm:f>NOT(ISERROR(SEARCH($AN$678,AG456)))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056" operator="containsText" id="{9303A82E-CEC2-4353-BE02-F44C7AA81A43}">
            <xm:f>NOT(ISERROR(SEARCH($AN$679,AG456)))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AG456:AG458</xm:sqref>
        </x14:conditionalFormatting>
        <x14:conditionalFormatting xmlns:xm="http://schemas.microsoft.com/office/excel/2006/main">
          <x14:cfRule type="containsText" priority="4035" operator="containsText" id="{B15C95AE-E39D-4C9B-9035-07AFF7CE4071}">
            <xm:f>NOT(ISERROR(SEARCH($AN$682,AG457)))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049" operator="containsText" id="{20726F82-3F0C-4E88-B4F8-DE0E6EF5FEA2}">
            <xm:f>NOT(ISERROR(SEARCH($AN$681,AG457)))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050" operator="containsText" id="{0DD67F6D-9E22-4630-8BF0-B266627AC9DD}">
            <xm:f>NOT(ISERROR(SEARCH($AN$680,AG457)))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051" operator="containsText" id="{984BE57A-FD8E-41AF-9253-8830611DF30F}">
            <xm:f>NOT(ISERROR(SEARCH($AN$678,AG457)))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052" operator="containsText" id="{E8A27202-F999-40A6-87E0-65A299F2BA54}">
            <xm:f>NOT(ISERROR(SEARCH($AN$679,AG457)))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AG457:AG458</xm:sqref>
        </x14:conditionalFormatting>
        <x14:conditionalFormatting xmlns:xm="http://schemas.microsoft.com/office/excel/2006/main">
          <x14:cfRule type="containsText" priority="4036" operator="containsText" id="{E062CF55-7CDD-4A90-AA47-72578D1CA231}">
            <xm:f>NOT(ISERROR(SEARCH($AN$690,AG457)))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037" operator="containsText" id="{CB67EFE1-7EED-42E2-9970-BF337809413D}">
            <xm:f>NOT(ISERROR(SEARCH($AN$704,AG457)))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038" operator="containsText" id="{885313BE-6BBA-41E9-9ACA-E7EBBCC77D2C}">
            <xm:f>NOT(ISERROR(SEARCH($AN$693,AG457)))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039" operator="containsText" id="{12E203CD-418D-4448-92C5-684035954760}">
            <xm:f>NOT(ISERROR(SEARCH($AN$692,AG457)))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040" operator="containsText" id="{4B850D7C-6C38-4114-A20E-369FE4422903}">
            <xm:f>NOT(ISERROR(SEARCH($AN$691,AG457)))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041" operator="containsText" id="{0EB61C77-08CB-4DE9-8B29-CF63702381A9}">
            <xm:f>NOT(ISERROR(SEARCH($AN$689,AG457)))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042" operator="containsText" id="{5A58ABCE-0A80-4242-961D-EA9D65C89A86}">
            <xm:f>NOT(ISERROR(SEARCH($AN$687,AG457)))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043" operator="containsText" id="{E2DA48AB-1877-4DA5-9586-4508A165009F}">
            <xm:f>NOT(ISERROR(SEARCH($AN$688,AG457)))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044" operator="containsText" id="{822257F8-8A63-45B0-A6A0-76993FF07F53}">
            <xm:f>NOT(ISERROR(SEARCH($AN$686,AG457)))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045" operator="containsText" id="{C53D4BF5-4361-4BC8-9CA6-A7DE59048477}">
            <xm:f>NOT(ISERROR(SEARCH($AN$685,AG457)))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046" operator="containsText" id="{F50CACAA-3B5E-4FD6-835C-A27A2631271E}">
            <xm:f>NOT(ISERROR(SEARCH($AN$684,AG457)))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047" operator="containsText" id="{93571E34-E8ED-44A7-B6D1-B3E429FC9276}">
            <xm:f>NOT(ISERROR(SEARCH($AN$683,AG457)))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048" operator="containsText" id="{CFB71E85-0A00-4C92-BF86-2821A12FA05A}">
            <xm:f>NOT(ISERROR(SEARCH($AN$682,AG457)))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AG457:AG459</xm:sqref>
        </x14:conditionalFormatting>
        <x14:conditionalFormatting xmlns:xm="http://schemas.microsoft.com/office/excel/2006/main">
          <x14:cfRule type="containsText" priority="4057" operator="containsText" id="{410671B1-0B24-4E49-A8D8-96FFB5D8BEF4}">
            <xm:f>NOT(ISERROR(SEARCH($AN$690,AG459)))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058" operator="containsText" id="{3FFEF3F0-D6D1-47FC-82CB-71FF0D1BFC8A}">
            <xm:f>NOT(ISERROR(SEARCH($AN$704,AG459)))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059" operator="containsText" id="{1DFC5A84-6DB4-4336-9E91-46D66ADD22F3}">
            <xm:f>NOT(ISERROR(SEARCH($AN$693,AG459)))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060" operator="containsText" id="{23E30571-3FFF-4E22-932D-DE9661FEAC9C}">
            <xm:f>NOT(ISERROR(SEARCH($AN$692,AG459)))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061" operator="containsText" id="{3F532414-374E-4C3A-9F83-82B3CB282F08}">
            <xm:f>NOT(ISERROR(SEARCH($AN$691,AG459)))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062" operator="containsText" id="{77A32390-217E-43AE-BC91-5364C5EE27BB}">
            <xm:f>NOT(ISERROR(SEARCH($AN$689,AG459)))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063" operator="containsText" id="{A37B063E-CC4F-4196-A2A9-7104D6FBB766}">
            <xm:f>NOT(ISERROR(SEARCH($AN$687,AG459)))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064" operator="containsText" id="{0BFCF854-F872-42F2-92B6-86AE41FB2FEE}">
            <xm:f>NOT(ISERROR(SEARCH($AN$688,AG459)))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065" operator="containsText" id="{46927F02-23A2-4BAB-A58D-3C0A3664DEB5}">
            <xm:f>NOT(ISERROR(SEARCH($AN$686,AG459)))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066" operator="containsText" id="{CE3F2F7F-EB12-499E-A295-84CE00700B80}">
            <xm:f>NOT(ISERROR(SEARCH($AN$685,AG459)))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067" operator="containsText" id="{2F25B1C2-1A8E-4F91-98CB-254BE77291BA}">
            <xm:f>NOT(ISERROR(SEARCH($AN$684,AG459)))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068" operator="containsText" id="{54C8E913-4BBC-497F-B3BC-B34E33B4939E}">
            <xm:f>NOT(ISERROR(SEARCH($AN$683,AG459)))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069" operator="containsText" id="{3E2C0292-CECD-451A-BFC5-151BBADA8368}">
            <xm:f>NOT(ISERROR(SEARCH($AN$682,AG459)))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070" operator="containsText" id="{4217655B-4CCD-4352-AB20-900CA3CD3B86}">
            <xm:f>NOT(ISERROR(SEARCH($AN$681,AG459)))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071" operator="containsText" id="{2FD469C0-0FED-413F-B844-F60DE4478170}">
            <xm:f>NOT(ISERROR(SEARCH($AN$680,AG459)))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072" operator="containsText" id="{22EDD65F-AD17-4D72-94CC-59650CA3D7F0}">
            <xm:f>NOT(ISERROR(SEARCH($AN$678,AG459)))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073" operator="containsText" id="{4006588A-D685-4F2F-B485-E361AD26A4FE}">
            <xm:f>NOT(ISERROR(SEARCH($AN$679,AG459)))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074" operator="containsText" id="{B16E17C1-4FA0-43E5-A378-B867332E6093}">
            <xm:f>NOT(ISERROR(SEARCH($AN$681,AG459)))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075" operator="containsText" id="{A4C22E7E-F8CC-41D2-9A8A-B65AEE3FAFD0}">
            <xm:f>NOT(ISERROR(SEARCH($AN$680,AG459)))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076" operator="containsText" id="{E3B34B27-714D-4BEC-A5FF-59A79EE727DF}">
            <xm:f>NOT(ISERROR(SEARCH($AN$678,AG459)))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077" operator="containsText" id="{06FD6BB2-7CB0-456A-9A18-22E2E77D7477}">
            <xm:f>NOT(ISERROR(SEARCH($AN$679,AG459)))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AG459</xm:sqref>
        </x14:conditionalFormatting>
        <x14:conditionalFormatting xmlns:xm="http://schemas.microsoft.com/office/excel/2006/main">
          <x14:cfRule type="containsText" priority="11223" operator="containsText" id="{5FB9D650-B9DD-4F97-9A67-FEFCE2F9EFE7}">
            <xm:f>NOT(ISERROR(SEARCH($AN$688,AG551)))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224" operator="containsText" id="{47A3D722-F896-4B22-92E4-42AFF866D3C2}">
            <xm:f>NOT(ISERROR(SEARCH($AN$686,AG551)))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225" operator="containsText" id="{AA650A60-8608-4795-8077-F83BB1681636}">
            <xm:f>NOT(ISERROR(SEARCH($AN$685,AG551)))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226" operator="containsText" id="{3C3D17F3-50A9-4A60-9CD6-6822296431A2}">
            <xm:f>NOT(ISERROR(SEARCH($AN$684,AG551)))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227" operator="containsText" id="{A793E66A-773A-4588-A395-B53A25E68160}">
            <xm:f>NOT(ISERROR(SEARCH($AN$683,AG551)))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228" operator="containsText" id="{D51DE0FF-015C-46AC-A842-5DC2852EC22A}">
            <xm:f>NOT(ISERROR(SEARCH($AN$682,AG551)))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233" operator="containsText" id="{77B8457C-43C4-4511-BD02-45AB491E2C4E}">
            <xm:f>NOT(ISERROR(SEARCH($AN$681,AG551)))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234" operator="containsText" id="{BE976EE4-B465-43D8-A880-E5EC1E045F3D}">
            <xm:f>NOT(ISERROR(SEARCH($AN$680,AG551)))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235" operator="containsText" id="{AA07F336-7C41-4E2E-AA08-A38BAB243A14}">
            <xm:f>NOT(ISERROR(SEARCH($AN$678,AG551)))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236" operator="containsText" id="{4EAA4B74-F556-4FF4-B6F4-4D3626B481CC}">
            <xm:f>NOT(ISERROR(SEARCH($AN$679,AG551)))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AG551</xm:sqref>
        </x14:conditionalFormatting>
        <x14:conditionalFormatting xmlns:xm="http://schemas.microsoft.com/office/excel/2006/main">
          <x14:cfRule type="containsText" priority="3636" operator="containsText" id="{2E545E1B-A240-4B71-BA47-7858A3DEE129}">
            <xm:f>NOT(ISERROR(SEARCH($AN$687,AG552)))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637" operator="containsText" id="{D315963B-576A-4EDA-8EEC-E7CB0B6C1C20}">
            <xm:f>NOT(ISERROR(SEARCH($AN$688,AG552)))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638" operator="containsText" id="{84C88020-FCE6-43CF-B689-5BDB629FF418}">
            <xm:f>NOT(ISERROR(SEARCH($AN$686,AG552)))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639" operator="containsText" id="{A2D058DF-E8A7-451D-9D6B-5005531AF62D}">
            <xm:f>NOT(ISERROR(SEARCH($AN$685,AG552)))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640" operator="containsText" id="{E8AF3B55-AD82-45C7-9EDE-7CBBF94C510F}">
            <xm:f>NOT(ISERROR(SEARCH($AN$684,AG552)))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641" operator="containsText" id="{AC92B0A7-097C-49D1-897B-C6737B4506FD}">
            <xm:f>NOT(ISERROR(SEARCH($AN$683,AG552)))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642" operator="containsText" id="{E634E2E8-952D-4B46-9186-6FC56EB718FA}">
            <xm:f>NOT(ISERROR(SEARCH($AN$682,AG552)))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AG552</xm:sqref>
        </x14:conditionalFormatting>
        <x14:conditionalFormatting xmlns:xm="http://schemas.microsoft.com/office/excel/2006/main">
          <x14:cfRule type="containsText" priority="3713" operator="containsText" id="{EBD1DA4C-9B2F-4D31-94FF-C20773FC293B}">
            <xm:f>NOT(ISERROR(SEARCH($AN$682,AG552)))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714" operator="containsText" id="{BD412AF1-25AC-46FB-971A-EA46A4F4B7C4}">
            <xm:f>NOT(ISERROR(SEARCH($AN$681,AG552)))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715" operator="containsText" id="{2F81D548-52A8-4F6F-A915-126CA68BA747}">
            <xm:f>NOT(ISERROR(SEARCH($AN$680,AG552)))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716" operator="containsText" id="{01D97FF0-E882-47BF-A5B6-C1CF879AD51A}">
            <xm:f>NOT(ISERROR(SEARCH($AN$678,AG552)))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717" operator="containsText" id="{E2C61E01-794E-4398-850E-145018416047}">
            <xm:f>NOT(ISERROR(SEARCH($AN$679,AG552)))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AG552:AG553</xm:sqref>
        </x14:conditionalFormatting>
        <x14:conditionalFormatting xmlns:xm="http://schemas.microsoft.com/office/excel/2006/main">
          <x14:cfRule type="containsText" priority="3707" operator="containsText" id="{D7A34748-B701-4EB4-868E-8FFD704D367C}">
            <xm:f>NOT(ISERROR(SEARCH($AN$687,AG552)))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708" operator="containsText" id="{EC9FD9E4-3B53-4E8F-9A22-A1FC5A6C8FDD}">
            <xm:f>NOT(ISERROR(SEARCH($AN$688,AG552)))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709" operator="containsText" id="{0A809235-3FDB-4DFD-971A-6F49231886FE}">
            <xm:f>NOT(ISERROR(SEARCH($AN$686,AG552)))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710" operator="containsText" id="{2047BEA4-5C42-478B-9426-7916156BEA77}">
            <xm:f>NOT(ISERROR(SEARCH($AN$685,AG552)))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711" operator="containsText" id="{F252C9A0-833D-417B-BD7B-717EA73C09D2}">
            <xm:f>NOT(ISERROR(SEARCH($AN$684,AG552)))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712" operator="containsText" id="{4C9ECF5B-117D-41ED-9F7D-57EF0AB51698}">
            <xm:f>NOT(ISERROR(SEARCH($AN$683,AG552)))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736" operator="containsText" id="{4D5C2E9D-BE5D-40B1-9DC7-3D911B5CBCB6}">
            <xm:f>NOT(ISERROR(SEARCH($AN$681,AG552)))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737" operator="containsText" id="{55C2ABE5-0C21-4EF2-8798-7B8C6B2CA4E5}">
            <xm:f>NOT(ISERROR(SEARCH($AN$680,AG552)))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738" operator="containsText" id="{825F406B-25EB-4F8F-AD00-F3454131D8ED}">
            <xm:f>NOT(ISERROR(SEARCH($AN$678,AG552)))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739" operator="containsText" id="{E001A674-DD76-4860-888D-D56D947A7459}">
            <xm:f>NOT(ISERROR(SEARCH($AN$679,AG552)))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AG552:AG554</xm:sqref>
        </x14:conditionalFormatting>
        <x14:conditionalFormatting xmlns:xm="http://schemas.microsoft.com/office/excel/2006/main">
          <x14:cfRule type="containsText" priority="3718" operator="containsText" id="{0EE94725-4205-4AC4-B6EB-80D7700C5D58}">
            <xm:f>NOT(ISERROR(SEARCH($AN$682,AG553)))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732" operator="containsText" id="{C314BB32-7732-4555-9EE1-BC3C395E2F08}">
            <xm:f>NOT(ISERROR(SEARCH($AN$681,AG553)))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733" operator="containsText" id="{F6FEF756-05BB-465C-8112-79076E384684}">
            <xm:f>NOT(ISERROR(SEARCH($AN$680,AG553)))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734" operator="containsText" id="{8D536B8C-5133-46E0-A76C-E9A10DA13FA3}">
            <xm:f>NOT(ISERROR(SEARCH($AN$678,AG553)))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735" operator="containsText" id="{051CDA7D-AE04-4CE4-95F1-BA5A9BC240C7}">
            <xm:f>NOT(ISERROR(SEARCH($AN$679,AG553)))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AG553:AG554</xm:sqref>
        </x14:conditionalFormatting>
        <x14:conditionalFormatting xmlns:xm="http://schemas.microsoft.com/office/excel/2006/main">
          <x14:cfRule type="containsText" priority="3719" operator="containsText" id="{DC12A362-C89E-400B-AB53-64CDC7A82B0E}">
            <xm:f>NOT(ISERROR(SEARCH($AN$690,AG553)))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720" operator="containsText" id="{3A3F4F0A-C814-484B-AEA4-B7864499822F}">
            <xm:f>NOT(ISERROR(SEARCH($AN$704,AG553)))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721" operator="containsText" id="{A2C202DE-1380-40E0-B537-2DE6750E8149}">
            <xm:f>NOT(ISERROR(SEARCH($AN$693,AG553)))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722" operator="containsText" id="{F632C8A4-BEBB-4C50-B329-C0141B6D5D24}">
            <xm:f>NOT(ISERROR(SEARCH($AN$692,AG553)))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723" operator="containsText" id="{368D8B6E-D118-4A22-BE05-FA5E421272EB}">
            <xm:f>NOT(ISERROR(SEARCH($AN$691,AG553)))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724" operator="containsText" id="{5DD11B59-1134-46DD-A227-F68C4149835E}">
            <xm:f>NOT(ISERROR(SEARCH($AN$689,AG553)))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725" operator="containsText" id="{BD169B7D-12C6-42D1-B28B-71F85E084D5C}">
            <xm:f>NOT(ISERROR(SEARCH($AN$687,AG553)))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726" operator="containsText" id="{F4EB8A56-1D62-4F45-B4F3-29BDC4648CA9}">
            <xm:f>NOT(ISERROR(SEARCH($AN$688,AG553)))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727" operator="containsText" id="{07216696-05C5-465A-BA58-CD70D5C1E6FA}">
            <xm:f>NOT(ISERROR(SEARCH($AN$686,AG553)))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728" operator="containsText" id="{DD67D95F-542A-41C1-8CFE-4D5BB9421B52}">
            <xm:f>NOT(ISERROR(SEARCH($AN$685,AG553)))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729" operator="containsText" id="{488015C6-8341-4D2C-A3FB-DD098DAA4790}">
            <xm:f>NOT(ISERROR(SEARCH($AN$684,AG553)))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730" operator="containsText" id="{6B5C4B96-2543-402D-9F86-FD34CA0E2197}">
            <xm:f>NOT(ISERROR(SEARCH($AN$683,AG553)))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731" operator="containsText" id="{1BC8FB9B-1410-44C0-B9F2-08E14AB7D558}">
            <xm:f>NOT(ISERROR(SEARCH($AN$682,AG553)))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AG553:AG555</xm:sqref>
        </x14:conditionalFormatting>
        <x14:conditionalFormatting xmlns:xm="http://schemas.microsoft.com/office/excel/2006/main">
          <x14:cfRule type="containsText" priority="3740" operator="containsText" id="{6645330D-C93B-417F-A7C1-1A9BA2E46401}">
            <xm:f>NOT(ISERROR(SEARCH($AN$690,AG555)))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741" operator="containsText" id="{BF3E8B6F-363C-4BE3-8746-4FF6C75D61A4}">
            <xm:f>NOT(ISERROR(SEARCH($AN$704,AG555)))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742" operator="containsText" id="{8BDDF212-3409-4E72-811E-4FCBF6D077B4}">
            <xm:f>NOT(ISERROR(SEARCH($AN$693,AG555)))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743" operator="containsText" id="{91869331-8D7B-4B02-8A86-8BA3E5430501}">
            <xm:f>NOT(ISERROR(SEARCH($AN$692,AG555)))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744" operator="containsText" id="{176CAF8B-A4DC-4642-B0C9-925F6FD9A19A}">
            <xm:f>NOT(ISERROR(SEARCH($AN$691,AG555)))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745" operator="containsText" id="{1CF0CB6D-09FF-4464-9035-433B6820664E}">
            <xm:f>NOT(ISERROR(SEARCH($AN$689,AG555)))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746" operator="containsText" id="{BEC2A510-013A-4536-86B1-A51998499DDE}">
            <xm:f>NOT(ISERROR(SEARCH($AN$687,AG555)))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747" operator="containsText" id="{98395177-CF18-45B8-9D06-03BFB4F9DB28}">
            <xm:f>NOT(ISERROR(SEARCH($AN$688,AG555)))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748" operator="containsText" id="{0F115358-58DB-49C9-AB07-21436BA76591}">
            <xm:f>NOT(ISERROR(SEARCH($AN$686,AG555)))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749" operator="containsText" id="{D743B9B8-43FA-4A03-94E5-362D566B1E43}">
            <xm:f>NOT(ISERROR(SEARCH($AN$685,AG555)))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750" operator="containsText" id="{BF85E13D-18AD-462A-BEA0-6E89379133B7}">
            <xm:f>NOT(ISERROR(SEARCH($AN$684,AG555)))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751" operator="containsText" id="{4C35EC5A-FE92-46F9-AB9E-5F44B02E5491}">
            <xm:f>NOT(ISERROR(SEARCH($AN$683,AG555)))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752" operator="containsText" id="{4226AAA7-085E-4242-82F1-3E68654294FF}">
            <xm:f>NOT(ISERROR(SEARCH($AN$682,AG555)))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753" operator="containsText" id="{5FC24529-C5B5-42FA-91D9-34E5921846BC}">
            <xm:f>NOT(ISERROR(SEARCH($AN$681,AG555)))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754" operator="containsText" id="{28DB04A4-F4EA-4F36-AAF9-7BBA69B75782}">
            <xm:f>NOT(ISERROR(SEARCH($AN$680,AG555)))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755" operator="containsText" id="{30115B9D-D515-4D38-89FD-1882A2461601}">
            <xm:f>NOT(ISERROR(SEARCH($AN$678,AG555)))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756" operator="containsText" id="{343F3D42-AA58-440C-8EBD-AE5153D28C05}">
            <xm:f>NOT(ISERROR(SEARCH($AN$679,AG555)))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757" operator="containsText" id="{1B37E726-D2A4-47D0-8AE2-5380EDB3F389}">
            <xm:f>NOT(ISERROR(SEARCH($AN$681,AG555)))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758" operator="containsText" id="{C481D651-256C-40AA-993F-5B2FD52A645D}">
            <xm:f>NOT(ISERROR(SEARCH($AN$680,AG555)))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759" operator="containsText" id="{EE7E4808-C6D4-4540-9DEB-C9BFE20171B4}">
            <xm:f>NOT(ISERROR(SEARCH($AN$678,AG555)))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760" operator="containsText" id="{50953362-9488-424F-AD8B-DC10230A4387}">
            <xm:f>NOT(ISERROR(SEARCH($AN$679,AG555)))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AG555</xm:sqref>
        </x14:conditionalFormatting>
        <x14:conditionalFormatting xmlns:xm="http://schemas.microsoft.com/office/excel/2006/main">
          <x14:cfRule type="containsText" priority="10874" operator="containsText" id="{BD3E4B87-2BBC-4809-9B1F-A55CA8E910FB}">
            <xm:f>NOT(ISERROR(SEARCH($AN$688,AG647)))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875" operator="containsText" id="{45CFAF0F-E52E-4B14-ABA5-34B8E8C7A51A}">
            <xm:f>NOT(ISERROR(SEARCH($AN$686,AG647)))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876" operator="containsText" id="{4679532F-AF5F-44C6-A027-FF817A017DA1}">
            <xm:f>NOT(ISERROR(SEARCH($AN$685,AG647)))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877" operator="containsText" id="{FFA2307D-81E8-4C29-AC3B-83F63A2DD4AA}">
            <xm:f>NOT(ISERROR(SEARCH($AN$684,AG647)))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878" operator="containsText" id="{4F2FA1DD-4F34-416C-BD71-A1C6DA1EEB5B}">
            <xm:f>NOT(ISERROR(SEARCH($AN$683,AG647)))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879" operator="containsText" id="{3B2C685F-5857-42D9-866E-9FAD93592791}">
            <xm:f>NOT(ISERROR(SEARCH($AN$682,AG647)))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884" operator="containsText" id="{A5045303-80CD-4A48-A578-7CECFC0DF334}">
            <xm:f>NOT(ISERROR(SEARCH($AN$681,AG647)))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885" operator="containsText" id="{FDE3E1F2-6A68-4725-835D-7BDCA3B69E43}">
            <xm:f>NOT(ISERROR(SEARCH($AN$680,AG647)))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886" operator="containsText" id="{150E517A-16E8-48EF-8B1C-D8351CDC0F16}">
            <xm:f>NOT(ISERROR(SEARCH($AN$678,AG647)))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887" operator="containsText" id="{F0CF5DB8-117A-4C76-933C-EAABC244681A}">
            <xm:f>NOT(ISERROR(SEARCH($AN$679,AG647)))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AG647</xm:sqref>
        </x14:conditionalFormatting>
        <x14:conditionalFormatting xmlns:xm="http://schemas.microsoft.com/office/excel/2006/main">
          <x14:cfRule type="containsText" priority="3319" operator="containsText" id="{D4A04403-22D4-4B6D-9F30-7645C035483E}">
            <xm:f>NOT(ISERROR(SEARCH($AN$687,AG648)))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320" operator="containsText" id="{4969B7CB-A7F6-4A2C-AE2C-01A59C50F5CA}">
            <xm:f>NOT(ISERROR(SEARCH($AN$688,AG648)))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321" operator="containsText" id="{608B2125-A5AA-47F6-A503-B288DE3AA4C5}">
            <xm:f>NOT(ISERROR(SEARCH($AN$686,AG648)))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322" operator="containsText" id="{FC664A4B-4D25-4EFB-AB88-B1E7802A7AAF}">
            <xm:f>NOT(ISERROR(SEARCH($AN$685,AG648)))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323" operator="containsText" id="{5B7EED98-1FC8-404A-8510-9B46FCD9DC63}">
            <xm:f>NOT(ISERROR(SEARCH($AN$684,AG648)))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324" operator="containsText" id="{58CAA906-CE02-4A3A-8384-BF42C5E9C20A}">
            <xm:f>NOT(ISERROR(SEARCH($AN$683,AG648)))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325" operator="containsText" id="{758D9763-EBCA-435F-9F68-F7DD9CC3C3FB}">
            <xm:f>NOT(ISERROR(SEARCH($AN$682,AG648)))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AG648</xm:sqref>
        </x14:conditionalFormatting>
        <x14:conditionalFormatting xmlns:xm="http://schemas.microsoft.com/office/excel/2006/main">
          <x14:cfRule type="containsText" priority="3396" operator="containsText" id="{19EFB398-AD6D-4D10-AE3E-254B177CAC98}">
            <xm:f>NOT(ISERROR(SEARCH($AN$682,AG648)))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397" operator="containsText" id="{0933517E-6A62-499B-B6E0-1C8D5ECAE7EA}">
            <xm:f>NOT(ISERROR(SEARCH($AN$681,AG648)))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398" operator="containsText" id="{EF75412E-71CC-4629-BBD3-FA0238AF5FAF}">
            <xm:f>NOT(ISERROR(SEARCH($AN$680,AG648)))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399" operator="containsText" id="{1589C1BE-DF3F-43A1-A01C-154D89B43047}">
            <xm:f>NOT(ISERROR(SEARCH($AN$678,AG648)))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400" operator="containsText" id="{D4A73DFE-6553-476E-8162-0F71DA661491}">
            <xm:f>NOT(ISERROR(SEARCH($AN$679,AG648)))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AG648:AG649</xm:sqref>
        </x14:conditionalFormatting>
        <x14:conditionalFormatting xmlns:xm="http://schemas.microsoft.com/office/excel/2006/main">
          <x14:cfRule type="containsText" priority="3390" operator="containsText" id="{CDA81EC1-157B-4947-A504-F4590D5D964C}">
            <xm:f>NOT(ISERROR(SEARCH($AN$687,AG648)))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391" operator="containsText" id="{FB7ED95B-2AA3-45C1-B859-A65C043A6084}">
            <xm:f>NOT(ISERROR(SEARCH($AN$688,AG648)))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392" operator="containsText" id="{D59C05FF-38F3-45BD-B0BC-45592A6CF64C}">
            <xm:f>NOT(ISERROR(SEARCH($AN$686,AG648)))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393" operator="containsText" id="{9FD3D16D-EBA2-4F5A-BA63-9299D2A37D99}">
            <xm:f>NOT(ISERROR(SEARCH($AN$685,AG648)))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394" operator="containsText" id="{6F48515F-6454-48E4-B058-54AB7521AEC8}">
            <xm:f>NOT(ISERROR(SEARCH($AN$684,AG648)))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395" operator="containsText" id="{DB741FEB-F38D-40DF-ADF8-E1F176E1F814}">
            <xm:f>NOT(ISERROR(SEARCH($AN$683,AG648)))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419" operator="containsText" id="{67E3F5ED-2E3E-4EED-AD1C-E05A3135A3C2}">
            <xm:f>NOT(ISERROR(SEARCH($AN$681,AG648)))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420" operator="containsText" id="{107AD472-DDA7-41BC-A79E-DB5DFD2D7F3B}">
            <xm:f>NOT(ISERROR(SEARCH($AN$680,AG648)))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421" operator="containsText" id="{D5FB02D6-606E-4535-BF8F-51D80C163928}">
            <xm:f>NOT(ISERROR(SEARCH($AN$678,AG648)))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422" operator="containsText" id="{35FCF66E-29B9-4F62-A2A6-3E4CA5456C9E}">
            <xm:f>NOT(ISERROR(SEARCH($AN$679,AG648)))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AG648:AG650</xm:sqref>
        </x14:conditionalFormatting>
        <x14:conditionalFormatting xmlns:xm="http://schemas.microsoft.com/office/excel/2006/main">
          <x14:cfRule type="containsText" priority="3401" operator="containsText" id="{7744861E-1007-434C-B473-F307BECA6427}">
            <xm:f>NOT(ISERROR(SEARCH($AN$682,AG649)))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415" operator="containsText" id="{AEFA0308-19D7-4FDA-9518-54A8C7F6DE58}">
            <xm:f>NOT(ISERROR(SEARCH($AN$681,AG649)))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416" operator="containsText" id="{69CD609F-416D-496F-8964-1788EE4EA2EA}">
            <xm:f>NOT(ISERROR(SEARCH($AN$680,AG649)))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417" operator="containsText" id="{79DC546D-9A4A-4134-B97D-60CFDE39C379}">
            <xm:f>NOT(ISERROR(SEARCH($AN$678,AG649)))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418" operator="containsText" id="{304DCA5C-E6F0-41FF-9D76-370351D635F3}">
            <xm:f>NOT(ISERROR(SEARCH($AN$679,AG649)))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AG649:AG650</xm:sqref>
        </x14:conditionalFormatting>
        <x14:conditionalFormatting xmlns:xm="http://schemas.microsoft.com/office/excel/2006/main">
          <x14:cfRule type="containsText" priority="3402" operator="containsText" id="{3ADB7482-034C-457E-A889-E31FF5C70BA0}">
            <xm:f>NOT(ISERROR(SEARCH($AN$690,AG649)))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403" operator="containsText" id="{F2BAD716-B222-42C1-AC96-8C997557316D}">
            <xm:f>NOT(ISERROR(SEARCH($AN$704,AG649)))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404" operator="containsText" id="{B8F7A5EC-D210-4594-AEA3-502796BEA2BB}">
            <xm:f>NOT(ISERROR(SEARCH($AN$693,AG649)))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405" operator="containsText" id="{42A9B613-C099-487F-B06A-A4D33E8FB367}">
            <xm:f>NOT(ISERROR(SEARCH($AN$692,AG649)))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406" operator="containsText" id="{E3289EFF-F3CA-46A5-9C84-35E1069064E5}">
            <xm:f>NOT(ISERROR(SEARCH($AN$691,AG649)))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407" operator="containsText" id="{7DE1371C-6DB4-482F-943C-9034202E0F55}">
            <xm:f>NOT(ISERROR(SEARCH($AN$689,AG649)))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408" operator="containsText" id="{54F81914-94C7-45EF-B2A6-D942139AAE7D}">
            <xm:f>NOT(ISERROR(SEARCH($AN$687,AG649)))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409" operator="containsText" id="{14A9CAEC-34B3-419F-A498-A9024C5AA871}">
            <xm:f>NOT(ISERROR(SEARCH($AN$688,AG649)))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410" operator="containsText" id="{E57B0CE2-2F6F-4742-BD34-78DEAAD53E72}">
            <xm:f>NOT(ISERROR(SEARCH($AN$686,AG649)))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411" operator="containsText" id="{D2339249-1092-4260-946D-CE72AABC3CD8}">
            <xm:f>NOT(ISERROR(SEARCH($AN$685,AG649)))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412" operator="containsText" id="{BB5AA864-EED2-48FF-A004-4719BD7E1C29}">
            <xm:f>NOT(ISERROR(SEARCH($AN$684,AG649)))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413" operator="containsText" id="{FB6E742E-217E-4223-8FE3-AAC277A63CC5}">
            <xm:f>NOT(ISERROR(SEARCH($AN$683,AG649)))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414" operator="containsText" id="{1291E10A-9987-4A86-9BDD-3B039BA73055}">
            <xm:f>NOT(ISERROR(SEARCH($AN$682,AG649)))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AG649:AG651</xm:sqref>
        </x14:conditionalFormatting>
        <x14:conditionalFormatting xmlns:xm="http://schemas.microsoft.com/office/excel/2006/main">
          <x14:cfRule type="containsText" priority="3423" operator="containsText" id="{1C592C5C-215F-4914-80AA-916181A8AD8C}">
            <xm:f>NOT(ISERROR(SEARCH($AN$690,AG651)))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424" operator="containsText" id="{4F66F8E1-F67F-4010-921A-59AB22DFD7A7}">
            <xm:f>NOT(ISERROR(SEARCH($AN$704,AG651)))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425" operator="containsText" id="{15789634-A6B8-4492-852A-711C83C0EF1D}">
            <xm:f>NOT(ISERROR(SEARCH($AN$693,AG651)))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426" operator="containsText" id="{1E2B207F-2DB8-4145-B96B-AF5516BB5512}">
            <xm:f>NOT(ISERROR(SEARCH($AN$692,AG651)))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427" operator="containsText" id="{774EC812-E68D-458F-9EEC-F9E0E0CC3F96}">
            <xm:f>NOT(ISERROR(SEARCH($AN$691,AG651)))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428" operator="containsText" id="{00058CC6-0B02-4EB7-8C5B-F82DA7253182}">
            <xm:f>NOT(ISERROR(SEARCH($AN$689,AG651)))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429" operator="containsText" id="{5B74BC35-52B2-4661-816C-B78D13BFA665}">
            <xm:f>NOT(ISERROR(SEARCH($AN$687,AG651)))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430" operator="containsText" id="{BE902254-21EC-49E8-BAFE-0DCC27CFE32E}">
            <xm:f>NOT(ISERROR(SEARCH($AN$688,AG651)))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431" operator="containsText" id="{46426FF3-9285-4C67-AA7F-F253D136070B}">
            <xm:f>NOT(ISERROR(SEARCH($AN$686,AG651)))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432" operator="containsText" id="{4516EF67-EB22-4A13-BE50-CBF154666EA9}">
            <xm:f>NOT(ISERROR(SEARCH($AN$685,AG651)))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433" operator="containsText" id="{C1CBA2CC-6F7B-4938-B6AB-9E0F6C035D87}">
            <xm:f>NOT(ISERROR(SEARCH($AN$684,AG651)))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434" operator="containsText" id="{E7A1FC9B-A050-4E49-91B0-C4230E8A19ED}">
            <xm:f>NOT(ISERROR(SEARCH($AN$683,AG651)))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435" operator="containsText" id="{1C2F35E8-1339-49EB-AC98-BF03BD8D77DE}">
            <xm:f>NOT(ISERROR(SEARCH($AN$682,AG651)))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436" operator="containsText" id="{D2C1EE50-058A-470A-B5D5-0971ECB6F1A8}">
            <xm:f>NOT(ISERROR(SEARCH($AN$681,AG651)))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437" operator="containsText" id="{6C103B6D-3FB9-40EC-B1F2-77BF74739F02}">
            <xm:f>NOT(ISERROR(SEARCH($AN$680,AG651)))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438" operator="containsText" id="{80677057-49D3-4018-8CEC-50E0396F6A79}">
            <xm:f>NOT(ISERROR(SEARCH($AN$678,AG651)))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439" operator="containsText" id="{B4F7173C-52A8-480D-96E0-20178F4E1543}">
            <xm:f>NOT(ISERROR(SEARCH($AN$679,AG651)))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440" operator="containsText" id="{806D4F5B-BE3B-478C-8AAD-9E4AD8135E48}">
            <xm:f>NOT(ISERROR(SEARCH($AN$681,AG651)))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441" operator="containsText" id="{9D29E247-3DF5-4ADE-95B8-6B5885974F5C}">
            <xm:f>NOT(ISERROR(SEARCH($AN$680,AG651)))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442" operator="containsText" id="{A5BE36B7-2D7A-4996-8E2C-2010C25522C4}">
            <xm:f>NOT(ISERROR(SEARCH($AN$678,AG651)))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443" operator="containsText" id="{501B93B7-B46D-454F-99F1-A672F25F3A90}">
            <xm:f>NOT(ISERROR(SEARCH($AN$679,AG651)))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AG651</xm:sqref>
        </x14:conditionalFormatting>
        <x14:conditionalFormatting xmlns:xm="http://schemas.microsoft.com/office/excel/2006/main">
          <x14:cfRule type="containsText" priority="10525" operator="containsText" id="{A60BB6E1-5ACA-4400-896A-4E7DEA4756FF}">
            <xm:f>NOT(ISERROR(SEARCH($AN$688,AG743)))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526" operator="containsText" id="{49CA5CFA-EEB9-443D-AAB4-4A4DDF3977EB}">
            <xm:f>NOT(ISERROR(SEARCH($AN$686,AG743)))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527" operator="containsText" id="{754B1ECD-F94A-48A5-AE8D-848AC3560602}">
            <xm:f>NOT(ISERROR(SEARCH($AN$685,AG743)))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528" operator="containsText" id="{980ECAC8-676B-4CB0-80DB-83DC3C7BB5AE}">
            <xm:f>NOT(ISERROR(SEARCH($AN$684,AG743)))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529" operator="containsText" id="{EF074CAC-9E15-4A28-8498-7E9172F51B57}">
            <xm:f>NOT(ISERROR(SEARCH($AN$683,AG743)))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530" operator="containsText" id="{CB8A40F6-1D5A-4E50-9D1A-5BB07932E78A}">
            <xm:f>NOT(ISERROR(SEARCH($AN$682,AG743)))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AG743 AG745:AG747</xm:sqref>
        </x14:conditionalFormatting>
        <x14:conditionalFormatting xmlns:xm="http://schemas.microsoft.com/office/excel/2006/main">
          <x14:cfRule type="containsText" priority="10506" operator="containsText" id="{CF49D100-2D76-4652-AC38-604E4ED073E0}">
            <xm:f>NOT(ISERROR(SEARCH($AN$687,AG743)))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535" operator="containsText" id="{7FE4AD65-2C00-42ED-B61A-2F516EE2D2F8}">
            <xm:f>NOT(ISERROR(SEARCH($AN$681,AG743)))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536" operator="containsText" id="{6DD25A42-F93F-47F3-97A7-7CD3A091F489}">
            <xm:f>NOT(ISERROR(SEARCH($AN$680,AG743)))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537" operator="containsText" id="{E4F6F64A-A441-4D68-B9A5-61C94867E557}">
            <xm:f>NOT(ISERROR(SEARCH($AN$678,AG743)))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538" operator="containsText" id="{DF698681-FAAA-4E75-8F8D-A1E8B313215F}">
            <xm:f>NOT(ISERROR(SEARCH($AN$679,AG743)))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AG743:AG746</xm:sqref>
        </x14:conditionalFormatting>
        <x14:conditionalFormatting xmlns:xm="http://schemas.microsoft.com/office/excel/2006/main">
          <x14:cfRule type="containsText" priority="10421" operator="containsText" id="{D116B950-3644-4F2A-BBDD-BBC0614BDCDF}">
            <xm:f>NOT(ISERROR(SEARCH($AN$687,AG744)))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422" operator="containsText" id="{FA579EE8-C154-4554-8DD9-626439031CE6}">
            <xm:f>NOT(ISERROR(SEARCH($AN$688,AG744)))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423" operator="containsText" id="{FDB11EBA-FB84-42AC-949A-3F77EA5FFCC5}">
            <xm:f>NOT(ISERROR(SEARCH($AN$686,AG744)))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424" operator="containsText" id="{F11B4CE0-23E0-44C5-9A74-9B77498B546B}">
            <xm:f>NOT(ISERROR(SEARCH($AN$685,AG744)))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425" operator="containsText" id="{E569C079-9239-4E7B-ABBA-2EA3F5476116}">
            <xm:f>NOT(ISERROR(SEARCH($AN$684,AG744)))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426" operator="containsText" id="{6D631905-6F6B-42D8-BE92-95DA136B7066}">
            <xm:f>NOT(ISERROR(SEARCH($AN$683,AG744)))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427" operator="containsText" id="{DFAEE341-1D27-45E4-872F-1D12FDFC03F1}">
            <xm:f>NOT(ISERROR(SEARCH($AN$682,AG744)))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AG744</xm:sqref>
        </x14:conditionalFormatting>
        <x14:conditionalFormatting xmlns:xm="http://schemas.microsoft.com/office/excel/2006/main">
          <x14:cfRule type="containsText" priority="10512" operator="containsText" id="{618F2687-561C-4901-9ED9-B584E493CCEA}">
            <xm:f>NOT(ISERROR(SEARCH($AN$682,AG744)))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513" operator="containsText" id="{2DECDFEB-ADFF-47E8-883E-4850EF37E8C3}">
            <xm:f>NOT(ISERROR(SEARCH($AN$681,AG744)))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514" operator="containsText" id="{4783ADAD-C4BB-428B-B7AB-183418317996}">
            <xm:f>NOT(ISERROR(SEARCH($AN$680,AG744)))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515" operator="containsText" id="{A907ED31-8166-4CCA-88FD-A328C07300D5}">
            <xm:f>NOT(ISERROR(SEARCH($AN$678,AG744)))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516" operator="containsText" id="{44F61E78-5034-444D-9BE7-F8DEACEF6A02}">
            <xm:f>NOT(ISERROR(SEARCH($AN$679,AG744)))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AG744:AG745</xm:sqref>
        </x14:conditionalFormatting>
        <x14:conditionalFormatting xmlns:xm="http://schemas.microsoft.com/office/excel/2006/main">
          <x14:cfRule type="containsText" priority="10507" operator="containsText" id="{9DBD9F1B-1A33-4B8A-A692-569DF03CC338}">
            <xm:f>NOT(ISERROR(SEARCH($AN$688,AG744)))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508" operator="containsText" id="{89F60036-139E-4FA5-9E66-0866C8BD96A8}">
            <xm:f>NOT(ISERROR(SEARCH($AN$686,AG744)))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509" operator="containsText" id="{031EDF43-CE51-413A-90BD-0BD8356A2CBE}">
            <xm:f>NOT(ISERROR(SEARCH($AN$685,AG744)))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510" operator="containsText" id="{2B714459-A1DE-4E95-9DD9-A7D30FF3E846}">
            <xm:f>NOT(ISERROR(SEARCH($AN$684,AG744)))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511" operator="containsText" id="{C69C2881-3A71-43A5-9427-A1052B43A653}">
            <xm:f>NOT(ISERROR(SEARCH($AN$683,AG744)))</xm:f>
            <xm:f>$AN$683</xm:f>
            <x14:dxf>
              <fill>
                <patternFill>
                  <bgColor rgb="FF0070C0"/>
                </patternFill>
              </fill>
            </x14:dxf>
          </x14:cfRule>
          <xm:sqref>AG744:AG746</xm:sqref>
        </x14:conditionalFormatting>
        <x14:conditionalFormatting xmlns:xm="http://schemas.microsoft.com/office/excel/2006/main">
          <x14:cfRule type="containsText" priority="10517" operator="containsText" id="{28B520B1-DEAC-44F7-A670-317D92B8C2BD}">
            <xm:f>NOT(ISERROR(SEARCH($AN$682,AG745)))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531" operator="containsText" id="{9EDF400D-5035-4026-A8EB-C30FE93D3AC5}">
            <xm:f>NOT(ISERROR(SEARCH($AN$681,AG745)))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532" operator="containsText" id="{E37CDD20-F7BC-47F7-A559-ACB359D6C626}">
            <xm:f>NOT(ISERROR(SEARCH($AN$680,AG745)))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533" operator="containsText" id="{FB364479-5E95-47F2-AF72-25B516176EAF}">
            <xm:f>NOT(ISERROR(SEARCH($AN$678,AG745)))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534" operator="containsText" id="{A29C0AC9-A65F-4E96-916D-AD35DE8D6456}">
            <xm:f>NOT(ISERROR(SEARCH($AN$679,AG745)))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AG745:AG746</xm:sqref>
        </x14:conditionalFormatting>
        <x14:conditionalFormatting xmlns:xm="http://schemas.microsoft.com/office/excel/2006/main">
          <x14:cfRule type="containsText" priority="10518" operator="containsText" id="{8AD295DB-36BE-42E6-B63B-B85F518BE23B}">
            <xm:f>NOT(ISERROR(SEARCH($AN$690,AG745)))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0519" operator="containsText" id="{4985E610-B082-4B00-BBC4-DC6221B29B8A}">
            <xm:f>NOT(ISERROR(SEARCH($AN$704,AG745)))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0520" operator="containsText" id="{52A64018-927A-4869-9DF0-739D23F52FB9}">
            <xm:f>NOT(ISERROR(SEARCH($AN$693,AG745)))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0521" operator="containsText" id="{8A8CD817-3CA7-4BCF-BBB2-2FDF39971F2D}">
            <xm:f>NOT(ISERROR(SEARCH($AN$692,AG745)))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522" operator="containsText" id="{F534ADC9-6B6A-4D39-81EC-EBDBCAA0B0FE}">
            <xm:f>NOT(ISERROR(SEARCH($AN$691,AG745)))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0523" operator="containsText" id="{33BC1FC5-805B-4256-9B41-4F26D8AE2CCC}">
            <xm:f>NOT(ISERROR(SEARCH($AN$689,AG745)))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0524" operator="containsText" id="{54A24A3F-0BBD-40A2-9DFC-2F55F72F9A10}">
            <xm:f>NOT(ISERROR(SEARCH($AN$687,AG745)))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AG745:AG747</xm:sqref>
        </x14:conditionalFormatting>
        <x14:conditionalFormatting xmlns:xm="http://schemas.microsoft.com/office/excel/2006/main">
          <x14:cfRule type="containsText" priority="10539" operator="containsText" id="{099A2493-5F69-41B8-AFA1-354F95F91783}">
            <xm:f>NOT(ISERROR(SEARCH($AN$690,AG747)))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0540" operator="containsText" id="{46FDB024-7A9C-461D-8CE5-4B584A9312A7}">
            <xm:f>NOT(ISERROR(SEARCH($AN$704,AG747)))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0541" operator="containsText" id="{F553CA8F-DD1F-42A1-9330-70C59655581A}">
            <xm:f>NOT(ISERROR(SEARCH($AN$693,AG747)))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0542" operator="containsText" id="{EC1721D2-F8C9-4A0F-AFD0-DDF83FC7DD04}">
            <xm:f>NOT(ISERROR(SEARCH($AN$692,AG747)))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543" operator="containsText" id="{31EB17C4-2DD3-4B42-B93C-67BD58498079}">
            <xm:f>NOT(ISERROR(SEARCH($AN$691,AG747)))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0544" operator="containsText" id="{7A838D76-B952-4D78-AD5E-0050ED028448}">
            <xm:f>NOT(ISERROR(SEARCH($AN$689,AG747)))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0545" operator="containsText" id="{33BD63C9-7795-4F4F-B5E4-418CA1383034}">
            <xm:f>NOT(ISERROR(SEARCH($AN$687,AG747)))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546" operator="containsText" id="{162ACB5F-94F6-4EA2-BA14-96287A74D89B}">
            <xm:f>NOT(ISERROR(SEARCH($AN$688,AG747)))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547" operator="containsText" id="{CD06712A-8343-45B0-A39B-42B520C914BB}">
            <xm:f>NOT(ISERROR(SEARCH($AN$686,AG747)))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548" operator="containsText" id="{1511162B-CFAC-4AD3-870A-468AB2C8EDB9}">
            <xm:f>NOT(ISERROR(SEARCH($AN$685,AG747)))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549" operator="containsText" id="{7DA46F2F-6344-4D47-AF4B-70526EFA45F4}">
            <xm:f>NOT(ISERROR(SEARCH($AN$684,AG747)))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550" operator="containsText" id="{3E39DBC0-6FFD-403A-A909-0127DD09AC75}">
            <xm:f>NOT(ISERROR(SEARCH($AN$683,AG747)))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551" operator="containsText" id="{9506B3E9-DC61-4A49-974B-34C776E3B451}">
            <xm:f>NOT(ISERROR(SEARCH($AN$682,AG747)))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552" operator="containsText" id="{62693969-0F6B-42AF-A1FE-5BFD94E3C3B6}">
            <xm:f>NOT(ISERROR(SEARCH($AN$681,AG747)))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553" operator="containsText" id="{8BE53328-E741-4578-943C-FD8C5B50AB22}">
            <xm:f>NOT(ISERROR(SEARCH($AN$680,AG747)))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554" operator="containsText" id="{A56F12C4-7F67-44CF-9D8D-13F066B033B8}">
            <xm:f>NOT(ISERROR(SEARCH($AN$678,AG747)))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555" operator="containsText" id="{147EE88F-F8A0-46AD-B8A3-E789CEE43310}">
            <xm:f>NOT(ISERROR(SEARCH($AN$679,AG747)))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0556" operator="containsText" id="{A7D67334-6B05-46F6-89FF-04CE3B7BBBD1}">
            <xm:f>NOT(ISERROR(SEARCH($AN$681,AG747)))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557" operator="containsText" id="{F013BB45-F34C-4F9E-A699-79A842EF9137}">
            <xm:f>NOT(ISERROR(SEARCH($AN$680,AG747)))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558" operator="containsText" id="{DE5AA55C-F1A4-4B03-94B6-4F90D2D4D1D4}">
            <xm:f>NOT(ISERROR(SEARCH($AN$678,AG747)))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559" operator="containsText" id="{A31FB75F-6DDD-4292-A738-E82A24B09764}">
            <xm:f>NOT(ISERROR(SEARCH($AN$679,AG747)))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AG747</xm:sqref>
        </x14:conditionalFormatting>
        <x14:conditionalFormatting xmlns:xm="http://schemas.microsoft.com/office/excel/2006/main">
          <x14:cfRule type="containsText" priority="16298" operator="containsText" id="{7DA860FC-3FDF-4158-8CF2-44EADB3874F9}">
            <xm:f>NOT(ISERROR(SEARCH($AN$681,AG28)))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6299" operator="containsText" id="{A9B2A8E0-8BCF-4BE1-8260-694408389ED0}">
            <xm:f>NOT(ISERROR(SEARCH($AN$680,AG28)))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6300" operator="containsText" id="{268F0082-9E15-49E5-AB62-DDEECFAC35AC}">
            <xm:f>NOT(ISERROR(SEARCH($AN$678,AG28)))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6301" operator="containsText" id="{23457DF0-9B73-4BCA-A61D-38B3B48FDBE4}">
            <xm:f>NOT(ISERROR(SEARCH($AN$679,AG28)))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6302" operator="containsText" id="{29C4A742-9C34-4FEE-BE6F-0DDF22FFD0B4}">
            <xm:f>NOT(ISERROR(SEARCH($AN$686,AG28)))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303" operator="containsText" id="{86649CC3-3245-488A-A379-BAF7FB322F41}">
            <xm:f>NOT(ISERROR(SEARCH($AN$685,AG28)))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6304" operator="containsText" id="{449E9034-CA81-4800-8AD8-C20EDE6E79C4}">
            <xm:f>NOT(ISERROR(SEARCH($AN$684,AG28)))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414" operator="containsText" id="{F3645281-97AD-4A3C-9A89-C7494F59D9BA}">
            <xm:f>NOT(ISERROR(SEARCH($AN$683,AG28)))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415" operator="containsText" id="{63B315C1-A6C5-4672-8645-12AF11D191C5}">
            <xm:f>NOT(ISERROR(SEARCH($AN$682,AG28)))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AG28:AJ28</xm:sqref>
        </x14:conditionalFormatting>
        <x14:conditionalFormatting xmlns:xm="http://schemas.microsoft.com/office/excel/2006/main">
          <x14:cfRule type="containsText" priority="16288" operator="containsText" id="{56AC096F-CD9F-4BB9-881F-723E4E1599F7}">
            <xm:f>NOT(ISERROR(SEARCH($AN$688,AG124)))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6289" operator="containsText" id="{7445ECC3-89CF-4CAC-B05B-16FE4A025A2F}">
            <xm:f>NOT(ISERROR(SEARCH($AN$681,AG124)))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6290" operator="containsText" id="{6CB53FFF-66CC-4D2C-A56A-72A2E1F0CD4B}">
            <xm:f>NOT(ISERROR(SEARCH($AN$680,AG124)))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6291" operator="containsText" id="{36065AD7-039C-44B5-89FB-152572D197B6}">
            <xm:f>NOT(ISERROR(SEARCH($AN$678,AG124)))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6292" operator="containsText" id="{800BBB53-28F5-4C24-8A8C-CDB7FE764FA4}">
            <xm:f>NOT(ISERROR(SEARCH($AN$679,AG124)))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6293" operator="containsText" id="{7682E6C7-46AF-46AA-A30E-5B8EBC285E4B}">
            <xm:f>NOT(ISERROR(SEARCH($AN$686,AG124)))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294" operator="containsText" id="{8A4B1667-0AA7-4667-B6F1-F6EAD06C4493}">
            <xm:f>NOT(ISERROR(SEARCH($AN$685,AG124)))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6295" operator="containsText" id="{ECA275CD-534E-4795-A688-58150951D351}">
            <xm:f>NOT(ISERROR(SEARCH($AN$684,AG124)))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296" operator="containsText" id="{5BDADFF6-9C6E-4049-A021-A65DB1CCBA97}">
            <xm:f>NOT(ISERROR(SEARCH($AN$683,AG124)))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6297" operator="containsText" id="{A912D205-DB49-4B6E-AFBD-34C8AED1C935}">
            <xm:f>NOT(ISERROR(SEARCH($AN$682,AG124)))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AG124:AJ124</xm:sqref>
        </x14:conditionalFormatting>
        <x14:conditionalFormatting xmlns:xm="http://schemas.microsoft.com/office/excel/2006/main">
          <x14:cfRule type="containsText" priority="16271" operator="containsText" id="{1C5BF298-4DB0-4E16-A8F3-FAE2E90FEB60}">
            <xm:f>NOT(ISERROR(SEARCH($AN$688,AG220)))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6272" operator="containsText" id="{F30E8CDF-F0A8-4491-AF19-FFFF70F300F1}">
            <xm:f>NOT(ISERROR(SEARCH($AN$681,AG220)))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6273" operator="containsText" id="{EED637DC-D2B4-4D9F-B494-8443EF0DA709}">
            <xm:f>NOT(ISERROR(SEARCH($AN$680,AG220)))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6274" operator="containsText" id="{80B4239A-79D8-4CD5-B274-7D64A2897F89}">
            <xm:f>NOT(ISERROR(SEARCH($AN$678,AG220)))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6275" operator="containsText" id="{33B79E3D-AAE3-4419-8CF6-1053AD83E689}">
            <xm:f>NOT(ISERROR(SEARCH($AN$679,AG220)))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6276" operator="containsText" id="{57C6EDA2-C9A5-4E55-9CC2-5CB9868B5514}">
            <xm:f>NOT(ISERROR(SEARCH($AN$686,AG220)))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277" operator="containsText" id="{CB3E9BDD-D0BB-4FA3-B3BD-BF23977381E8}">
            <xm:f>NOT(ISERROR(SEARCH($AN$685,AG220)))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6278" operator="containsText" id="{1360135F-84FF-4CB2-AFD2-DFD0FFA44885}">
            <xm:f>NOT(ISERROR(SEARCH($AN$684,AG220)))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6279" operator="containsText" id="{954FAE61-3788-4D1D-82A7-1E7D332FC4B3}">
            <xm:f>NOT(ISERROR(SEARCH($AN$683,AG220)))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6280" operator="containsText" id="{0DDCD6F3-7DAB-4CCE-A104-612971237FF2}">
            <xm:f>NOT(ISERROR(SEARCH($AN$682,AG220)))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AG220:AJ220</xm:sqref>
        </x14:conditionalFormatting>
        <x14:conditionalFormatting xmlns:xm="http://schemas.microsoft.com/office/excel/2006/main">
          <x14:cfRule type="containsText" priority="5215" operator="containsText" id="{226FD882-7316-4FE0-8CC1-73DCF813E0BF}">
            <xm:f>NOT(ISERROR(SEARCH($AN$681,AG12)))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216" operator="containsText" id="{C1406A65-B10B-4FCE-8DD1-A85D9C7621BF}">
            <xm:f>NOT(ISERROR(SEARCH($AN$680,AG12)))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217" operator="containsText" id="{07AF118D-5B61-423A-87C5-C9C05200FAF9}">
            <xm:f>NOT(ISERROR(SEARCH($AN$678,AG12)))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218" operator="containsText" id="{2232EF2D-BA2B-4347-BB3C-97E7A4888AC1}">
            <xm:f>NOT(ISERROR(SEARCH($AN$679,AG12)))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AG12:AK12</xm:sqref>
        </x14:conditionalFormatting>
        <x14:conditionalFormatting xmlns:xm="http://schemas.microsoft.com/office/excel/2006/main">
          <x14:cfRule type="containsText" priority="22447" operator="containsText" id="{79267573-CB16-437B-B2C9-91631607D311}">
            <xm:f>NOT(ISERROR(SEARCH($AN$681,AG23)))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448" operator="containsText" id="{5CA51688-EFBE-40A9-A166-592B2F2A1278}">
            <xm:f>NOT(ISERROR(SEARCH($AN$680,AG23)))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449" operator="containsText" id="{14FEB361-6679-421B-BF59-F8BF64C68633}">
            <xm:f>NOT(ISERROR(SEARCH($AN$678,AG23)))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450" operator="containsText" id="{E776DCD0-7515-41BE-922A-27C41F1B1F3B}">
            <xm:f>NOT(ISERROR(SEARCH($AN$679,AG23)))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AG23:AK26</xm:sqref>
        </x14:conditionalFormatting>
        <x14:conditionalFormatting xmlns:xm="http://schemas.microsoft.com/office/excel/2006/main">
          <x14:cfRule type="containsText" priority="22438" operator="containsText" id="{DBBD817D-D20E-4C06-B20A-CA0E032A8264}">
            <xm:f>NOT(ISERROR(SEARCH($AN$681,AG27)))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439" operator="containsText" id="{8FBF78C4-3268-4942-96E5-766AABE489BB}">
            <xm:f>NOT(ISERROR(SEARCH($AN$680,AG27)))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440" operator="containsText" id="{7B820A6E-ED44-4004-933A-6990CEBC11CB}">
            <xm:f>NOT(ISERROR(SEARCH($AN$678,AG27)))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441" operator="containsText" id="{8C4DB8B2-91EA-40FE-8995-A0A26C09762F}">
            <xm:f>NOT(ISERROR(SEARCH($AN$679,AG27)))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AG27:AK27</xm:sqref>
        </x14:conditionalFormatting>
        <x14:conditionalFormatting xmlns:xm="http://schemas.microsoft.com/office/excel/2006/main">
          <x14:cfRule type="containsText" priority="3075" operator="containsText" id="{55F62E49-C2B7-446E-B2CC-6D3198093DF5}">
            <xm:f>NOT(ISERROR(SEARCH($AN$690,AG33)))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076" operator="containsText" id="{98C59816-CEDF-4D88-BD0C-9DFC084A37C9}">
            <xm:f>NOT(ISERROR(SEARCH($AN$704,AG33)))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077" operator="containsText" id="{D02A712D-322F-4A08-B0C9-D739DFAB85F2}">
            <xm:f>NOT(ISERROR(SEARCH($AN$693,AG33)))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078" operator="containsText" id="{BCFB94D5-0CD1-465C-89FE-D8BA8BF07A3D}">
            <xm:f>NOT(ISERROR(SEARCH($AN$692,AG33)))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079" operator="containsText" id="{CA7FCDD6-27C4-48FC-AFCC-3ED60299DBC8}">
            <xm:f>NOT(ISERROR(SEARCH($AN$691,AG33)))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080" operator="containsText" id="{09D05050-F82D-4FBE-83AC-E12C0714BBBC}">
            <xm:f>NOT(ISERROR(SEARCH($AN$689,AG33)))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081" operator="containsText" id="{948A1620-770E-4A3B-9494-1D8F7E486DBD}">
            <xm:f>NOT(ISERROR(SEARCH($AN$687,AG33)))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082" operator="containsText" id="{8ED99CA6-C3EB-4BC6-A1E6-D04D00606D3F}">
            <xm:f>NOT(ISERROR(SEARCH($AN$688,AG33)))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083" operator="containsText" id="{73403E39-60EC-418A-A1F1-818FFDDF741D}">
            <xm:f>NOT(ISERROR(SEARCH($AN$686,AG33)))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084" operator="containsText" id="{08816608-AE76-4576-9D9B-8C85E0352196}">
            <xm:f>NOT(ISERROR(SEARCH($AN$685,AG33)))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085" operator="containsText" id="{302B947D-7CBE-4939-B802-380B37B7BCC6}">
            <xm:f>NOT(ISERROR(SEARCH($AN$684,AG33)))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086" operator="containsText" id="{ADFBFEC0-6598-4F1B-9888-920A67DE2CDD}">
            <xm:f>NOT(ISERROR(SEARCH($AN$683,AG33)))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087" operator="containsText" id="{36C52622-4258-4899-BA4C-6C9A9467F536}">
            <xm:f>NOT(ISERROR(SEARCH($AN$682,AG33)))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088" operator="containsText" id="{6FA9BAEA-57E4-487E-BC63-E045B61F99EF}">
            <xm:f>NOT(ISERROR(SEARCH($AN$681,AG33)))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089" operator="containsText" id="{DACD16DD-2EE8-430F-BD26-16DB5B678A5A}">
            <xm:f>NOT(ISERROR(SEARCH($AN$680,AG33)))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090" operator="containsText" id="{1EF97B77-1215-45D8-8E95-10ECF666D7C0}">
            <xm:f>NOT(ISERROR(SEARCH($AN$678,AG33)))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091" operator="containsText" id="{7A62C554-BA7B-4D24-B2B3-0214B2505740}">
            <xm:f>NOT(ISERROR(SEARCH($AN$679,AG33)))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AG33:AK37</xm:sqref>
        </x14:conditionalFormatting>
        <x14:conditionalFormatting xmlns:xm="http://schemas.microsoft.com/office/excel/2006/main">
          <x14:cfRule type="containsText" priority="12858" operator="containsText" id="{4DEBDD6A-7C94-43BF-A165-FA854412B0FD}">
            <xm:f>NOT(ISERROR(SEARCH($AN$690,AG71)))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2859" operator="containsText" id="{D64CE00C-2A9A-4114-BD46-100220C2DE9A}">
            <xm:f>NOT(ISERROR(SEARCH($AN$704,AG71)))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2860" operator="containsText" id="{E8ADB02C-8963-4FAC-A5D1-F8345B48491D}">
            <xm:f>NOT(ISERROR(SEARCH($AN$693,AG71)))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2861" operator="containsText" id="{1E3F9ABC-D081-4412-89E6-4E5A8802B9C3}">
            <xm:f>NOT(ISERROR(SEARCH($AN$692,AG71)))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2862" operator="containsText" id="{79622CD6-A895-4BAE-A0D3-AF4E70F063E7}">
            <xm:f>NOT(ISERROR(SEARCH($AN$691,AG71)))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2863" operator="containsText" id="{4B82F65D-75E7-4C8F-AD29-8174DCE94ACC}">
            <xm:f>NOT(ISERROR(SEARCH($AN$689,AG71)))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AG71:AK74</xm:sqref>
        </x14:conditionalFormatting>
        <x14:conditionalFormatting xmlns:xm="http://schemas.microsoft.com/office/excel/2006/main">
          <x14:cfRule type="containsText" priority="22037" operator="containsText" id="{2B3F7BC2-EA76-4736-BF61-5B6BEEA8E7A6}">
            <xm:f>NOT(ISERROR(SEARCH($AN$681,AG119)))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038" operator="containsText" id="{4D097703-B918-47CE-92EA-955B848EEA76}">
            <xm:f>NOT(ISERROR(SEARCH($AN$680,AG119)))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039" operator="containsText" id="{6FDD62D8-F162-46F6-8CCF-6D4BADE5D3DC}">
            <xm:f>NOT(ISERROR(SEARCH($AN$678,AG119)))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040" operator="containsText" id="{70C38E55-2523-4FDC-9692-95F7728CBE4D}">
            <xm:f>NOT(ISERROR(SEARCH($AN$679,AG119)))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AG119:AK122</xm:sqref>
        </x14:conditionalFormatting>
        <x14:conditionalFormatting xmlns:xm="http://schemas.microsoft.com/office/excel/2006/main">
          <x14:cfRule type="containsText" priority="22028" operator="containsText" id="{552817A0-8513-412F-B2CB-733CC851CC85}">
            <xm:f>NOT(ISERROR(SEARCH($AN$681,AG123)))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029" operator="containsText" id="{F80D7F41-A1F5-43A5-992B-D34E61CCCF71}">
            <xm:f>NOT(ISERROR(SEARCH($AN$680,AG123)))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030" operator="containsText" id="{141CC244-3F96-45E3-93B6-F5BF9282DD29}">
            <xm:f>NOT(ISERROR(SEARCH($AN$678,AG123)))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031" operator="containsText" id="{A67D384F-3DCF-4A9A-82C0-DC2E6CE05D62}">
            <xm:f>NOT(ISERROR(SEARCH($AN$679,AG123)))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AG123:AK123</xm:sqref>
        </x14:conditionalFormatting>
        <x14:conditionalFormatting xmlns:xm="http://schemas.microsoft.com/office/excel/2006/main">
          <x14:cfRule type="containsText" priority="3042" operator="containsText" id="{2FAE9FCF-EE81-4534-8AF6-BC7DE2E07051}">
            <xm:f>NOT(ISERROR(SEARCH($AN$704,AG129)))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043" operator="containsText" id="{7F4E54C1-0C80-40BF-B8A6-1D51E2BACD68}">
            <xm:f>NOT(ISERROR(SEARCH($AN$693,AG129)))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044" operator="containsText" id="{01118272-D9EE-42AE-A25C-8FEB0A5CC952}">
            <xm:f>NOT(ISERROR(SEARCH($AN$692,AG129)))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045" operator="containsText" id="{B414B705-380C-498E-ACB4-08116E5A5E7D}">
            <xm:f>NOT(ISERROR(SEARCH($AN$691,AG129)))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046" operator="containsText" id="{D0428B93-3E10-4D82-A29E-40293B270124}">
            <xm:f>NOT(ISERROR(SEARCH($AN$689,AG129)))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047" operator="containsText" id="{C34C4A38-DFB8-441C-89B2-DAFCDE2FFA94}">
            <xm:f>NOT(ISERROR(SEARCH($AN$687,AG129)))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048" operator="containsText" id="{FEE0DAB4-9E12-4787-AE08-B156E761A1C9}">
            <xm:f>NOT(ISERROR(SEARCH($AN$688,AG129)))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049" operator="containsText" id="{0D2BBB41-ACD3-4872-870E-65E39E4281E1}">
            <xm:f>NOT(ISERROR(SEARCH($AN$686,AG129)))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050" operator="containsText" id="{BBFD5015-A8C6-4BA2-8F89-064ABCE7F134}">
            <xm:f>NOT(ISERROR(SEARCH($AN$685,AG129)))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051" operator="containsText" id="{5B9E0571-457C-4874-A6C1-40AA136DF0BA}">
            <xm:f>NOT(ISERROR(SEARCH($AN$684,AG129)))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052" operator="containsText" id="{648C0C4B-2CB9-4DA3-8413-EB2D4CFB092F}">
            <xm:f>NOT(ISERROR(SEARCH($AN$683,AG129)))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053" operator="containsText" id="{7E0E1493-FA4C-405A-AF90-E1705D862461}">
            <xm:f>NOT(ISERROR(SEARCH($AN$682,AG129)))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054" operator="containsText" id="{69E6F533-3DA4-4D01-BA11-60BD254E2812}">
            <xm:f>NOT(ISERROR(SEARCH($AN$681,AG129)))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055" operator="containsText" id="{C36984B7-17F1-49C9-9730-D1FDEEC33DE6}">
            <xm:f>NOT(ISERROR(SEARCH($AN$680,AG129)))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056" operator="containsText" id="{244BBDFB-E6C9-458A-9C23-04EA49679A04}">
            <xm:f>NOT(ISERROR(SEARCH($AN$678,AG129)))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057" operator="containsText" id="{0B48ADFE-8099-41E9-B02F-9828D1D7BC9D}">
            <xm:f>NOT(ISERROR(SEARCH($AN$679,AG129)))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AG129:AK133</xm:sqref>
        </x14:conditionalFormatting>
        <x14:conditionalFormatting xmlns:xm="http://schemas.microsoft.com/office/excel/2006/main">
          <x14:cfRule type="containsText" priority="12512" operator="containsText" id="{CEF1C5AB-F441-4194-BB87-02E2EE8E2AEA}">
            <xm:f>NOT(ISERROR(SEARCH($AN$692,AG167)))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2513" operator="containsText" id="{5AFFBC5C-69DF-455A-A8F2-03A14285F866}">
            <xm:f>NOT(ISERROR(SEARCH($AN$691,AG167)))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2514" operator="containsText" id="{159276FF-02D4-4F63-A2C8-B5E4D591BC0C}">
            <xm:f>NOT(ISERROR(SEARCH($AN$689,AG167)))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2533" operator="containsText" id="{EE54DB35-EF6E-4C15-BD10-C6561A250EFE}">
            <xm:f>NOT(ISERROR(SEARCH($AN$687,AG167)))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AG167:AK167</xm:sqref>
        </x14:conditionalFormatting>
        <x14:conditionalFormatting xmlns:xm="http://schemas.microsoft.com/office/excel/2006/main">
          <x14:cfRule type="containsText" priority="4898" operator="containsText" id="{76FA1B80-B0FB-405E-A76D-B4003C6EA8F9}">
            <xm:f>NOT(ISERROR(SEARCH($AN$690,AG168)))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899" operator="containsText" id="{5E421BF2-ABA3-4CC9-B3D8-B696A032822D}">
            <xm:f>NOT(ISERROR(SEARCH($AN$704,AG168)))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900" operator="containsText" id="{AE5FAC81-684E-4148-A302-5F64E9076B79}">
            <xm:f>NOT(ISERROR(SEARCH($AN$693,AG168)))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901" operator="containsText" id="{615DB34F-8A34-4DEA-92CA-CDB63D4F6373}">
            <xm:f>NOT(ISERROR(SEARCH($AN$692,AG168)))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902" operator="containsText" id="{28632605-DCD4-47A8-B224-F2EDE2999A7A}">
            <xm:f>NOT(ISERROR(SEARCH($AN$691,AG168)))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903" operator="containsText" id="{E713B48C-3793-408A-B1F4-834702F8F1DD}">
            <xm:f>NOT(ISERROR(SEARCH($AN$689,AG168)))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AG168:AK170</xm:sqref>
        </x14:conditionalFormatting>
        <x14:conditionalFormatting xmlns:xm="http://schemas.microsoft.com/office/excel/2006/main">
          <x14:cfRule type="containsText" priority="21627" operator="containsText" id="{E28E58EA-95DD-4FB2-8F48-764751E6BFE7}">
            <xm:f>NOT(ISERROR(SEARCH($AN$681,AG215)))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628" operator="containsText" id="{FFD19E62-E88F-4317-8423-525CB117ACAF}">
            <xm:f>NOT(ISERROR(SEARCH($AN$680,AG215)))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629" operator="containsText" id="{0B2DCAD6-786F-40CA-AA69-2B3AA1F27D19}">
            <xm:f>NOT(ISERROR(SEARCH($AN$678,AG215)))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630" operator="containsText" id="{01DCC117-DBDA-42C8-8387-D8C626DBF52C}">
            <xm:f>NOT(ISERROR(SEARCH($AN$679,AG215)))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AG215:AK218</xm:sqref>
        </x14:conditionalFormatting>
        <x14:conditionalFormatting xmlns:xm="http://schemas.microsoft.com/office/excel/2006/main">
          <x14:cfRule type="containsText" priority="21618" operator="containsText" id="{096FAE8F-C9E5-4FD8-BAC8-5DBEA664EF7F}">
            <xm:f>NOT(ISERROR(SEARCH($AN$681,AG219)))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619" operator="containsText" id="{79FC2C67-81ED-41EC-84C8-9633FB5DEEED}">
            <xm:f>NOT(ISERROR(SEARCH($AN$680,AG219)))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620" operator="containsText" id="{05C36D4F-3236-4086-8691-9C47C99615FC}">
            <xm:f>NOT(ISERROR(SEARCH($AN$678,AG219)))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621" operator="containsText" id="{4B95C54E-1D19-4C12-9325-2ADC3744F278}">
            <xm:f>NOT(ISERROR(SEARCH($AN$679,AG219)))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AG219:AK219</xm:sqref>
        </x14:conditionalFormatting>
        <x14:conditionalFormatting xmlns:xm="http://schemas.microsoft.com/office/excel/2006/main">
          <x14:cfRule type="containsText" priority="3007" operator="containsText" id="{3904FFF8-BDA5-462F-A467-25A65EEF5E30}">
            <xm:f>NOT(ISERROR(SEARCH($AN$690,AG225)))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008" operator="containsText" id="{2C54BDFA-C158-445B-8BD3-30AB2BA6A04F}">
            <xm:f>NOT(ISERROR(SEARCH($AN$704,AG225)))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009" operator="containsText" id="{E0519888-03F7-4BB4-93D7-41FCC55EFFA2}">
            <xm:f>NOT(ISERROR(SEARCH($AN$693,AG225)))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010" operator="containsText" id="{AC06EC12-3A4D-4910-9DD1-861495D0ED45}">
            <xm:f>NOT(ISERROR(SEARCH($AN$692,AG225)))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011" operator="containsText" id="{3F9B0290-2464-4E84-BC43-99F9C68A0F62}">
            <xm:f>NOT(ISERROR(SEARCH($AN$691,AG225)))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012" operator="containsText" id="{405D0218-86E1-42B9-9CB9-88F8BCD08C51}">
            <xm:f>NOT(ISERROR(SEARCH($AN$689,AG225)))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013" operator="containsText" id="{71B76E37-106C-4D95-AEA2-4B13BEC02C86}">
            <xm:f>NOT(ISERROR(SEARCH($AN$687,AG225)))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014" operator="containsText" id="{9B211437-BE8D-4F84-92B4-9680A934F04C}">
            <xm:f>NOT(ISERROR(SEARCH($AN$688,AG225)))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015" operator="containsText" id="{B83E62F4-9AAE-480C-B1EC-618253904373}">
            <xm:f>NOT(ISERROR(SEARCH($AN$686,AG225)))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016" operator="containsText" id="{9A4368A6-CB97-4117-8764-98B559245C84}">
            <xm:f>NOT(ISERROR(SEARCH($AN$685,AG225)))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017" operator="containsText" id="{CE71B641-2F69-4AC3-B489-B417F4A451B4}">
            <xm:f>NOT(ISERROR(SEARCH($AN$684,AG225)))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018" operator="containsText" id="{032A7E78-DA64-4E34-9947-3880434E8B42}">
            <xm:f>NOT(ISERROR(SEARCH($AN$683,AG225)))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019" operator="containsText" id="{A127354D-5EAE-4E42-B11F-26F7FE472D08}">
            <xm:f>NOT(ISERROR(SEARCH($AN$682,AG225)))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020" operator="containsText" id="{33B02BF3-8AA5-495C-A6B9-A2680954659E}">
            <xm:f>NOT(ISERROR(SEARCH($AN$681,AG225)))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021" operator="containsText" id="{07FBCD4F-871E-4A37-9BA9-D9A3CC16E034}">
            <xm:f>NOT(ISERROR(SEARCH($AN$680,AG225)))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022" operator="containsText" id="{5BC23077-0D9A-43CE-B8A1-13FA52A01188}">
            <xm:f>NOT(ISERROR(SEARCH($AN$678,AG225)))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023" operator="containsText" id="{2851D1EF-CBD8-4BE1-ACFB-8E633886036C}">
            <xm:f>NOT(ISERROR(SEARCH($AN$679,AG225)))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AG225:AK229</xm:sqref>
        </x14:conditionalFormatting>
        <x14:conditionalFormatting xmlns:xm="http://schemas.microsoft.com/office/excel/2006/main">
          <x14:cfRule type="containsText" priority="12163" operator="containsText" id="{8ACFF2F6-D79E-4D1B-A3F6-1B11176E7E00}">
            <xm:f>NOT(ISERROR(SEARCH($AN$692,AG263)))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2164" operator="containsText" id="{AB8B5FC7-70F6-4EFF-963F-4D452428F421}">
            <xm:f>NOT(ISERROR(SEARCH($AN$691,AG263)))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2165" operator="containsText" id="{F36518E9-247F-4417-8C7E-E91298BE4FEB}">
            <xm:f>NOT(ISERROR(SEARCH($AN$689,AG263)))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2184" operator="containsText" id="{0B43AA84-AFFF-4F3C-B68C-A1936A1E8F4A}">
            <xm:f>NOT(ISERROR(SEARCH($AN$687,AG263)))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AG263:AK263</xm:sqref>
        </x14:conditionalFormatting>
        <x14:conditionalFormatting xmlns:xm="http://schemas.microsoft.com/office/excel/2006/main">
          <x14:cfRule type="containsText" priority="4581" operator="containsText" id="{02520554-2FCC-477E-A920-0B7A573B777A}">
            <xm:f>NOT(ISERROR(SEARCH($AN$690,AG264)))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582" operator="containsText" id="{C69CDD4F-2EAB-48CA-B0E8-A9A981601D27}">
            <xm:f>NOT(ISERROR(SEARCH($AN$704,AG264)))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583" operator="containsText" id="{FD313414-E37F-47AB-868E-1570A0E02B51}">
            <xm:f>NOT(ISERROR(SEARCH($AN$693,AG264)))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584" operator="containsText" id="{5A96A353-5342-477A-89DC-903AD4DF4982}">
            <xm:f>NOT(ISERROR(SEARCH($AN$692,AG264)))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585" operator="containsText" id="{BBA432DA-9408-40BF-AD4E-9B5A1235C5A8}">
            <xm:f>NOT(ISERROR(SEARCH($AN$691,AG264)))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586" operator="containsText" id="{CCDD3FA9-D68E-415C-97B8-B81DE34F47C8}">
            <xm:f>NOT(ISERROR(SEARCH($AN$689,AG264)))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AG264:AK266</xm:sqref>
        </x14:conditionalFormatting>
        <x14:conditionalFormatting xmlns:xm="http://schemas.microsoft.com/office/excel/2006/main">
          <x14:cfRule type="containsText" priority="25911" operator="containsText" id="{E264E8A0-ADBE-4CCE-9F41-5595348D36DD}">
            <xm:f>NOT(ISERROR(SEARCH($AN$681,AG311)))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5912" operator="containsText" id="{477B3B87-A981-4979-9486-ADD9D0BB6CB6}">
            <xm:f>NOT(ISERROR(SEARCH($AN$680,AG311)))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5913" operator="containsText" id="{84B994C8-CE2C-4F03-B7E6-0F0BBECB078C}">
            <xm:f>NOT(ISERROR(SEARCH($AN$678,AG311)))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5914" operator="containsText" id="{A71B6064-845A-4EC1-9B23-284A140FCAF6}">
            <xm:f>NOT(ISERROR(SEARCH($AN$679,AG311)))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AG311:AK314 AG316:AK316</xm:sqref>
        </x14:conditionalFormatting>
        <x14:conditionalFormatting xmlns:xm="http://schemas.microsoft.com/office/excel/2006/main">
          <x14:cfRule type="containsText" priority="25902" operator="containsText" id="{479754DA-5766-4BBC-A97C-A4943F706BC2}">
            <xm:f>NOT(ISERROR(SEARCH($AN$681,AG315)))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5903" operator="containsText" id="{3EB630A8-1C15-4BE5-A7DB-6726DA409DCD}">
            <xm:f>NOT(ISERROR(SEARCH($AN$680,AG315)))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5904" operator="containsText" id="{52A9ED22-6D47-4990-A3BF-BA721601A4F1}">
            <xm:f>NOT(ISERROR(SEARCH($AN$678,AG315)))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5905" operator="containsText" id="{60B68290-A2FF-424F-88BF-DE20DC1EE45A}">
            <xm:f>NOT(ISERROR(SEARCH($AN$679,AG315)))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AG315:AK315</xm:sqref>
        </x14:conditionalFormatting>
        <x14:conditionalFormatting xmlns:xm="http://schemas.microsoft.com/office/excel/2006/main">
          <x14:cfRule type="containsText" priority="24303" operator="containsText" id="{4266D659-A10C-4B48-9B4F-470CE5C9129D}">
            <xm:f>NOT(ISERROR(SEARCH($AN$681,AG316)))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4304" operator="containsText" id="{545BFF37-8B3A-4C92-B3BE-C606F1502715}">
            <xm:f>NOT(ISERROR(SEARCH($AN$680,AG316)))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4305" operator="containsText" id="{D427BBD4-CFFD-4C3F-B172-6C8BAA55FB8A}">
            <xm:f>NOT(ISERROR(SEARCH($AN$678,AG316)))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4306" operator="containsText" id="{47801F17-DD52-444B-8A29-7EFB6CE9D2A5}">
            <xm:f>NOT(ISERROR(SEARCH($AN$679,AG316)))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AG316:AK316</xm:sqref>
        </x14:conditionalFormatting>
        <x14:conditionalFormatting xmlns:xm="http://schemas.microsoft.com/office/excel/2006/main">
          <x14:cfRule type="containsText" priority="2973" operator="containsText" id="{11DE3E83-6158-401F-84B0-4963C2730283}">
            <xm:f>NOT(ISERROR(SEARCH($AN$690,AG321)))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974" operator="containsText" id="{3B7E023D-1D8E-4467-98BF-3444DBDEC0CE}">
            <xm:f>NOT(ISERROR(SEARCH($AN$704,AG321)))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975" operator="containsText" id="{9F7C1951-5273-4DBA-9379-A2362FCBD633}">
            <xm:f>NOT(ISERROR(SEARCH($AN$693,AG321)))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976" operator="containsText" id="{0ACFD045-046B-4FBE-B8FF-EC525817C594}">
            <xm:f>NOT(ISERROR(SEARCH($AN$692,AG321)))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977" operator="containsText" id="{3B8D7C1C-8858-4EFA-BC6F-3EA9407D435A}">
            <xm:f>NOT(ISERROR(SEARCH($AN$691,AG321)))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978" operator="containsText" id="{133BD4CD-D4EB-447A-98EE-891028E1C58E}">
            <xm:f>NOT(ISERROR(SEARCH($AN$689,AG321)))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979" operator="containsText" id="{D8DAF9A0-81D4-4CBE-B30D-9DE73D6018DC}">
            <xm:f>NOT(ISERROR(SEARCH($AN$687,AG321)))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980" operator="containsText" id="{173A0257-AC8F-470E-B6D0-661F930677C9}">
            <xm:f>NOT(ISERROR(SEARCH($AN$688,AG321)))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981" operator="containsText" id="{622E1DBE-9A4F-4285-88DA-916D12D6996D}">
            <xm:f>NOT(ISERROR(SEARCH($AN$686,AG321)))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982" operator="containsText" id="{4AEFEAF1-E718-4F9C-904C-5059F1BE3C55}">
            <xm:f>NOT(ISERROR(SEARCH($AN$685,AG321)))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983" operator="containsText" id="{2E0CE18D-1E53-4AAB-8BFC-994689B42DD0}">
            <xm:f>NOT(ISERROR(SEARCH($AN$684,AG321)))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984" operator="containsText" id="{31BBD93B-17F1-489A-9C07-434B4DEBE530}">
            <xm:f>NOT(ISERROR(SEARCH($AN$683,AG321)))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985" operator="containsText" id="{0814BC23-C3E5-4869-9FD9-AADF574BA7BD}">
            <xm:f>NOT(ISERROR(SEARCH($AN$682,AG321)))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986" operator="containsText" id="{73419B5E-2BF8-4027-9F4B-2908874D7B70}">
            <xm:f>NOT(ISERROR(SEARCH($AN$681,AG321)))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987" operator="containsText" id="{3A07BBBD-5B8F-4815-B777-90F39523D06A}">
            <xm:f>NOT(ISERROR(SEARCH($AN$680,AG321)))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988" operator="containsText" id="{4F1EA4A6-5322-49D5-91AA-1A65C7BFF86D}">
            <xm:f>NOT(ISERROR(SEARCH($AN$678,AG321)))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989" operator="containsText" id="{FA969D13-A4DF-4FE3-8C0B-CB1FEB03BCBB}">
            <xm:f>NOT(ISERROR(SEARCH($AN$679,AG321)))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AG321:AK325</xm:sqref>
        </x14:conditionalFormatting>
        <x14:conditionalFormatting xmlns:xm="http://schemas.microsoft.com/office/excel/2006/main">
          <x14:cfRule type="containsText" priority="11814" operator="containsText" id="{69D43602-ACF1-4461-B315-62A9B3A25E09}">
            <xm:f>NOT(ISERROR(SEARCH($AN$692,AG359)))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815" operator="containsText" id="{79222F9A-35DA-4666-8BDD-03C15C43367A}">
            <xm:f>NOT(ISERROR(SEARCH($AN$691,AG359)))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1816" operator="containsText" id="{5280C0D1-C780-4833-BD1F-301C7AB79F83}">
            <xm:f>NOT(ISERROR(SEARCH($AN$689,AG359)))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1835" operator="containsText" id="{56D0A574-D6BE-4AAC-8729-55F8031D973F}">
            <xm:f>NOT(ISERROR(SEARCH($AN$687,AG359)))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AG359:AK359</xm:sqref>
        </x14:conditionalFormatting>
        <x14:conditionalFormatting xmlns:xm="http://schemas.microsoft.com/office/excel/2006/main">
          <x14:cfRule type="containsText" priority="4264" operator="containsText" id="{1E24671F-F243-4133-9CA7-71C2F8E5047D}">
            <xm:f>NOT(ISERROR(SEARCH($AN$690,AG360)))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265" operator="containsText" id="{A8BC951C-A43B-4B39-BDA2-0048198CD074}">
            <xm:f>NOT(ISERROR(SEARCH($AN$704,AG360)))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266" operator="containsText" id="{900CFEC3-8E3B-4B3D-AED3-C17F6CD26A6A}">
            <xm:f>NOT(ISERROR(SEARCH($AN$693,AG360)))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267" operator="containsText" id="{2899C4D2-ED05-40DB-892D-6E6D360A4CF3}">
            <xm:f>NOT(ISERROR(SEARCH($AN$692,AG360)))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268" operator="containsText" id="{27564C01-7197-40E7-8F47-7DABEAAE98CD}">
            <xm:f>NOT(ISERROR(SEARCH($AN$691,AG360)))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269" operator="containsText" id="{539C025F-8B41-4CB2-8A2F-FBC66BEB2451}">
            <xm:f>NOT(ISERROR(SEARCH($AN$689,AG360)))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AG360:AK362</xm:sqref>
        </x14:conditionalFormatting>
        <x14:conditionalFormatting xmlns:xm="http://schemas.microsoft.com/office/excel/2006/main">
          <x14:cfRule type="containsText" priority="24087" operator="containsText" id="{B0BAF21F-4EB3-4EF0-9346-14D1E9EC3923}">
            <xm:f>NOT(ISERROR(SEARCH($AN$681,AG407)))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4088" operator="containsText" id="{F1F0FD6B-0A24-4A98-941D-FD340BE1C7DE}">
            <xm:f>NOT(ISERROR(SEARCH($AN$680,AG407)))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4089" operator="containsText" id="{EA394E16-4D5A-4A93-A909-E847B1772178}">
            <xm:f>NOT(ISERROR(SEARCH($AN$678,AG407)))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4090" operator="containsText" id="{1F4288E1-5272-46F5-AE0F-51EE25CE1102}">
            <xm:f>NOT(ISERROR(SEARCH($AN$679,AG407)))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AG407:AK410 AG412:AK412</xm:sqref>
        </x14:conditionalFormatting>
        <x14:conditionalFormatting xmlns:xm="http://schemas.microsoft.com/office/excel/2006/main">
          <x14:cfRule type="containsText" priority="24078" operator="containsText" id="{461F763F-D8DD-455D-87D8-5366ACD903EB}">
            <xm:f>NOT(ISERROR(SEARCH($AN$681,AG411)))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4079" operator="containsText" id="{1A5BD89E-51A3-4C1E-A2FC-93C1DD787269}">
            <xm:f>NOT(ISERROR(SEARCH($AN$680,AG411)))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4080" operator="containsText" id="{4CCC521F-273F-4D37-8B77-B150B5059AAD}">
            <xm:f>NOT(ISERROR(SEARCH($AN$678,AG411)))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4081" operator="containsText" id="{241B97DC-56AD-462B-B603-AB40EAAA0307}">
            <xm:f>NOT(ISERROR(SEARCH($AN$679,AG411)))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AG411:AK411</xm:sqref>
        </x14:conditionalFormatting>
        <x14:conditionalFormatting xmlns:xm="http://schemas.microsoft.com/office/excel/2006/main">
          <x14:cfRule type="containsText" priority="23893" operator="containsText" id="{BD29E41F-1D13-4DBE-8830-750E7C61677D}">
            <xm:f>NOT(ISERROR(SEARCH($AN$681,AG412)))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894" operator="containsText" id="{883EC5E8-D839-4543-B46E-58BFA65D2BF9}">
            <xm:f>NOT(ISERROR(SEARCH($AN$680,AG412)))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895" operator="containsText" id="{9D0F75F6-27DA-4D28-A2C5-E391A77A001A}">
            <xm:f>NOT(ISERROR(SEARCH($AN$678,AG412)))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896" operator="containsText" id="{976D2DCB-BF38-4E5E-8FAA-C3B49030E3AA}">
            <xm:f>NOT(ISERROR(SEARCH($AN$679,AG412)))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AG412:AK412</xm:sqref>
        </x14:conditionalFormatting>
        <x14:conditionalFormatting xmlns:xm="http://schemas.microsoft.com/office/excel/2006/main">
          <x14:cfRule type="containsText" priority="2939" operator="containsText" id="{D500A631-44DA-44EA-8641-4F9E5C8DC1A1}">
            <xm:f>NOT(ISERROR(SEARCH($AN$690,AG417)))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940" operator="containsText" id="{BB6738A0-E679-4CC0-A1B2-19814F8AFE28}">
            <xm:f>NOT(ISERROR(SEARCH($AN$704,AG417)))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941" operator="containsText" id="{3AF48176-BBB3-41C8-A5D7-938BBA86316C}">
            <xm:f>NOT(ISERROR(SEARCH($AN$693,AG417)))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942" operator="containsText" id="{3728AEA9-A89A-43B9-8EE3-E978BF2316A1}">
            <xm:f>NOT(ISERROR(SEARCH($AN$692,AG417)))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943" operator="containsText" id="{64E32E7C-96C4-4C18-8BCC-0F67529BD84E}">
            <xm:f>NOT(ISERROR(SEARCH($AN$691,AG417)))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944" operator="containsText" id="{79423C48-FE68-473C-BD53-E8595E893B6A}">
            <xm:f>NOT(ISERROR(SEARCH($AN$689,AG417)))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945" operator="containsText" id="{46347B4C-CB67-44FD-83B7-884E33F80EA1}">
            <xm:f>NOT(ISERROR(SEARCH($AN$687,AG417)))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946" operator="containsText" id="{D9D53D3B-4F67-421B-86D3-65A084D3F6E4}">
            <xm:f>NOT(ISERROR(SEARCH($AN$688,AG417)))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947" operator="containsText" id="{BF51510B-1A05-43E5-92BD-C71B20A5A24E}">
            <xm:f>NOT(ISERROR(SEARCH($AN$686,AG417)))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948" operator="containsText" id="{824B9A96-C845-4D52-94E8-3DC4A539E58A}">
            <xm:f>NOT(ISERROR(SEARCH($AN$685,AG417)))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949" operator="containsText" id="{E845396B-07B1-4B23-8748-9EBECB6E82FB}">
            <xm:f>NOT(ISERROR(SEARCH($AN$684,AG417)))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950" operator="containsText" id="{C2D629BF-9967-4530-8C7A-8E111D0562B1}">
            <xm:f>NOT(ISERROR(SEARCH($AN$683,AG417)))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951" operator="containsText" id="{7E63E9F5-B5CB-4A65-9C0B-EC93571F7ECD}">
            <xm:f>NOT(ISERROR(SEARCH($AN$682,AG417)))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952" operator="containsText" id="{52F668C5-B41C-4972-AFEA-BA450F0C276F}">
            <xm:f>NOT(ISERROR(SEARCH($AN$681,AG417)))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953" operator="containsText" id="{24F2A83B-B06B-40FB-98F9-E55003AFD93E}">
            <xm:f>NOT(ISERROR(SEARCH($AN$680,AG417)))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954" operator="containsText" id="{C01875AF-EFFC-47C0-B61B-536D25472A4E}">
            <xm:f>NOT(ISERROR(SEARCH($AN$678,AG417)))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955" operator="containsText" id="{7082644A-9C5F-4760-B421-21CF9DC11DEB}">
            <xm:f>NOT(ISERROR(SEARCH($AN$679,AG417)))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AG417:AK421</xm:sqref>
        </x14:conditionalFormatting>
        <x14:conditionalFormatting xmlns:xm="http://schemas.microsoft.com/office/excel/2006/main">
          <x14:cfRule type="containsText" priority="11465" operator="containsText" id="{8DB036CD-CC55-46BD-A96D-8B0940C86C2A}">
            <xm:f>NOT(ISERROR(SEARCH($AN$692,AG455)))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466" operator="containsText" id="{B58AB8E6-3135-4A76-BF5F-C5DB22FC0AE0}">
            <xm:f>NOT(ISERROR(SEARCH($AN$691,AG455)))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1467" operator="containsText" id="{A66A10A4-C4CC-41AE-A877-C1AFEDFD2224}">
            <xm:f>NOT(ISERROR(SEARCH($AN$689,AG455)))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1486" operator="containsText" id="{02CA7BA4-8CAB-476F-9E03-8B3E21EBBAFB}">
            <xm:f>NOT(ISERROR(SEARCH($AN$687,AG455)))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AG455:AK455</xm:sqref>
        </x14:conditionalFormatting>
        <x14:conditionalFormatting xmlns:xm="http://schemas.microsoft.com/office/excel/2006/main">
          <x14:cfRule type="containsText" priority="3947" operator="containsText" id="{842C1851-D475-4F6C-93D7-0DC775B23D6B}">
            <xm:f>NOT(ISERROR(SEARCH($AN$690,AG456)))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948" operator="containsText" id="{B98DE0C0-B9C8-40D0-9C19-D85280AE2C41}">
            <xm:f>NOT(ISERROR(SEARCH($AN$704,AG456)))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949" operator="containsText" id="{203AD9A9-C78C-423F-A25B-DA705046E514}">
            <xm:f>NOT(ISERROR(SEARCH($AN$693,AG456)))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950" operator="containsText" id="{DE4FA03E-3312-419E-8158-26FF303714C3}">
            <xm:f>NOT(ISERROR(SEARCH($AN$692,AG456)))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951" operator="containsText" id="{CDFE14AA-CBC1-4821-8F6E-07288414DEAF}">
            <xm:f>NOT(ISERROR(SEARCH($AN$691,AG456)))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952" operator="containsText" id="{8A607769-9E3F-474C-8E18-5CDFAEC7AD3B}">
            <xm:f>NOT(ISERROR(SEARCH($AN$689,AG456)))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AG456:AK458</xm:sqref>
        </x14:conditionalFormatting>
        <x14:conditionalFormatting xmlns:xm="http://schemas.microsoft.com/office/excel/2006/main">
          <x14:cfRule type="containsText" priority="23677" operator="containsText" id="{F1E09915-5F8A-4D73-9FBF-0CF1FAA5FA25}">
            <xm:f>NOT(ISERROR(SEARCH($AN$681,AG503)))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678" operator="containsText" id="{829EF303-89CA-4B5C-9E3C-3DCCFEDA95C1}">
            <xm:f>NOT(ISERROR(SEARCH($AN$680,AG503)))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679" operator="containsText" id="{6A0ACEFC-105A-42A2-83FD-44B676277CC8}">
            <xm:f>NOT(ISERROR(SEARCH($AN$678,AG503)))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680" operator="containsText" id="{BFD5A2DB-3A6D-44AE-A350-23A94A3A9CCF}">
            <xm:f>NOT(ISERROR(SEARCH($AN$679,AG503)))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AG503:AK506 AG508:AK508</xm:sqref>
        </x14:conditionalFormatting>
        <x14:conditionalFormatting xmlns:xm="http://schemas.microsoft.com/office/excel/2006/main">
          <x14:cfRule type="containsText" priority="23668" operator="containsText" id="{C331B2C1-8FCD-404F-AF4C-884A2BBD8322}">
            <xm:f>NOT(ISERROR(SEARCH($AN$681,AG507)))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669" operator="containsText" id="{09FF01D6-535C-4A55-AA36-942B76EA1E17}">
            <xm:f>NOT(ISERROR(SEARCH($AN$680,AG507)))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670" operator="containsText" id="{E60F72E0-0E06-4A53-AC7A-CF35F25E8B24}">
            <xm:f>NOT(ISERROR(SEARCH($AN$678,AG507)))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671" operator="containsText" id="{8D324295-1441-47A1-910B-3F581982B8EB}">
            <xm:f>NOT(ISERROR(SEARCH($AN$679,AG507)))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AG507:AK507</xm:sqref>
        </x14:conditionalFormatting>
        <x14:conditionalFormatting xmlns:xm="http://schemas.microsoft.com/office/excel/2006/main">
          <x14:cfRule type="containsText" priority="23483" operator="containsText" id="{4397EF99-4550-4CA4-BC23-7776C402C7EC}">
            <xm:f>NOT(ISERROR(SEARCH($AN$681,AG508)))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484" operator="containsText" id="{7DB2DBE7-E45A-44AD-ABC1-F22B38E4D576}">
            <xm:f>NOT(ISERROR(SEARCH($AN$680,AG508)))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485" operator="containsText" id="{05412BB7-F831-4F42-9E9F-9B24A51C1A2F}">
            <xm:f>NOT(ISERROR(SEARCH($AN$678,AG508)))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486" operator="containsText" id="{C8D3B7FC-C4D1-42F5-BB78-956CC6D05DFA}">
            <xm:f>NOT(ISERROR(SEARCH($AN$679,AG508)))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AG508:AK508</xm:sqref>
        </x14:conditionalFormatting>
        <x14:conditionalFormatting xmlns:xm="http://schemas.microsoft.com/office/excel/2006/main">
          <x14:cfRule type="containsText" priority="2905" operator="containsText" id="{25D097CB-5823-49B5-B871-6D6B6C0A69C6}">
            <xm:f>NOT(ISERROR(SEARCH($AN$690,AG513)))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906" operator="containsText" id="{AB530A1D-B8C1-4F6E-AA3C-AD30B072C964}">
            <xm:f>NOT(ISERROR(SEARCH($AN$704,AG513)))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907" operator="containsText" id="{D8E234F2-2F5F-4E01-9B23-16511640DA65}">
            <xm:f>NOT(ISERROR(SEARCH($AN$693,AG513)))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908" operator="containsText" id="{644C6E3E-A5D6-45B2-9822-A96D408C2995}">
            <xm:f>NOT(ISERROR(SEARCH($AN$692,AG513)))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909" operator="containsText" id="{31CD439C-BA05-4ACF-869B-4F71ACF81FA9}">
            <xm:f>NOT(ISERROR(SEARCH($AN$691,AG513)))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910" operator="containsText" id="{AE606B08-27A5-4B0A-BAAD-DBD96FE164C4}">
            <xm:f>NOT(ISERROR(SEARCH($AN$689,AG513)))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911" operator="containsText" id="{5A280B36-C55E-4FEE-9A3B-0453FB77707F}">
            <xm:f>NOT(ISERROR(SEARCH($AN$687,AG513)))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912" operator="containsText" id="{C8037BAF-AF42-4CFC-8854-4690AB975B40}">
            <xm:f>NOT(ISERROR(SEARCH($AN$688,AG513)))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913" operator="containsText" id="{960FE5D9-7972-46BC-998A-675221FCB8F7}">
            <xm:f>NOT(ISERROR(SEARCH($AN$686,AG513)))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914" operator="containsText" id="{AE89F5BF-80CB-4984-BE07-9A7D3D2F5C58}">
            <xm:f>NOT(ISERROR(SEARCH($AN$685,AG513)))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915" operator="containsText" id="{D0EBC3DE-3A44-4567-9EC3-F1995E717412}">
            <xm:f>NOT(ISERROR(SEARCH($AN$684,AG513)))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916" operator="containsText" id="{69503EA8-A28C-4117-B220-991401F57FE9}">
            <xm:f>NOT(ISERROR(SEARCH($AN$683,AG513)))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917" operator="containsText" id="{8E091D61-696F-4C28-A3C2-9F5F3C22B895}">
            <xm:f>NOT(ISERROR(SEARCH($AN$682,AG513)))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918" operator="containsText" id="{76FE3759-1D48-4074-BE6A-B2BAFDE68400}">
            <xm:f>NOT(ISERROR(SEARCH($AN$681,AG513)))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919" operator="containsText" id="{30998D4C-7295-4D1A-8D68-86DA08A9FA7F}">
            <xm:f>NOT(ISERROR(SEARCH($AN$680,AG513)))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920" operator="containsText" id="{0A66E49F-642D-44B8-93AD-70BE10F31FF2}">
            <xm:f>NOT(ISERROR(SEARCH($AN$678,AG513)))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921" operator="containsText" id="{B83C2F5D-1232-4A5B-B686-277B409B8079}">
            <xm:f>NOT(ISERROR(SEARCH($AN$679,AG513)))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AG513:AK517</xm:sqref>
        </x14:conditionalFormatting>
        <x14:conditionalFormatting xmlns:xm="http://schemas.microsoft.com/office/excel/2006/main">
          <x14:cfRule type="containsText" priority="11116" operator="containsText" id="{B9D885F5-774D-4EDE-8691-A332D593FEC0}">
            <xm:f>NOT(ISERROR(SEARCH($AN$692,AG551)))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117" operator="containsText" id="{B5CA9E54-D19E-4ED2-B6A3-142ADFA66A80}">
            <xm:f>NOT(ISERROR(SEARCH($AN$691,AG551)))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1118" operator="containsText" id="{93BD61D1-3824-4EBD-9D60-5967FFE74020}">
            <xm:f>NOT(ISERROR(SEARCH($AN$689,AG551)))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1137" operator="containsText" id="{6407F11B-F023-475D-A757-565B711A66CA}">
            <xm:f>NOT(ISERROR(SEARCH($AN$687,AG551)))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AG551:AK551</xm:sqref>
        </x14:conditionalFormatting>
        <x14:conditionalFormatting xmlns:xm="http://schemas.microsoft.com/office/excel/2006/main">
          <x14:cfRule type="containsText" priority="3630" operator="containsText" id="{E0B98908-3B76-4C42-A70D-E7E3C76CFA5F}">
            <xm:f>NOT(ISERROR(SEARCH($AN$690,AG552)))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631" operator="containsText" id="{F11AF8DF-DC2B-4E58-9040-06B349F5A614}">
            <xm:f>NOT(ISERROR(SEARCH($AN$704,AG552)))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632" operator="containsText" id="{1D659EB8-C879-461F-A0BD-9AD70B7558FB}">
            <xm:f>NOT(ISERROR(SEARCH($AN$693,AG552)))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633" operator="containsText" id="{81F57A25-6FDF-47C3-8D43-589E412B6F35}">
            <xm:f>NOT(ISERROR(SEARCH($AN$692,AG552)))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634" operator="containsText" id="{A8DFE34E-A37B-44E6-9230-9743C84B42F5}">
            <xm:f>NOT(ISERROR(SEARCH($AN$691,AG552)))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635" operator="containsText" id="{9B068CD4-61B9-47C4-B44A-418386AD58E6}">
            <xm:f>NOT(ISERROR(SEARCH($AN$689,AG552)))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AG552:AK554</xm:sqref>
        </x14:conditionalFormatting>
        <x14:conditionalFormatting xmlns:xm="http://schemas.microsoft.com/office/excel/2006/main">
          <x14:cfRule type="containsText" priority="23267" operator="containsText" id="{99469C8B-B965-4DA0-82FA-937D3AB7389C}">
            <xm:f>NOT(ISERROR(SEARCH($AN$681,AG599)))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268" operator="containsText" id="{5651CD0D-263D-4292-B589-BD7DA50C9FDB}">
            <xm:f>NOT(ISERROR(SEARCH($AN$680,AG599)))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269" operator="containsText" id="{C30485A3-63FB-46B1-BC9E-D9D5E4FD586C}">
            <xm:f>NOT(ISERROR(SEARCH($AN$678,AG599)))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270" operator="containsText" id="{9BAFA35B-E6D7-4998-BEE1-99491C10D3BD}">
            <xm:f>NOT(ISERROR(SEARCH($AN$679,AG599)))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AG599:AK602 AG604:AK604</xm:sqref>
        </x14:conditionalFormatting>
        <x14:conditionalFormatting xmlns:xm="http://schemas.microsoft.com/office/excel/2006/main">
          <x14:cfRule type="containsText" priority="23258" operator="containsText" id="{437F9028-D1A5-4A24-943B-92F72FAFE8DC}">
            <xm:f>NOT(ISERROR(SEARCH($AN$681,AG603)))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259" operator="containsText" id="{D17D8FB7-84A3-40EA-B54E-0466A158B5AE}">
            <xm:f>NOT(ISERROR(SEARCH($AN$680,AG603)))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260" operator="containsText" id="{03741BD2-7E86-4075-AEC4-0025A98C7DAA}">
            <xm:f>NOT(ISERROR(SEARCH($AN$678,AG603)))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261" operator="containsText" id="{0B208D32-4916-43AD-B3EA-893B3734B503}">
            <xm:f>NOT(ISERROR(SEARCH($AN$679,AG603)))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AG603:AK603</xm:sqref>
        </x14:conditionalFormatting>
        <x14:conditionalFormatting xmlns:xm="http://schemas.microsoft.com/office/excel/2006/main">
          <x14:cfRule type="containsText" priority="23073" operator="containsText" id="{4017D029-FE4B-4A20-8EFA-67103B510076}">
            <xm:f>NOT(ISERROR(SEARCH($AN$681,AG604)))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3074" operator="containsText" id="{1083C3DA-2439-4E16-A282-3B31FC720ADC}">
            <xm:f>NOT(ISERROR(SEARCH($AN$680,AG604)))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3075" operator="containsText" id="{2F69E407-E48D-4A1E-92A5-D707015B52D3}">
            <xm:f>NOT(ISERROR(SEARCH($AN$678,AG604)))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3076" operator="containsText" id="{744ACE40-0719-4A6A-996D-6BC63A29329C}">
            <xm:f>NOT(ISERROR(SEARCH($AN$679,AG604)))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AG604:AK604</xm:sqref>
        </x14:conditionalFormatting>
        <x14:conditionalFormatting xmlns:xm="http://schemas.microsoft.com/office/excel/2006/main">
          <x14:cfRule type="containsText" priority="3228" operator="containsText" id="{CE2BA65D-EF49-4FCF-9EFC-134D023B590B}">
            <xm:f>NOT(ISERROR(SEARCH($AN$690,AG609)))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229" operator="containsText" id="{4C50C3FB-B912-47CF-AB34-3EE37EF2CE10}">
            <xm:f>NOT(ISERROR(SEARCH($AN$704,AG609)))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230" operator="containsText" id="{A7BFAC46-A75A-4072-B712-15A48B739926}">
            <xm:f>NOT(ISERROR(SEARCH($AN$693,AG609)))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231" operator="containsText" id="{9403C7E1-A99A-4EBE-913D-6865C41B8CF1}">
            <xm:f>NOT(ISERROR(SEARCH($AN$692,AG609)))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232" operator="containsText" id="{4D7A7C54-B4C6-456B-B2BE-4465D13A1A11}">
            <xm:f>NOT(ISERROR(SEARCH($AN$691,AG609)))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233" operator="containsText" id="{1B396D27-BCC0-47FF-81EE-AB6EAA86F144}">
            <xm:f>NOT(ISERROR(SEARCH($AN$689,AG609)))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234" operator="containsText" id="{2B437FA6-AD03-4A20-9946-F3D9E5EC26F7}">
            <xm:f>NOT(ISERROR(SEARCH($AN$687,AG609)))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235" operator="containsText" id="{B265D921-0EC2-42C5-954D-253EA75F9D64}">
            <xm:f>NOT(ISERROR(SEARCH($AN$688,AG609)))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236" operator="containsText" id="{9DC62296-E7AA-41E0-8477-EB21D0B3A6D0}">
            <xm:f>NOT(ISERROR(SEARCH($AN$686,AG609)))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237" operator="containsText" id="{95D7D0B5-8CCC-4112-B0E1-41F49E6C82F9}">
            <xm:f>NOT(ISERROR(SEARCH($AN$685,AG609)))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238" operator="containsText" id="{7B4334F9-6B3A-40A3-BFD1-375840FD67F0}">
            <xm:f>NOT(ISERROR(SEARCH($AN$684,AG609)))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239" operator="containsText" id="{3D85D21A-C332-4027-9CB4-8C4D623959F0}">
            <xm:f>NOT(ISERROR(SEARCH($AN$683,AG609)))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240" operator="containsText" id="{7D9AC661-3432-43C1-8128-F6D71F30FD8F}">
            <xm:f>NOT(ISERROR(SEARCH($AN$682,AG609)))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241" operator="containsText" id="{11155C66-57CF-4BF8-8034-F344E6CE246E}">
            <xm:f>NOT(ISERROR(SEARCH($AN$681,AG609)))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242" operator="containsText" id="{05EC2419-84B2-47BB-80EB-52AE80416BBB}">
            <xm:f>NOT(ISERROR(SEARCH($AN$680,AG609)))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243" operator="containsText" id="{42FD9E65-4441-4B5B-91E9-3A650760785F}">
            <xm:f>NOT(ISERROR(SEARCH($AN$678,AG609)))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244" operator="containsText" id="{D5836EAE-6AD3-4332-8217-123E35431E8D}">
            <xm:f>NOT(ISERROR(SEARCH($AN$679,AG609)))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AG609:AK613</xm:sqref>
        </x14:conditionalFormatting>
        <x14:conditionalFormatting xmlns:xm="http://schemas.microsoft.com/office/excel/2006/main">
          <x14:cfRule type="containsText" priority="3211" operator="containsText" id="{683E0C31-DF97-486A-BD48-D938E4FFABCF}">
            <xm:f>NOT(ISERROR(SEARCH($AN$690,AG612)))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212" operator="containsText" id="{C2338CA1-7B64-4D3D-BCBD-E2F1E1E0AA41}">
            <xm:f>NOT(ISERROR(SEARCH($AN$704,AG612)))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213" operator="containsText" id="{BDEA1751-9E58-4EE3-823A-F9FC2DC05E5C}">
            <xm:f>NOT(ISERROR(SEARCH($AN$693,AG612)))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214" operator="containsText" id="{095913A0-2247-453F-9C71-4A7FF8D9AF9A}">
            <xm:f>NOT(ISERROR(SEARCH($AN$692,AG612)))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215" operator="containsText" id="{B3B47DC7-2BA5-4624-83A5-3E8EBE38056C}">
            <xm:f>NOT(ISERROR(SEARCH($AN$691,AG612)))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216" operator="containsText" id="{361C29A9-B1FA-4AE4-A31B-8275E4B775C3}">
            <xm:f>NOT(ISERROR(SEARCH($AN$689,AG612)))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217" operator="containsText" id="{A2E924EC-C379-4D8E-972F-1ACF330C6823}">
            <xm:f>NOT(ISERROR(SEARCH($AN$687,AG612)))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218" operator="containsText" id="{ADE409B7-C5CC-41D0-B8B6-C1DDADC63C2C}">
            <xm:f>NOT(ISERROR(SEARCH($AN$688,AG612)))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219" operator="containsText" id="{62478DD3-7C80-45C2-9A37-EC27382C6D91}">
            <xm:f>NOT(ISERROR(SEARCH($AN$686,AG612)))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220" operator="containsText" id="{1A21CC9A-6353-4181-A1A4-9BFE4A326E1B}">
            <xm:f>NOT(ISERROR(SEARCH($AN$685,AG612)))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221" operator="containsText" id="{8C892CA7-CB02-419C-9E1F-1D7F69014B52}">
            <xm:f>NOT(ISERROR(SEARCH($AN$684,AG612)))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222" operator="containsText" id="{BE370D98-0B57-45DD-8094-3BC6F6D433E6}">
            <xm:f>NOT(ISERROR(SEARCH($AN$683,AG612)))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223" operator="containsText" id="{3CB58433-0483-4DA9-AF25-E355255DB17F}">
            <xm:f>NOT(ISERROR(SEARCH($AN$682,AG612)))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224" operator="containsText" id="{5FEA2C43-6FC0-4C46-A79E-1B9191AC3967}">
            <xm:f>NOT(ISERROR(SEARCH($AN$681,AG612)))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225" operator="containsText" id="{D9601788-B853-4058-AB53-2B12538A41A4}">
            <xm:f>NOT(ISERROR(SEARCH($AN$680,AG612)))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226" operator="containsText" id="{D92331A0-CEAE-4FA1-9C0B-EEB39D000084}">
            <xm:f>NOT(ISERROR(SEARCH($AN$678,AG612)))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227" operator="containsText" id="{DBF0FA11-5ECD-4A49-B59E-0A62B3BBD958}">
            <xm:f>NOT(ISERROR(SEARCH($AN$679,AG612)))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AG612:AK613</xm:sqref>
        </x14:conditionalFormatting>
        <x14:conditionalFormatting xmlns:xm="http://schemas.microsoft.com/office/excel/2006/main">
          <x14:cfRule type="containsText" priority="10767" operator="containsText" id="{A45FD657-4776-4448-AE25-3F9653785531}">
            <xm:f>NOT(ISERROR(SEARCH($AN$692,AG647)))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768" operator="containsText" id="{69806359-4F8A-4B22-893F-6BBC1D4EDCF5}">
            <xm:f>NOT(ISERROR(SEARCH($AN$691,AG647)))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0769" operator="containsText" id="{3AF89D2A-BDDC-45B3-B580-84BCD81A1854}">
            <xm:f>NOT(ISERROR(SEARCH($AN$689,AG647)))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0788" operator="containsText" id="{F87EF23B-A61A-4442-B839-C7C23A101C83}">
            <xm:f>NOT(ISERROR(SEARCH($AN$687,AG647)))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AG647:AK647</xm:sqref>
        </x14:conditionalFormatting>
        <x14:conditionalFormatting xmlns:xm="http://schemas.microsoft.com/office/excel/2006/main">
          <x14:cfRule type="containsText" priority="3313" operator="containsText" id="{577FEE8B-E5D8-458D-A3B5-5068E2894F6D}">
            <xm:f>NOT(ISERROR(SEARCH($AN$690,AG648)))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314" operator="containsText" id="{B91B28A5-BBF5-4A5A-80A2-A5C481CC77B2}">
            <xm:f>NOT(ISERROR(SEARCH($AN$704,AG648)))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315" operator="containsText" id="{B66ECDDC-45B7-4EA6-9705-6EBE131DDF7F}">
            <xm:f>NOT(ISERROR(SEARCH($AN$693,AG648)))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316" operator="containsText" id="{73B837F6-7A04-4631-AA68-F802E32C34EE}">
            <xm:f>NOT(ISERROR(SEARCH($AN$692,AG648)))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317" operator="containsText" id="{4AFD6938-E29B-4ED2-9741-91B7393997D9}">
            <xm:f>NOT(ISERROR(SEARCH($AN$691,AG648)))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318" operator="containsText" id="{CBD64044-5F6E-4170-A537-3134E6878652}">
            <xm:f>NOT(ISERROR(SEARCH($AN$689,AG648)))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AG648:AK650</xm:sqref>
        </x14:conditionalFormatting>
        <x14:conditionalFormatting xmlns:xm="http://schemas.microsoft.com/office/excel/2006/main">
          <x14:cfRule type="containsText" priority="22857" operator="containsText" id="{A56D322D-99AF-4676-AE67-65E23312F6AB}">
            <xm:f>NOT(ISERROR(SEARCH($AN$681,AG695)))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858" operator="containsText" id="{AC2D8193-30D9-4B82-9880-BDAB2545E46D}">
            <xm:f>NOT(ISERROR(SEARCH($AN$680,AG695)))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859" operator="containsText" id="{2FBA527A-67C7-4B7A-B652-6C6CDE7481AF}">
            <xm:f>NOT(ISERROR(SEARCH($AN$678,AG695)))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860" operator="containsText" id="{78B4654B-72E1-4F21-B7A1-1E6447CA6CDC}">
            <xm:f>NOT(ISERROR(SEARCH($AN$679,AG695)))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AG695:AK698 AG700:AK700</xm:sqref>
        </x14:conditionalFormatting>
        <x14:conditionalFormatting xmlns:xm="http://schemas.microsoft.com/office/excel/2006/main">
          <x14:cfRule type="containsText" priority="22848" operator="containsText" id="{E6CADD9F-8CA5-4F0D-A8BE-92DFA3B14E3E}">
            <xm:f>NOT(ISERROR(SEARCH($AN$681,AG699)))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849" operator="containsText" id="{C521B385-DBB1-49F9-AE41-451ED599D210}">
            <xm:f>NOT(ISERROR(SEARCH($AN$680,AG699)))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850" operator="containsText" id="{47CC2305-897F-4D26-A2A7-B55DFE37BD45}">
            <xm:f>NOT(ISERROR(SEARCH($AN$678,AG699)))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851" operator="containsText" id="{DB87B336-328F-40CD-B332-FCC24206D84A}">
            <xm:f>NOT(ISERROR(SEARCH($AN$679,AG699)))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AG699:AK699</xm:sqref>
        </x14:conditionalFormatting>
        <x14:conditionalFormatting xmlns:xm="http://schemas.microsoft.com/office/excel/2006/main">
          <x14:cfRule type="containsText" priority="22663" operator="containsText" id="{90BD05D3-3D1E-49B3-ABA5-17C5BE29AF62}">
            <xm:f>NOT(ISERROR(SEARCH($AN$681,AG700)))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664" operator="containsText" id="{95231016-2757-4938-885A-7AEA3C4972DD}">
            <xm:f>NOT(ISERROR(SEARCH($AN$680,AG700)))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665" operator="containsText" id="{B108355B-5FAC-4997-B2FD-976D5B12B18A}">
            <xm:f>NOT(ISERROR(SEARCH($AN$678,AG700)))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666" operator="containsText" id="{FD2AD5D4-D0D3-4FAB-B050-3EAC449C1AAD}">
            <xm:f>NOT(ISERROR(SEARCH($AN$679,AG700)))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AG700:AK700</xm:sqref>
        </x14:conditionalFormatting>
        <x14:conditionalFormatting xmlns:xm="http://schemas.microsoft.com/office/excel/2006/main">
          <x14:cfRule type="containsText" priority="3177" operator="containsText" id="{483DFAD2-CE43-41F3-A007-F4F9825E6D8D}">
            <xm:f>NOT(ISERROR(SEARCH($AN$690,AG705)))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178" operator="containsText" id="{5EB627A6-A177-4A27-829A-C5E9E70A87C5}">
            <xm:f>NOT(ISERROR(SEARCH($AN$704,AG705)))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179" operator="containsText" id="{2A1DA09B-83C3-4880-A047-EB57445410F0}">
            <xm:f>NOT(ISERROR(SEARCH($AN$693,AG705)))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180" operator="containsText" id="{464EDC64-320B-4374-A399-83ECFB4C58F0}">
            <xm:f>NOT(ISERROR(SEARCH($AN$692,AG705)))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181" operator="containsText" id="{1AADF644-A5EB-4291-A1E4-D69337AAA848}">
            <xm:f>NOT(ISERROR(SEARCH($AN$691,AG705)))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182" operator="containsText" id="{BFF10ED5-CBD4-4CD8-B121-48B463CE0CB6}">
            <xm:f>NOT(ISERROR(SEARCH($AN$689,AG705)))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183" operator="containsText" id="{F2593C04-B1AD-4393-B9F9-F188391FEBF1}">
            <xm:f>NOT(ISERROR(SEARCH($AN$687,AG705)))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184" operator="containsText" id="{38848751-AD98-4248-9848-CBC9874162A6}">
            <xm:f>NOT(ISERROR(SEARCH($AN$688,AG705)))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185" operator="containsText" id="{57E1A4D5-352E-4040-AEEE-B1EDE5411772}">
            <xm:f>NOT(ISERROR(SEARCH($AN$686,AG705)))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186" operator="containsText" id="{C9AB5F85-A2EA-4956-99EB-1CDBDD99F8FD}">
            <xm:f>NOT(ISERROR(SEARCH($AN$685,AG705)))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187" operator="containsText" id="{62032843-D93E-491E-9A54-2BBB0A9D78AC}">
            <xm:f>NOT(ISERROR(SEARCH($AN$684,AG705)))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188" operator="containsText" id="{331E1750-36A1-4708-B6D1-16C72B0CA69F}">
            <xm:f>NOT(ISERROR(SEARCH($AN$683,AG705)))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189" operator="containsText" id="{F9CC688A-9A95-46BB-B456-0691C560D921}">
            <xm:f>NOT(ISERROR(SEARCH($AN$682,AG705)))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190" operator="containsText" id="{2AF982B4-B5D8-4A37-8B7C-4EDC8029B6D3}">
            <xm:f>NOT(ISERROR(SEARCH($AN$681,AG705)))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191" operator="containsText" id="{29E406A4-ECD0-428A-80B6-94F949B24E6D}">
            <xm:f>NOT(ISERROR(SEARCH($AN$680,AG705)))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192" operator="containsText" id="{98918186-EFF6-4434-9AFA-4C2755789982}">
            <xm:f>NOT(ISERROR(SEARCH($AN$678,AG705)))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193" operator="containsText" id="{316081B6-AF59-459F-9DF7-3C86870C8D2E}">
            <xm:f>NOT(ISERROR(SEARCH($AN$679,AG705)))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AG705:AK709</xm:sqref>
        </x14:conditionalFormatting>
        <x14:conditionalFormatting xmlns:xm="http://schemas.microsoft.com/office/excel/2006/main">
          <x14:cfRule type="containsText" priority="3160" operator="containsText" id="{9131BC1B-5B77-4199-BCD2-C5A5BD4A4CEC}">
            <xm:f>NOT(ISERROR(SEARCH($AN$690,AG708)))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161" operator="containsText" id="{100C39FB-2313-43F2-826A-28E7AB574CF8}">
            <xm:f>NOT(ISERROR(SEARCH($AN$704,AG708)))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162" operator="containsText" id="{FA7934FA-C1BF-4199-BD9F-B307A29D3916}">
            <xm:f>NOT(ISERROR(SEARCH($AN$693,AG708)))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163" operator="containsText" id="{35B9C371-5A21-4889-A389-4EA69CD15CB6}">
            <xm:f>NOT(ISERROR(SEARCH($AN$692,AG708)))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164" operator="containsText" id="{35D3188B-C11A-476A-9952-6513B9A466FD}">
            <xm:f>NOT(ISERROR(SEARCH($AN$691,AG708)))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165" operator="containsText" id="{1810DAA0-0B82-4636-B244-5F50C930FB0D}">
            <xm:f>NOT(ISERROR(SEARCH($AN$689,AG708)))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166" operator="containsText" id="{7D822A51-59CB-4A82-99F1-9ABE3B4DD84D}">
            <xm:f>NOT(ISERROR(SEARCH($AN$687,AG708)))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167" operator="containsText" id="{35B79C24-CF0B-4B81-B2EC-514EF07E1F61}">
            <xm:f>NOT(ISERROR(SEARCH($AN$688,AG708)))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168" operator="containsText" id="{D0E10101-7873-4978-A964-D3E8CBB09E45}">
            <xm:f>NOT(ISERROR(SEARCH($AN$686,AG708)))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169" operator="containsText" id="{12BB8390-DA82-4395-9EF2-DD1E01C9EFD4}">
            <xm:f>NOT(ISERROR(SEARCH($AN$685,AG708)))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170" operator="containsText" id="{C5294C46-7915-4711-A009-D447E4B20190}">
            <xm:f>NOT(ISERROR(SEARCH($AN$684,AG708)))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171" operator="containsText" id="{1BD97680-6A5E-4E45-B467-2101D4A5E449}">
            <xm:f>NOT(ISERROR(SEARCH($AN$683,AG708)))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172" operator="containsText" id="{FB17F1BF-00BD-4045-B381-77833A95EE87}">
            <xm:f>NOT(ISERROR(SEARCH($AN$682,AG708)))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173" operator="containsText" id="{B6853FA0-977B-4A83-AB57-3EFD662D3DB6}">
            <xm:f>NOT(ISERROR(SEARCH($AN$681,AG708)))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174" operator="containsText" id="{2CC8FE2C-1F3C-4A80-A70A-BC4E14630218}">
            <xm:f>NOT(ISERROR(SEARCH($AN$680,AG708)))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175" operator="containsText" id="{814BEF13-B282-4389-89FB-5DBC488BF47D}">
            <xm:f>NOT(ISERROR(SEARCH($AN$678,AG708)))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176" operator="containsText" id="{BB4BC5C6-009A-42D6-A607-BFFA5175222A}">
            <xm:f>NOT(ISERROR(SEARCH($AN$679,AG708)))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AG708:AK709</xm:sqref>
        </x14:conditionalFormatting>
        <x14:conditionalFormatting xmlns:xm="http://schemas.microsoft.com/office/excel/2006/main">
          <x14:cfRule type="containsText" priority="10415" operator="containsText" id="{A5AAC8B8-4913-436F-AC5B-A371F348DD3C}">
            <xm:f>NOT(ISERROR(SEARCH($AN$690,AG743)))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0416" operator="containsText" id="{8433FE8D-E452-4416-8649-C7C6728BDD81}">
            <xm:f>NOT(ISERROR(SEARCH($AN$704,AG743)))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0417" operator="containsText" id="{E20885C0-91E8-4917-A8BF-574BE500523D}">
            <xm:f>NOT(ISERROR(SEARCH($AN$693,AG743)))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0418" operator="containsText" id="{283BE3F4-C497-494B-A793-E90245679206}">
            <xm:f>NOT(ISERROR(SEARCH($AN$692,AG743)))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419" operator="containsText" id="{39307D76-C2DE-4E1C-BF85-B7C19C6A6A92}">
            <xm:f>NOT(ISERROR(SEARCH($AN$691,AG743)))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0420" operator="containsText" id="{FF33F5EE-440F-4C2C-BB69-E3E04F89775E}">
            <xm:f>NOT(ISERROR(SEARCH($AN$689,AG743)))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m:sqref>AG743:AK746</xm:sqref>
        </x14:conditionalFormatting>
        <x14:conditionalFormatting xmlns:xm="http://schemas.microsoft.com/office/excel/2006/main">
          <x14:cfRule type="containsText" priority="21407" operator="containsText" id="{6643F395-3C27-4238-BE63-DBD9C62DE689}">
            <xm:f>NOT(ISERROR(SEARCH($AN$681,AH28)))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408" operator="containsText" id="{979D9480-D6CE-47C5-BDD4-153EA1F7B765}">
            <xm:f>NOT(ISERROR(SEARCH($AN$680,AH28)))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409" operator="containsText" id="{A0061153-2184-454C-B2AC-7B378F279C11}">
            <xm:f>NOT(ISERROR(SEARCH($AN$678,AH28)))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410" operator="containsText" id="{5F9AA336-8ACF-47E8-BD1A-97FEDB9630E8}">
            <xm:f>NOT(ISERROR(SEARCH($AN$679,AH28)))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AH28</xm:sqref>
        </x14:conditionalFormatting>
        <x14:conditionalFormatting xmlns:xm="http://schemas.microsoft.com/office/excel/2006/main">
          <x14:cfRule type="containsText" priority="12882" operator="containsText" id="{727DF262-54F6-4100-BDE9-4B3BC0E9A79B}">
            <xm:f>NOT(ISERROR(SEARCH($AN$687,AH71)))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2883" operator="containsText" id="{C0E955DB-C0CB-4E98-AB5A-4B55DCAEFE39}">
            <xm:f>NOT(ISERROR(SEARCH($AN$688,AH71)))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884" operator="containsText" id="{27A5FF3B-35F3-48FF-86F0-F6B4BC8CAB6B}">
            <xm:f>NOT(ISERROR(SEARCH($AN$686,AH71)))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885" operator="containsText" id="{28EBEF56-7B00-458A-8E41-223E3CEB834F}">
            <xm:f>NOT(ISERROR(SEARCH($AN$685,AH71)))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886" operator="containsText" id="{7A2568D4-CDFB-4D88-9B9E-9C0898F4775B}">
            <xm:f>NOT(ISERROR(SEARCH($AN$684,AH71)))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887" operator="containsText" id="{F945CDA6-03A3-4924-8B05-2E4D5DDD9A5D}">
            <xm:f>NOT(ISERROR(SEARCH($AN$683,AH71)))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888" operator="containsText" id="{93F4BE2C-4A6F-4D3D-9B5A-C4D3EF405E95}">
            <xm:f>NOT(ISERROR(SEARCH($AN$682,AH71)))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889" operator="containsText" id="{B300CD8C-015A-4D98-B8E7-5771859E0248}">
            <xm:f>NOT(ISERROR(SEARCH($AN$681,AH71)))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890" operator="containsText" id="{CD2637DD-08E4-4DCC-A8C1-C6801882224C}">
            <xm:f>NOT(ISERROR(SEARCH($AN$680,AH71)))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891" operator="containsText" id="{C19801EF-6F5E-470E-8A7E-90D2EA5901FD}">
            <xm:f>NOT(ISERROR(SEARCH($AN$678,AH71)))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892" operator="containsText" id="{A6D522B7-3080-4B23-ABA8-F19D34F20784}">
            <xm:f>NOT(ISERROR(SEARCH($AN$679,AH71)))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AH71:AH72</xm:sqref>
        </x14:conditionalFormatting>
        <x14:conditionalFormatting xmlns:xm="http://schemas.microsoft.com/office/excel/2006/main">
          <x14:cfRule type="containsText" priority="12901" operator="containsText" id="{61F11C82-A552-42EE-9BAE-14BE9213774D}">
            <xm:f>NOT(ISERROR(SEARCH($AN$681,AH72)))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902" operator="containsText" id="{DA3326A9-902C-4E8F-BAFD-198842861C77}">
            <xm:f>NOT(ISERROR(SEARCH($AN$680,AH72)))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903" operator="containsText" id="{3715ECE6-49FD-4E60-B3A5-DC727CF17068}">
            <xm:f>NOT(ISERROR(SEARCH($AN$678,AH72)))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904" operator="containsText" id="{D8F42321-1974-4AC6-8B78-1972EFDA934C}">
            <xm:f>NOT(ISERROR(SEARCH($AN$679,AH72)))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AH72:AH73</xm:sqref>
        </x14:conditionalFormatting>
        <x14:conditionalFormatting xmlns:xm="http://schemas.microsoft.com/office/excel/2006/main">
          <x14:cfRule type="containsText" priority="12894" operator="containsText" id="{3AB7B834-D55A-4AAE-A492-3B79E0AF2BA9}">
            <xm:f>NOT(ISERROR(SEARCH($AN$687,AH72)))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2895" operator="containsText" id="{A7545410-9358-4E9A-95DD-8B6716E699FB}">
            <xm:f>NOT(ISERROR(SEARCH($AN$688,AH72)))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896" operator="containsText" id="{82E11C32-DEE6-44C2-B5EA-23DB09A199A9}">
            <xm:f>NOT(ISERROR(SEARCH($AN$686,AH72)))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897" operator="containsText" id="{470BEA18-4D71-45B9-80D6-227E31EA2BC5}">
            <xm:f>NOT(ISERROR(SEARCH($AN$685,AH72)))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898" operator="containsText" id="{C0C74905-224F-484F-B1FA-E4C410EE2264}">
            <xm:f>NOT(ISERROR(SEARCH($AN$684,AH72)))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899" operator="containsText" id="{FEBCDD56-1E8E-479F-BD53-FCE9B5D9811A}">
            <xm:f>NOT(ISERROR(SEARCH($AN$683,AH72)))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900" operator="containsText" id="{6C3389CC-1CD0-4DE3-9A1A-2CA77BA058B5}">
            <xm:f>NOT(ISERROR(SEARCH($AN$682,AH72)))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AH72:AH74</xm:sqref>
        </x14:conditionalFormatting>
        <x14:conditionalFormatting xmlns:xm="http://schemas.microsoft.com/office/excel/2006/main">
          <x14:cfRule type="containsText" priority="12918" operator="containsText" id="{B243A971-34F6-4106-BB08-2677DA45094E}">
            <xm:f>NOT(ISERROR(SEARCH($AN$681,AH73)))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919" operator="containsText" id="{9BBB5739-45EB-4F73-8730-BE4D887ED869}">
            <xm:f>NOT(ISERROR(SEARCH($AN$680,AH73)))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920" operator="containsText" id="{59E4630E-226F-44F6-A0A0-6DAD3A2A2730}">
            <xm:f>NOT(ISERROR(SEARCH($AN$678,AH73)))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921" operator="containsText" id="{D42B8AB3-1E0D-4851-A2D6-54AEAB7440EF}">
            <xm:f>NOT(ISERROR(SEARCH($AN$679,AH73)))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2922" operator="containsText" id="{F1D74CAF-8BF9-468C-AF69-A96ECFCA5AF0}">
            <xm:f>NOT(ISERROR(SEARCH($AN$681,AH73)))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923" operator="containsText" id="{11618998-35AE-49BA-B9EB-758D8C2DDE87}">
            <xm:f>NOT(ISERROR(SEARCH($AN$680,AH73)))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924" operator="containsText" id="{41AC7B87-6A58-49AC-A3DB-D0578F9356F1}">
            <xm:f>NOT(ISERROR(SEARCH($AN$678,AH73)))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925" operator="containsText" id="{81C9BA68-1695-46BC-A480-3DF0F6276BCE}">
            <xm:f>NOT(ISERROR(SEARCH($AN$679,AH73)))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AH73:AH74</xm:sqref>
        </x14:conditionalFormatting>
        <x14:conditionalFormatting xmlns:xm="http://schemas.microsoft.com/office/excel/2006/main">
          <x14:cfRule type="containsText" priority="12905" operator="containsText" id="{B1C0AFD1-9D6E-4A00-89B5-F423961FCDCE}">
            <xm:f>NOT(ISERROR(SEARCH($AN$690,AH73)))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2906" operator="containsText" id="{4FD46ADF-1870-4AA0-B89D-5FC38FBE12AF}">
            <xm:f>NOT(ISERROR(SEARCH($AN$704,AH73)))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2907" operator="containsText" id="{7ACC44F6-6251-4997-AA7D-6E335157030E}">
            <xm:f>NOT(ISERROR(SEARCH($AN$693,AH73)))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2908" operator="containsText" id="{029D02B3-A50F-4CCF-8AE9-B061566AB422}">
            <xm:f>NOT(ISERROR(SEARCH($AN$692,AH73)))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2909" operator="containsText" id="{F1C16840-B667-4E5A-B7F1-6C5B713F17FB}">
            <xm:f>NOT(ISERROR(SEARCH($AN$691,AH73)))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2910" operator="containsText" id="{BB6E0497-1D2C-4242-8AD7-CEA68B7E1872}">
            <xm:f>NOT(ISERROR(SEARCH($AN$689,AH73)))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2911" operator="containsText" id="{F1B92B6C-E58B-4A27-88AE-2C15DA1D073D}">
            <xm:f>NOT(ISERROR(SEARCH($AN$687,AH73)))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2912" operator="containsText" id="{6F6C7390-BEE6-4C7D-91D8-821BC648FA61}">
            <xm:f>NOT(ISERROR(SEARCH($AN$688,AH73)))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913" operator="containsText" id="{6E7D188B-DBC8-4306-84A6-B612C62AF121}">
            <xm:f>NOT(ISERROR(SEARCH($AN$686,AH73)))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914" operator="containsText" id="{6C260A61-DBD2-41F3-B4E0-B1E5910D4D9E}">
            <xm:f>NOT(ISERROR(SEARCH($AN$685,AH73)))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915" operator="containsText" id="{D1A9D050-CA68-412E-87BB-F46368B8C146}">
            <xm:f>NOT(ISERROR(SEARCH($AN$684,AH73)))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916" operator="containsText" id="{C3460696-7546-4F4C-B74B-3FFDC8B3F101}">
            <xm:f>NOT(ISERROR(SEARCH($AN$683,AH73)))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917" operator="containsText" id="{7B6F250C-8FA4-4125-8469-4A6ACE9B958F}">
            <xm:f>NOT(ISERROR(SEARCH($AN$682,AH73)))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AH73:AH75</xm:sqref>
        </x14:conditionalFormatting>
        <x14:conditionalFormatting xmlns:xm="http://schemas.microsoft.com/office/excel/2006/main">
          <x14:cfRule type="containsText" priority="12926" operator="containsText" id="{245E5310-96C1-4DBB-8ED0-FE81620B66C7}">
            <xm:f>NOT(ISERROR(SEARCH($AN$690,AH75)))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2927" operator="containsText" id="{8510A219-BE50-48D6-9B80-48D31F6FA7B9}">
            <xm:f>NOT(ISERROR(SEARCH($AN$704,AH75)))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2928" operator="containsText" id="{1BC6CF0B-D3E7-4988-A30C-A7819D8C9401}">
            <xm:f>NOT(ISERROR(SEARCH($AN$693,AH75)))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2929" operator="containsText" id="{F54DE231-346A-4CAA-89A9-72DBA03ACA24}">
            <xm:f>NOT(ISERROR(SEARCH($AN$692,AH75)))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2930" operator="containsText" id="{739D8792-7E6C-41D9-9FC8-27238DB69E04}">
            <xm:f>NOT(ISERROR(SEARCH($AN$691,AH75)))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2931" operator="containsText" id="{E1953323-E7E7-46E5-8AE1-DF099D8E5D9A}">
            <xm:f>NOT(ISERROR(SEARCH($AN$689,AH75)))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2932" operator="containsText" id="{1EE1AF0E-6F48-4C38-BD8C-2BC3FDEF0109}">
            <xm:f>NOT(ISERROR(SEARCH($AN$687,AH75)))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2933" operator="containsText" id="{A6C7D458-DE96-4F87-8F32-5CE62992D74F}">
            <xm:f>NOT(ISERROR(SEARCH($AN$688,AH75)))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934" operator="containsText" id="{B86B7033-9E8A-42E4-8D33-7285441ACBD8}">
            <xm:f>NOT(ISERROR(SEARCH($AN$686,AH75)))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935" operator="containsText" id="{F8AFFA43-116B-4928-B8E6-EB279A74070C}">
            <xm:f>NOT(ISERROR(SEARCH($AN$685,AH75)))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936" operator="containsText" id="{872ABB6D-2F12-4A3B-9755-F3B2A4DDFABB}">
            <xm:f>NOT(ISERROR(SEARCH($AN$684,AH75)))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937" operator="containsText" id="{04007F0D-DC5B-4B30-8AA7-43BFD8162D64}">
            <xm:f>NOT(ISERROR(SEARCH($AN$683,AH75)))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938" operator="containsText" id="{62750B8F-64D1-47AD-B645-EC3BF1344BDA}">
            <xm:f>NOT(ISERROR(SEARCH($AN$682,AH75)))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939" operator="containsText" id="{E926E9F2-524E-4E3C-BEB0-0381E01E4B29}">
            <xm:f>NOT(ISERROR(SEARCH($AN$681,AH75)))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940" operator="containsText" id="{5B2D4A29-899C-4FE1-AEDF-9919397CDF86}">
            <xm:f>NOT(ISERROR(SEARCH($AN$680,AH75)))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941" operator="containsText" id="{3D320DA8-61A6-4002-92F4-5AFCE5F7648F}">
            <xm:f>NOT(ISERROR(SEARCH($AN$678,AH75)))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942" operator="containsText" id="{4348C897-9857-430D-BB4D-FAB41685D2BA}">
            <xm:f>NOT(ISERROR(SEARCH($AN$679,AH75)))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2943" operator="containsText" id="{78B0C623-17FF-40C7-AB65-926B722BD72B}">
            <xm:f>NOT(ISERROR(SEARCH($AN$681,AH75)))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944" operator="containsText" id="{7D30286A-3ACE-4EBD-8B55-B6CE07783262}">
            <xm:f>NOT(ISERROR(SEARCH($AN$680,AH75)))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945" operator="containsText" id="{26A64D03-EDB6-4820-A726-F96A10B819BA}">
            <xm:f>NOT(ISERROR(SEARCH($AN$678,AH75)))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946" operator="containsText" id="{F4AA6DA5-55D6-4F80-A021-A45EEBD61CB4}">
            <xm:f>NOT(ISERROR(SEARCH($AN$679,AH75)))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AH75</xm:sqref>
        </x14:conditionalFormatting>
        <x14:conditionalFormatting xmlns:xm="http://schemas.microsoft.com/office/excel/2006/main">
          <x14:cfRule type="containsText" priority="12534" operator="containsText" id="{E1E4639A-B9BD-4AF4-87B8-04A52741C6F0}">
            <xm:f>NOT(ISERROR(SEARCH($AN$688,AH167)))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535" operator="containsText" id="{1144863B-7B0B-4853-BC49-9C6C7416C298}">
            <xm:f>NOT(ISERROR(SEARCH($AN$686,AH167)))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536" operator="containsText" id="{9D82F9F1-DC41-4527-8F86-D477D323B013}">
            <xm:f>NOT(ISERROR(SEARCH($AN$685,AH167)))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537" operator="containsText" id="{022DA59B-0C41-415D-A89E-E2542D834A74}">
            <xm:f>NOT(ISERROR(SEARCH($AN$684,AH167)))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538" operator="containsText" id="{15B05AE0-67DC-460A-8801-E645C894E174}">
            <xm:f>NOT(ISERROR(SEARCH($AN$683,AH167)))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539" operator="containsText" id="{E1F6A720-F768-4077-86C3-8DB8102F499B}">
            <xm:f>NOT(ISERROR(SEARCH($AN$682,AH167)))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540" operator="containsText" id="{48F6E11E-6022-4C31-B1DF-3FED199B119D}">
            <xm:f>NOT(ISERROR(SEARCH($AN$681,AH167)))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541" operator="containsText" id="{2861939B-3BD6-47E3-9FEE-96008195EB42}">
            <xm:f>NOT(ISERROR(SEARCH($AN$680,AH167)))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542" operator="containsText" id="{567E056A-D0AE-47D0-B505-812E6EDD3DCA}">
            <xm:f>NOT(ISERROR(SEARCH($AN$678,AH167)))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543" operator="containsText" id="{40AF1DAD-080A-4575-8AA1-181A5F5EF45D}">
            <xm:f>NOT(ISERROR(SEARCH($AN$679,AH167)))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AH167</xm:sqref>
        </x14:conditionalFormatting>
        <x14:conditionalFormatting xmlns:xm="http://schemas.microsoft.com/office/excel/2006/main">
          <x14:cfRule type="containsText" priority="4911" operator="containsText" id="{354F9C71-CF7B-4C67-94C5-7F1C72FE3F9B}">
            <xm:f>NOT(ISERROR(SEARCH($AN$687,AH168)))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912" operator="containsText" id="{16560D81-A363-40F2-8DD6-54D56A998418}">
            <xm:f>NOT(ISERROR(SEARCH($AN$688,AH168)))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913" operator="containsText" id="{0442BE6E-ED49-4A84-9A0C-1EBD2FA43725}">
            <xm:f>NOT(ISERROR(SEARCH($AN$686,AH168)))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914" operator="containsText" id="{F92CF37A-3AC6-4793-ADD6-6CD747A9D974}">
            <xm:f>NOT(ISERROR(SEARCH($AN$685,AH168)))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915" operator="containsText" id="{98A9DE8E-6FDE-4D5F-8091-45DE1F79D2CD}">
            <xm:f>NOT(ISERROR(SEARCH($AN$684,AH168)))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916" operator="containsText" id="{535A9D2B-8A53-4ECA-A69E-4A79A487B3AC}">
            <xm:f>NOT(ISERROR(SEARCH($AN$683,AH168)))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917" operator="containsText" id="{C67CD2A8-2F8D-409C-9524-E7707BCFF658}">
            <xm:f>NOT(ISERROR(SEARCH($AN$682,AH168)))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918" operator="containsText" id="{69823639-CBF0-4690-BE7C-48EC67967C78}">
            <xm:f>NOT(ISERROR(SEARCH($AN$681,AH168)))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919" operator="containsText" id="{9A6EBF11-15B6-469C-99F4-046D1E76B8EE}">
            <xm:f>NOT(ISERROR(SEARCH($AN$680,AH168)))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920" operator="containsText" id="{7B5DA70E-61E5-49F9-9D67-E31894B18DC8}">
            <xm:f>NOT(ISERROR(SEARCH($AN$678,AH168)))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921" operator="containsText" id="{DBB25017-AF7A-40DF-A977-9E6AF36B03F3}">
            <xm:f>NOT(ISERROR(SEARCH($AN$679,AH168)))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AH168</xm:sqref>
        </x14:conditionalFormatting>
        <x14:conditionalFormatting xmlns:xm="http://schemas.microsoft.com/office/excel/2006/main">
          <x14:cfRule type="containsText" priority="4929" operator="containsText" id="{6A169EA2-268F-4AE9-9D4D-B23425B1322E}">
            <xm:f>NOT(ISERROR(SEARCH($AN$681,AH168)))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930" operator="containsText" id="{C3FAF765-B589-407B-9318-3A845337E4E8}">
            <xm:f>NOT(ISERROR(SEARCH($AN$680,AH168)))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931" operator="containsText" id="{5D7F9BCF-2A8E-40DA-A8EA-EBD00B9A44D5}">
            <xm:f>NOT(ISERROR(SEARCH($AN$678,AH168)))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932" operator="containsText" id="{BE11BB33-5E7C-45AB-AC6D-332E9AF45EF0}">
            <xm:f>NOT(ISERROR(SEARCH($AN$679,AH168)))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AH168:AH169</xm:sqref>
        </x14:conditionalFormatting>
        <x14:conditionalFormatting xmlns:xm="http://schemas.microsoft.com/office/excel/2006/main">
          <x14:cfRule type="containsText" priority="4922" operator="containsText" id="{78947B26-7405-465B-B16B-DF2DDDF2B445}">
            <xm:f>NOT(ISERROR(SEARCH($AN$687,AH168)))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923" operator="containsText" id="{2DBA4092-CF6A-4F30-B12B-A48A358A1450}">
            <xm:f>NOT(ISERROR(SEARCH($AN$688,AH168)))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924" operator="containsText" id="{24D4A882-D21F-4A46-820D-37480A4946C9}">
            <xm:f>NOT(ISERROR(SEARCH($AN$686,AH168)))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925" operator="containsText" id="{2B214A1E-40BB-4A55-A9DD-1CC4E022B3A5}">
            <xm:f>NOT(ISERROR(SEARCH($AN$685,AH168)))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926" operator="containsText" id="{1EC39796-6C47-4C44-8E83-7EE575DC8C31}">
            <xm:f>NOT(ISERROR(SEARCH($AN$684,AH168)))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927" operator="containsText" id="{826357D6-E54D-4DFD-BC47-FC6D01FAE79C}">
            <xm:f>NOT(ISERROR(SEARCH($AN$683,AH168)))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928" operator="containsText" id="{4929F524-9D2A-4E53-96FF-0837A53ACB80}">
            <xm:f>NOT(ISERROR(SEARCH($AN$682,AH168)))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AH168:AH170</xm:sqref>
        </x14:conditionalFormatting>
        <x14:conditionalFormatting xmlns:xm="http://schemas.microsoft.com/office/excel/2006/main">
          <x14:cfRule type="containsText" priority="4946" operator="containsText" id="{782C63F7-000D-46E3-8F71-0DE0466445C4}">
            <xm:f>NOT(ISERROR(SEARCH($AN$681,AH169)))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947" operator="containsText" id="{112EEAB9-CEF8-4121-A644-E6B8E3DAA5B1}">
            <xm:f>NOT(ISERROR(SEARCH($AN$680,AH169)))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948" operator="containsText" id="{4D9F39E1-C23C-498B-9213-1FABA58F511D}">
            <xm:f>NOT(ISERROR(SEARCH($AN$678,AH169)))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949" operator="containsText" id="{07C106A4-6BFF-4B8B-A8B6-72E345C31D16}">
            <xm:f>NOT(ISERROR(SEARCH($AN$679,AH169)))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950" operator="containsText" id="{0644BAAD-03E0-4BBF-AAE6-0FAA52A37DE0}">
            <xm:f>NOT(ISERROR(SEARCH($AN$681,AH169)))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951" operator="containsText" id="{59947EB7-FE05-4F11-BF06-4E3E39FE0742}">
            <xm:f>NOT(ISERROR(SEARCH($AN$680,AH169)))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952" operator="containsText" id="{F630EB03-2EAA-4C5E-9F3A-7D11A06C88D3}">
            <xm:f>NOT(ISERROR(SEARCH($AN$678,AH169)))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953" operator="containsText" id="{EC4BC1B7-4A45-4578-9D14-495C32F13B96}">
            <xm:f>NOT(ISERROR(SEARCH($AN$679,AH169)))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AH169:AH170</xm:sqref>
        </x14:conditionalFormatting>
        <x14:conditionalFormatting xmlns:xm="http://schemas.microsoft.com/office/excel/2006/main">
          <x14:cfRule type="containsText" priority="4933" operator="containsText" id="{4B02DE14-11E4-4FF1-83A7-292D8B24DAB3}">
            <xm:f>NOT(ISERROR(SEARCH($AN$690,AH169)))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934" operator="containsText" id="{50BF4D57-0536-43E8-95CC-AB3B66C74279}">
            <xm:f>NOT(ISERROR(SEARCH($AN$704,AH169)))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935" operator="containsText" id="{DF8608B5-93F5-4FD6-830A-D89E782141D9}">
            <xm:f>NOT(ISERROR(SEARCH($AN$693,AH169)))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936" operator="containsText" id="{89F004E6-E299-4418-9692-FE11B9C61C6A}">
            <xm:f>NOT(ISERROR(SEARCH($AN$692,AH169)))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937" operator="containsText" id="{62967D30-C382-43C1-86A4-A9FA2E1CD493}">
            <xm:f>NOT(ISERROR(SEARCH($AN$691,AH169)))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938" operator="containsText" id="{E16CD4BD-3CEF-4924-8209-077B62BC5AE5}">
            <xm:f>NOT(ISERROR(SEARCH($AN$689,AH169)))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939" operator="containsText" id="{0E43C610-2942-40BC-9071-3007539E7260}">
            <xm:f>NOT(ISERROR(SEARCH($AN$687,AH169)))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940" operator="containsText" id="{338FD650-55D6-4E2E-AAA9-953BF57B9CEF}">
            <xm:f>NOT(ISERROR(SEARCH($AN$688,AH169)))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941" operator="containsText" id="{E8A003EC-3DBD-4D64-8A56-2D5593B36DFA}">
            <xm:f>NOT(ISERROR(SEARCH($AN$686,AH169)))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942" operator="containsText" id="{B5024DF5-6634-413B-9596-83E2030911C0}">
            <xm:f>NOT(ISERROR(SEARCH($AN$685,AH169)))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943" operator="containsText" id="{F15745CE-161B-4A55-B462-07F96DB38AD5}">
            <xm:f>NOT(ISERROR(SEARCH($AN$684,AH169)))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944" operator="containsText" id="{3AF25C84-4A1D-44BB-9B5C-D8BE7A89EE46}">
            <xm:f>NOT(ISERROR(SEARCH($AN$683,AH169)))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945" operator="containsText" id="{21FD6C97-AFD0-454E-9F8E-E88BB77411B0}">
            <xm:f>NOT(ISERROR(SEARCH($AN$682,AH169)))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AH169:AH171</xm:sqref>
        </x14:conditionalFormatting>
        <x14:conditionalFormatting xmlns:xm="http://schemas.microsoft.com/office/excel/2006/main">
          <x14:cfRule type="containsText" priority="4954" operator="containsText" id="{AD02A424-7A0C-4EA7-9F4F-0D685FA45A8C}">
            <xm:f>NOT(ISERROR(SEARCH($AN$690,AH171)))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955" operator="containsText" id="{F343D671-A94F-4BC9-AAD7-B015F8807789}">
            <xm:f>NOT(ISERROR(SEARCH($AN$704,AH171)))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956" operator="containsText" id="{C25782C8-93E7-42B0-9531-0B190B871EA8}">
            <xm:f>NOT(ISERROR(SEARCH($AN$693,AH171)))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957" operator="containsText" id="{AA99B9A4-8C92-4790-8144-2508327798E5}">
            <xm:f>NOT(ISERROR(SEARCH($AN$692,AH171)))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958" operator="containsText" id="{1E81BA38-1F09-4ED8-8F03-906EB8632217}">
            <xm:f>NOT(ISERROR(SEARCH($AN$691,AH171)))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959" operator="containsText" id="{3A4118D9-E73F-4441-B377-AB130CCA3CD5}">
            <xm:f>NOT(ISERROR(SEARCH($AN$689,AH171)))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960" operator="containsText" id="{93358721-5E2C-43F2-849D-AAB4DA279E10}">
            <xm:f>NOT(ISERROR(SEARCH($AN$687,AH171)))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961" operator="containsText" id="{A0AB28F5-CC12-46A7-B418-86E448B3657E}">
            <xm:f>NOT(ISERROR(SEARCH($AN$688,AH171)))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962" operator="containsText" id="{2D81D40E-056A-48D7-907F-AFC500D37FF6}">
            <xm:f>NOT(ISERROR(SEARCH($AN$686,AH171)))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963" operator="containsText" id="{174EDC2B-F2D5-4588-B9AA-988615742B40}">
            <xm:f>NOT(ISERROR(SEARCH($AN$685,AH171)))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964" operator="containsText" id="{6FE97B70-4F63-427D-AABA-1CC7C961C6FC}">
            <xm:f>NOT(ISERROR(SEARCH($AN$684,AH171)))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965" operator="containsText" id="{62613EED-DF26-4ABE-A42B-67F4A8A55F7C}">
            <xm:f>NOT(ISERROR(SEARCH($AN$683,AH171)))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966" operator="containsText" id="{DA13B504-CF8D-49C6-91C7-6D4B975AFB22}">
            <xm:f>NOT(ISERROR(SEARCH($AN$682,AH171)))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967" operator="containsText" id="{1A863468-0A3D-462A-A6B7-2ED46E680BEB}">
            <xm:f>NOT(ISERROR(SEARCH($AN$681,AH171)))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968" operator="containsText" id="{F424BAA6-FB28-4FE6-857D-70FE61B3D5E0}">
            <xm:f>NOT(ISERROR(SEARCH($AN$680,AH171)))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969" operator="containsText" id="{B7799DB6-3F44-4FB9-BB7C-BAE9F4785904}">
            <xm:f>NOT(ISERROR(SEARCH($AN$678,AH171)))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970" operator="containsText" id="{1609A71C-09FD-4FEB-B183-0117AA4BB27F}">
            <xm:f>NOT(ISERROR(SEARCH($AN$679,AH171)))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971" operator="containsText" id="{68F5266E-94E8-4D01-BD6C-2B706066E80C}">
            <xm:f>NOT(ISERROR(SEARCH($AN$681,AH171)))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972" operator="containsText" id="{DA5F84E7-6AB8-4E71-802D-4EADD4789F67}">
            <xm:f>NOT(ISERROR(SEARCH($AN$680,AH171)))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973" operator="containsText" id="{DF1D71E9-CCF9-48E3-A742-EEB7BFB0A934}">
            <xm:f>NOT(ISERROR(SEARCH($AN$678,AH171)))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974" operator="containsText" id="{ACE30430-6540-4CEF-BBF9-B82ACF112A33}">
            <xm:f>NOT(ISERROR(SEARCH($AN$679,AH171)))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AH171</xm:sqref>
        </x14:conditionalFormatting>
        <x14:conditionalFormatting xmlns:xm="http://schemas.microsoft.com/office/excel/2006/main">
          <x14:cfRule type="containsText" priority="12185" operator="containsText" id="{26A16C2F-52D3-4121-8221-386B48E81C34}">
            <xm:f>NOT(ISERROR(SEARCH($AN$688,AH263)))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186" operator="containsText" id="{6878A3A3-F20E-4D01-9039-22F71B3BEC2D}">
            <xm:f>NOT(ISERROR(SEARCH($AN$686,AH263)))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187" operator="containsText" id="{215C062F-F987-48DF-9D6D-61D3D972041E}">
            <xm:f>NOT(ISERROR(SEARCH($AN$685,AH263)))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188" operator="containsText" id="{570C7423-2EFD-45EC-8AFC-8A081DE912D3}">
            <xm:f>NOT(ISERROR(SEARCH($AN$684,AH263)))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189" operator="containsText" id="{B5401C73-E979-4626-9F13-1588FC51AD3E}">
            <xm:f>NOT(ISERROR(SEARCH($AN$683,AH263)))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190" operator="containsText" id="{0E7D1A22-0A9C-4171-97D3-119AD1B45074}">
            <xm:f>NOT(ISERROR(SEARCH($AN$682,AH263)))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191" operator="containsText" id="{95040852-99E7-44AF-8C99-030F287598AC}">
            <xm:f>NOT(ISERROR(SEARCH($AN$681,AH263)))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192" operator="containsText" id="{3DD1D611-C607-4166-95C0-583B3E4F929D}">
            <xm:f>NOT(ISERROR(SEARCH($AN$680,AH263)))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193" operator="containsText" id="{A0D0EB0B-5FAD-498C-94DF-B7FDD8401ED1}">
            <xm:f>NOT(ISERROR(SEARCH($AN$678,AH263)))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194" operator="containsText" id="{FB33616F-FAFF-4B14-BCB0-7E4C6C43DF41}">
            <xm:f>NOT(ISERROR(SEARCH($AN$679,AH263)))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AH263</xm:sqref>
        </x14:conditionalFormatting>
        <x14:conditionalFormatting xmlns:xm="http://schemas.microsoft.com/office/excel/2006/main">
          <x14:cfRule type="containsText" priority="4594" operator="containsText" id="{325BB3FF-26D1-4D6E-8645-A314CD51F7E2}">
            <xm:f>NOT(ISERROR(SEARCH($AN$687,AH264)))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595" operator="containsText" id="{9BF2C82D-3F17-458A-B71F-B916B0CF14E6}">
            <xm:f>NOT(ISERROR(SEARCH($AN$688,AH264)))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596" operator="containsText" id="{4BA533A6-E5BE-46B1-977F-776D0977F2BF}">
            <xm:f>NOT(ISERROR(SEARCH($AN$686,AH264)))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597" operator="containsText" id="{B581CD5B-7E74-4962-BFA7-CFF2990B3C6F}">
            <xm:f>NOT(ISERROR(SEARCH($AN$685,AH264)))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598" operator="containsText" id="{A266190B-3E29-47C6-8820-AE76A0EA2256}">
            <xm:f>NOT(ISERROR(SEARCH($AN$684,AH264)))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599" operator="containsText" id="{300B6B1A-62ED-4278-A2E7-7792C51A6891}">
            <xm:f>NOT(ISERROR(SEARCH($AN$683,AH264)))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600" operator="containsText" id="{3AD442F0-364E-44DE-9458-33B5D10FCA13}">
            <xm:f>NOT(ISERROR(SEARCH($AN$682,AH264)))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601" operator="containsText" id="{AA735AF9-0121-4945-AD34-6879FDA51FB2}">
            <xm:f>NOT(ISERROR(SEARCH($AN$681,AH264)))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602" operator="containsText" id="{A2E1C4BB-AB62-4F54-A1C7-9FC85EA73D08}">
            <xm:f>NOT(ISERROR(SEARCH($AN$680,AH264)))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603" operator="containsText" id="{A7D08ADE-375C-4C7C-B018-98859BE73633}">
            <xm:f>NOT(ISERROR(SEARCH($AN$678,AH264)))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604" operator="containsText" id="{364AB8F9-623E-4DE2-A5FB-F89A63C7AAD5}">
            <xm:f>NOT(ISERROR(SEARCH($AN$679,AH264)))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AH264</xm:sqref>
        </x14:conditionalFormatting>
        <x14:conditionalFormatting xmlns:xm="http://schemas.microsoft.com/office/excel/2006/main">
          <x14:cfRule type="containsText" priority="4612" operator="containsText" id="{E64CFF0B-A769-457B-8B3F-7FE3A9D036F1}">
            <xm:f>NOT(ISERROR(SEARCH($AN$681,AH264)))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613" operator="containsText" id="{1D2BCBAF-AE76-48BC-9B45-A860CA25D942}">
            <xm:f>NOT(ISERROR(SEARCH($AN$680,AH264)))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614" operator="containsText" id="{F5379F99-8672-4E42-87C2-CF11779D3D10}">
            <xm:f>NOT(ISERROR(SEARCH($AN$678,AH264)))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615" operator="containsText" id="{A08B7812-C7B5-4D42-A0F0-22B772667968}">
            <xm:f>NOT(ISERROR(SEARCH($AN$679,AH264)))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AH264:AH265</xm:sqref>
        </x14:conditionalFormatting>
        <x14:conditionalFormatting xmlns:xm="http://schemas.microsoft.com/office/excel/2006/main">
          <x14:cfRule type="containsText" priority="4605" operator="containsText" id="{6D480723-1C50-43E9-9A11-B334C5BA649F}">
            <xm:f>NOT(ISERROR(SEARCH($AN$687,AH264)))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606" operator="containsText" id="{4F381FCC-64B5-4A71-B184-CF93EAF21534}">
            <xm:f>NOT(ISERROR(SEARCH($AN$688,AH264)))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607" operator="containsText" id="{589FDCEE-E626-471F-A288-6A4BCB82F083}">
            <xm:f>NOT(ISERROR(SEARCH($AN$686,AH264)))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608" operator="containsText" id="{F3CB4436-9BA2-4634-9E02-A1C031E8089E}">
            <xm:f>NOT(ISERROR(SEARCH($AN$685,AH264)))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609" operator="containsText" id="{ED3CF719-0A5E-46DA-B638-9C59EFB431FF}">
            <xm:f>NOT(ISERROR(SEARCH($AN$684,AH264)))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610" operator="containsText" id="{80CEE602-15E4-438D-8A3E-AC3B1C35F665}">
            <xm:f>NOT(ISERROR(SEARCH($AN$683,AH264)))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611" operator="containsText" id="{991DB4EF-26E0-4B2C-86C9-9C76A1200F76}">
            <xm:f>NOT(ISERROR(SEARCH($AN$682,AH264)))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AH264:AH266</xm:sqref>
        </x14:conditionalFormatting>
        <x14:conditionalFormatting xmlns:xm="http://schemas.microsoft.com/office/excel/2006/main">
          <x14:cfRule type="containsText" priority="4629" operator="containsText" id="{2A8C07F7-0F5E-4930-B87C-CEC46D256105}">
            <xm:f>NOT(ISERROR(SEARCH($AN$681,AH265)))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630" operator="containsText" id="{6C199769-D558-44A6-9573-5259145C4781}">
            <xm:f>NOT(ISERROR(SEARCH($AN$680,AH265)))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631" operator="containsText" id="{7714884D-F929-40DE-88E3-27A250DC4F51}">
            <xm:f>NOT(ISERROR(SEARCH($AN$678,AH265)))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632" operator="containsText" id="{4B7E12A3-4F97-4D9E-A492-ABDCC7D062C4}">
            <xm:f>NOT(ISERROR(SEARCH($AN$679,AH265)))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633" operator="containsText" id="{29C37CCB-A695-4031-A4DE-18384D057DA1}">
            <xm:f>NOT(ISERROR(SEARCH($AN$681,AH265)))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634" operator="containsText" id="{388BAF2F-C413-4809-A484-0F0DED089914}">
            <xm:f>NOT(ISERROR(SEARCH($AN$680,AH265)))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635" operator="containsText" id="{A2B92260-D906-4B2B-A4C8-0AF913962872}">
            <xm:f>NOT(ISERROR(SEARCH($AN$678,AH265)))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636" operator="containsText" id="{894F8CB9-21F0-4B07-9127-957EE6541193}">
            <xm:f>NOT(ISERROR(SEARCH($AN$679,AH265)))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AH265:AH266</xm:sqref>
        </x14:conditionalFormatting>
        <x14:conditionalFormatting xmlns:xm="http://schemas.microsoft.com/office/excel/2006/main">
          <x14:cfRule type="containsText" priority="4616" operator="containsText" id="{84B7A0F4-A73F-43E8-8FBC-FD653F499456}">
            <xm:f>NOT(ISERROR(SEARCH($AN$690,AH265)))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617" operator="containsText" id="{046A8B98-9F8D-4DA4-B9CC-7E665E1C4A90}">
            <xm:f>NOT(ISERROR(SEARCH($AN$704,AH265)))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618" operator="containsText" id="{95953339-AD35-4B0E-93B9-D18E13EACF10}">
            <xm:f>NOT(ISERROR(SEARCH($AN$693,AH265)))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619" operator="containsText" id="{2BD8B5B2-936C-4CE2-9F6C-9EDA62CF8CCE}">
            <xm:f>NOT(ISERROR(SEARCH($AN$692,AH265)))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620" operator="containsText" id="{AAF70793-D0AB-4BFC-A862-B1F92931E7CE}">
            <xm:f>NOT(ISERROR(SEARCH($AN$691,AH265)))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621" operator="containsText" id="{9BB7CA82-48C2-4340-86CD-B0B7E6B3ED99}">
            <xm:f>NOT(ISERROR(SEARCH($AN$689,AH265)))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622" operator="containsText" id="{8C76EBCF-D86E-4BD4-90C8-BDBA22E8CD2C}">
            <xm:f>NOT(ISERROR(SEARCH($AN$687,AH265)))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623" operator="containsText" id="{E238A1B0-E8A1-41FC-BA49-9BAB01C8FC6D}">
            <xm:f>NOT(ISERROR(SEARCH($AN$688,AH265)))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624" operator="containsText" id="{6D6528A8-0543-4E07-A0FB-5C6366CCEC44}">
            <xm:f>NOT(ISERROR(SEARCH($AN$686,AH265)))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625" operator="containsText" id="{3F6289C4-73CF-464B-81BF-B98773E2EF20}">
            <xm:f>NOT(ISERROR(SEARCH($AN$685,AH265)))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626" operator="containsText" id="{64B8E912-C6A2-4687-9662-E3FCFC115433}">
            <xm:f>NOT(ISERROR(SEARCH($AN$684,AH265)))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627" operator="containsText" id="{DE1EA7A1-1F1E-4DFD-A38A-227BDCC0E94E}">
            <xm:f>NOT(ISERROR(SEARCH($AN$683,AH265)))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628" operator="containsText" id="{ED20AD1F-C222-4844-AB38-562A8589E6F5}">
            <xm:f>NOT(ISERROR(SEARCH($AN$682,AH265)))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AH265:AH267</xm:sqref>
        </x14:conditionalFormatting>
        <x14:conditionalFormatting xmlns:xm="http://schemas.microsoft.com/office/excel/2006/main">
          <x14:cfRule type="containsText" priority="4637" operator="containsText" id="{F2B40AD0-B819-4F14-A6E0-917D06FE8427}">
            <xm:f>NOT(ISERROR(SEARCH($AN$690,AH267)))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638" operator="containsText" id="{6A7D6452-A8B3-4441-AC8D-73C642214D3D}">
            <xm:f>NOT(ISERROR(SEARCH($AN$704,AH267)))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639" operator="containsText" id="{9F8EA67A-0F99-4F42-8914-B93941F413BA}">
            <xm:f>NOT(ISERROR(SEARCH($AN$693,AH267)))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640" operator="containsText" id="{EEFDF8F5-B887-4239-9D79-654DFC2F38EC}">
            <xm:f>NOT(ISERROR(SEARCH($AN$692,AH267)))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641" operator="containsText" id="{4DDCE75B-967F-4909-B80C-05F9AB24CA8F}">
            <xm:f>NOT(ISERROR(SEARCH($AN$691,AH267)))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642" operator="containsText" id="{54C4944A-A4E7-463A-9A26-AA66FF08157D}">
            <xm:f>NOT(ISERROR(SEARCH($AN$689,AH267)))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643" operator="containsText" id="{275A55CD-09E4-4DAC-B3A6-B4C4977113A4}">
            <xm:f>NOT(ISERROR(SEARCH($AN$687,AH267)))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644" operator="containsText" id="{3A69E36D-0DD7-4BB9-803C-91BD9E94D6DE}">
            <xm:f>NOT(ISERROR(SEARCH($AN$688,AH267)))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645" operator="containsText" id="{079BE62E-BB50-4174-BB3E-89766FCC7451}">
            <xm:f>NOT(ISERROR(SEARCH($AN$686,AH267)))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646" operator="containsText" id="{25686F8B-79FD-4FE6-86A9-734B61CC11E1}">
            <xm:f>NOT(ISERROR(SEARCH($AN$685,AH267)))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647" operator="containsText" id="{0A6A773C-1C6A-4159-98CE-0EBDE2EEF84C}">
            <xm:f>NOT(ISERROR(SEARCH($AN$684,AH267)))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648" operator="containsText" id="{2D3B140B-6482-4F6C-8589-3978144FC297}">
            <xm:f>NOT(ISERROR(SEARCH($AN$683,AH267)))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649" operator="containsText" id="{30B8CB10-6862-49F2-BE51-5C141FBFBFD8}">
            <xm:f>NOT(ISERROR(SEARCH($AN$682,AH267)))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650" operator="containsText" id="{5A1BCE94-DD44-4871-B67E-E76F29E23454}">
            <xm:f>NOT(ISERROR(SEARCH($AN$681,AH267)))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651" operator="containsText" id="{7F3F5C03-8433-4FEC-81E1-5C811B616230}">
            <xm:f>NOT(ISERROR(SEARCH($AN$680,AH267)))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652" operator="containsText" id="{306DF6B2-84B4-437D-9067-677B6563AA37}">
            <xm:f>NOT(ISERROR(SEARCH($AN$678,AH267)))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653" operator="containsText" id="{153E4CD7-32C1-4BBF-96D1-06C47E876754}">
            <xm:f>NOT(ISERROR(SEARCH($AN$679,AH267)))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654" operator="containsText" id="{9F77AFC1-0F37-4C24-99EE-BEF54066150F}">
            <xm:f>NOT(ISERROR(SEARCH($AN$681,AH267)))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655" operator="containsText" id="{CC842D57-6D90-45A3-9F94-0829C64D45DA}">
            <xm:f>NOT(ISERROR(SEARCH($AN$680,AH267)))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656" operator="containsText" id="{8BFA4107-D45D-408A-A2D8-AD289A97C4FA}">
            <xm:f>NOT(ISERROR(SEARCH($AN$678,AH267)))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657" operator="containsText" id="{691F364B-3324-479D-A6DD-B4B08480431B}">
            <xm:f>NOT(ISERROR(SEARCH($AN$679,AH267)))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AH267</xm:sqref>
        </x14:conditionalFormatting>
        <x14:conditionalFormatting xmlns:xm="http://schemas.microsoft.com/office/excel/2006/main">
          <x14:cfRule type="containsText" priority="11836" operator="containsText" id="{5A616436-4701-4EA9-8134-69B740DDDB55}">
            <xm:f>NOT(ISERROR(SEARCH($AN$688,AH359)))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837" operator="containsText" id="{3A72783D-24FC-41C8-8618-5863B6CD420D}">
            <xm:f>NOT(ISERROR(SEARCH($AN$686,AH359)))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838" operator="containsText" id="{AD34A1D2-9271-46D3-8925-1B9B3E301ED7}">
            <xm:f>NOT(ISERROR(SEARCH($AN$685,AH359)))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839" operator="containsText" id="{1A0F696E-BAC7-463B-8DB3-AA8F0053AA24}">
            <xm:f>NOT(ISERROR(SEARCH($AN$684,AH359)))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840" operator="containsText" id="{61C50F7C-C34A-47E5-978D-F6770BA7A37C}">
            <xm:f>NOT(ISERROR(SEARCH($AN$683,AH359)))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841" operator="containsText" id="{083C769E-8AD6-4709-BEB0-5DF0C156C87A}">
            <xm:f>NOT(ISERROR(SEARCH($AN$682,AH359)))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842" operator="containsText" id="{AB8AB14D-015D-4930-82BB-1025F8C429A7}">
            <xm:f>NOT(ISERROR(SEARCH($AN$681,AH359)))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843" operator="containsText" id="{91B16449-898D-4552-9E0A-6B72AB84D56A}">
            <xm:f>NOT(ISERROR(SEARCH($AN$680,AH359)))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844" operator="containsText" id="{43BE94F6-B36A-4C8B-9502-04884667A4C2}">
            <xm:f>NOT(ISERROR(SEARCH($AN$678,AH359)))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845" operator="containsText" id="{1903519A-DBC7-4CA7-A488-2E8463B96DB8}">
            <xm:f>NOT(ISERROR(SEARCH($AN$679,AH359)))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AH359</xm:sqref>
        </x14:conditionalFormatting>
        <x14:conditionalFormatting xmlns:xm="http://schemas.microsoft.com/office/excel/2006/main">
          <x14:cfRule type="containsText" priority="4277" operator="containsText" id="{A043952B-A8EB-4EBA-8348-DD2364D8F3F9}">
            <xm:f>NOT(ISERROR(SEARCH($AN$687,AH360)))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278" operator="containsText" id="{19A73570-A36B-4051-8A0C-75EB6EEBF4E9}">
            <xm:f>NOT(ISERROR(SEARCH($AN$688,AH360)))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279" operator="containsText" id="{0DB7E995-7C6F-4424-B823-477E8CDEC493}">
            <xm:f>NOT(ISERROR(SEARCH($AN$686,AH360)))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280" operator="containsText" id="{E76B9BF8-75DA-47B8-A59A-46430B83CADB}">
            <xm:f>NOT(ISERROR(SEARCH($AN$685,AH360)))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281" operator="containsText" id="{59FC9C71-8F3B-4556-A54E-B5502BE0A2CC}">
            <xm:f>NOT(ISERROR(SEARCH($AN$684,AH360)))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282" operator="containsText" id="{9E74C97C-0A69-412C-A724-217B61CF0D98}">
            <xm:f>NOT(ISERROR(SEARCH($AN$683,AH360)))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283" operator="containsText" id="{B386EDBD-C36B-483F-AEBF-95A3F052EDC5}">
            <xm:f>NOT(ISERROR(SEARCH($AN$682,AH360)))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284" operator="containsText" id="{A06C3B7F-45BF-4F19-9E21-4AAE244CD81D}">
            <xm:f>NOT(ISERROR(SEARCH($AN$681,AH360)))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285" operator="containsText" id="{6D915BE2-75BD-4CA6-9D1D-81E9F0AA9AA2}">
            <xm:f>NOT(ISERROR(SEARCH($AN$680,AH360)))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286" operator="containsText" id="{78072223-75AC-40A0-8FF7-E17ACBA48872}">
            <xm:f>NOT(ISERROR(SEARCH($AN$678,AH360)))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287" operator="containsText" id="{3B7D1390-8F18-440A-8C29-A1E23968AD5B}">
            <xm:f>NOT(ISERROR(SEARCH($AN$679,AH360)))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AH360</xm:sqref>
        </x14:conditionalFormatting>
        <x14:conditionalFormatting xmlns:xm="http://schemas.microsoft.com/office/excel/2006/main">
          <x14:cfRule type="containsText" priority="4295" operator="containsText" id="{AA6C385B-EC7F-4F36-8683-9AE0125FF18A}">
            <xm:f>NOT(ISERROR(SEARCH($AN$681,AH360)))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296" operator="containsText" id="{9FA89CE5-3553-4FDE-A236-887506D585E6}">
            <xm:f>NOT(ISERROR(SEARCH($AN$680,AH360)))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297" operator="containsText" id="{BCDBB8BD-5E75-45DC-BD3F-A15145BCE762}">
            <xm:f>NOT(ISERROR(SEARCH($AN$678,AH360)))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298" operator="containsText" id="{F005E2EA-3308-4DF1-8E8E-65810F7C29C5}">
            <xm:f>NOT(ISERROR(SEARCH($AN$679,AH360)))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AH360:AH361</xm:sqref>
        </x14:conditionalFormatting>
        <x14:conditionalFormatting xmlns:xm="http://schemas.microsoft.com/office/excel/2006/main">
          <x14:cfRule type="containsText" priority="4288" operator="containsText" id="{AB3F6F41-9854-4978-971A-D2921D4AE516}">
            <xm:f>NOT(ISERROR(SEARCH($AN$687,AH360)))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289" operator="containsText" id="{D056C376-34E0-45A2-AAE5-0F53C9A17435}">
            <xm:f>NOT(ISERROR(SEARCH($AN$688,AH360)))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290" operator="containsText" id="{ECD95DCE-297C-42CA-891F-5B38725F0933}">
            <xm:f>NOT(ISERROR(SEARCH($AN$686,AH360)))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291" operator="containsText" id="{0599F7B3-57B8-4084-B49C-DE76A9D70FC6}">
            <xm:f>NOT(ISERROR(SEARCH($AN$685,AH360)))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292" operator="containsText" id="{A935948F-F1F3-4D10-899E-177A8601A37F}">
            <xm:f>NOT(ISERROR(SEARCH($AN$684,AH360)))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293" operator="containsText" id="{6E41752A-11FF-41AD-A5B7-B45A0B634E49}">
            <xm:f>NOT(ISERROR(SEARCH($AN$683,AH360)))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294" operator="containsText" id="{41683EA8-DB9A-4F51-89C1-C5F7FC42CBB0}">
            <xm:f>NOT(ISERROR(SEARCH($AN$682,AH360)))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AH360:AH362</xm:sqref>
        </x14:conditionalFormatting>
        <x14:conditionalFormatting xmlns:xm="http://schemas.microsoft.com/office/excel/2006/main">
          <x14:cfRule type="containsText" priority="4312" operator="containsText" id="{D4E77B5C-B871-4F74-961B-384584BAD650}">
            <xm:f>NOT(ISERROR(SEARCH($AN$681,AH361)))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313" operator="containsText" id="{5D2EBD17-CCCC-420D-8936-C5A85170B949}">
            <xm:f>NOT(ISERROR(SEARCH($AN$680,AH361)))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314" operator="containsText" id="{5EEA7650-55D0-4DCB-90B1-6F307C60C838}">
            <xm:f>NOT(ISERROR(SEARCH($AN$678,AH361)))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315" operator="containsText" id="{15E0DA19-450A-436B-84C7-43F616287835}">
            <xm:f>NOT(ISERROR(SEARCH($AN$679,AH361)))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316" operator="containsText" id="{3CDC6B02-A1C6-4E00-B138-6AE380E144D0}">
            <xm:f>NOT(ISERROR(SEARCH($AN$681,AH361)))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317" operator="containsText" id="{7786E102-0888-43F1-AE9F-4DB040C11D2D}">
            <xm:f>NOT(ISERROR(SEARCH($AN$680,AH361)))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318" operator="containsText" id="{72BAC1B3-0608-4D3B-926F-1E6D1CC43B26}">
            <xm:f>NOT(ISERROR(SEARCH($AN$678,AH361)))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319" operator="containsText" id="{EE85F6E7-0886-4028-BDA3-AC4B7D9A3BA7}">
            <xm:f>NOT(ISERROR(SEARCH($AN$679,AH361)))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AH361:AH362</xm:sqref>
        </x14:conditionalFormatting>
        <x14:conditionalFormatting xmlns:xm="http://schemas.microsoft.com/office/excel/2006/main">
          <x14:cfRule type="containsText" priority="4299" operator="containsText" id="{73E7AF01-29C7-40C7-955E-C67CCA39F50C}">
            <xm:f>NOT(ISERROR(SEARCH($AN$690,AH361)))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300" operator="containsText" id="{147118BC-B59E-44E9-BC08-DCE0DE926FFA}">
            <xm:f>NOT(ISERROR(SEARCH($AN$704,AH361)))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301" operator="containsText" id="{09C53104-7BF3-4517-AF14-B7900D823F19}">
            <xm:f>NOT(ISERROR(SEARCH($AN$693,AH361)))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302" operator="containsText" id="{B5B5114F-B073-4897-9E74-C507DE640C9B}">
            <xm:f>NOT(ISERROR(SEARCH($AN$692,AH361)))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303" operator="containsText" id="{5DEC72AD-155E-4BCA-8734-D980083E3D31}">
            <xm:f>NOT(ISERROR(SEARCH($AN$691,AH361)))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304" operator="containsText" id="{830EC6B8-DFE8-4326-BC48-6EE1AFAB16F7}">
            <xm:f>NOT(ISERROR(SEARCH($AN$689,AH361)))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305" operator="containsText" id="{57B8292E-E905-4890-A467-591DAA651C07}">
            <xm:f>NOT(ISERROR(SEARCH($AN$687,AH361)))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306" operator="containsText" id="{EA5D48EB-A6E3-42B1-B52C-9B4B4D4C70EA}">
            <xm:f>NOT(ISERROR(SEARCH($AN$688,AH361)))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307" operator="containsText" id="{25B30A09-F0B4-4FA6-BC73-446CD68BA442}">
            <xm:f>NOT(ISERROR(SEARCH($AN$686,AH361)))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308" operator="containsText" id="{DC62A92F-0EC8-404C-8F2D-CF9975709164}">
            <xm:f>NOT(ISERROR(SEARCH($AN$685,AH361)))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309" operator="containsText" id="{6E24E955-5AB1-48D3-92C7-1F6D59B48E24}">
            <xm:f>NOT(ISERROR(SEARCH($AN$684,AH361)))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310" operator="containsText" id="{848E7D51-13EF-4F53-B973-FD1A2ECF23DF}">
            <xm:f>NOT(ISERROR(SEARCH($AN$683,AH361)))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311" operator="containsText" id="{4FA6B910-0CA6-43EB-A372-87393A6FCBF6}">
            <xm:f>NOT(ISERROR(SEARCH($AN$682,AH361)))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AH361:AH363</xm:sqref>
        </x14:conditionalFormatting>
        <x14:conditionalFormatting xmlns:xm="http://schemas.microsoft.com/office/excel/2006/main">
          <x14:cfRule type="containsText" priority="4320" operator="containsText" id="{D1E26F35-838B-43E1-96BB-1DF2322DF96A}">
            <xm:f>NOT(ISERROR(SEARCH($AN$690,AH363)))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321" operator="containsText" id="{DD1633C3-67FB-451D-8A32-7640831F2892}">
            <xm:f>NOT(ISERROR(SEARCH($AN$704,AH363)))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322" operator="containsText" id="{3A6A94AC-651B-42F3-8523-1BD8E48B7E85}">
            <xm:f>NOT(ISERROR(SEARCH($AN$693,AH363)))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323" operator="containsText" id="{7E3A8E79-EDD9-4E9F-8795-7FDB78E80394}">
            <xm:f>NOT(ISERROR(SEARCH($AN$692,AH363)))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324" operator="containsText" id="{B30B6903-3839-45AA-AF0C-5D8928E2C6B2}">
            <xm:f>NOT(ISERROR(SEARCH($AN$691,AH363)))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325" operator="containsText" id="{301F29AB-6DDB-4057-9AFA-EB4D11DB7DA1}">
            <xm:f>NOT(ISERROR(SEARCH($AN$689,AH363)))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326" operator="containsText" id="{11E52241-8416-447A-BF8C-6DB0EAEC33EF}">
            <xm:f>NOT(ISERROR(SEARCH($AN$687,AH363)))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327" operator="containsText" id="{20748371-4567-4FFA-9C49-C9E9248C99C8}">
            <xm:f>NOT(ISERROR(SEARCH($AN$688,AH363)))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328" operator="containsText" id="{BC75E90A-7FE7-424C-9D87-6FBA7D836E45}">
            <xm:f>NOT(ISERROR(SEARCH($AN$686,AH363)))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329" operator="containsText" id="{DAE2D526-179A-41F7-B9FF-447A362F6231}">
            <xm:f>NOT(ISERROR(SEARCH($AN$685,AH363)))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330" operator="containsText" id="{D92EA86E-1B05-4AFE-B4AF-D19B2EA2E452}">
            <xm:f>NOT(ISERROR(SEARCH($AN$684,AH363)))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331" operator="containsText" id="{172A08BD-9D95-4280-AE29-D63C18A59472}">
            <xm:f>NOT(ISERROR(SEARCH($AN$683,AH363)))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332" operator="containsText" id="{BEF6823C-BC34-44B2-BF19-16DAA2BA3110}">
            <xm:f>NOT(ISERROR(SEARCH($AN$682,AH363)))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333" operator="containsText" id="{AEC68131-F9D9-4950-BA1B-D02179035E60}">
            <xm:f>NOT(ISERROR(SEARCH($AN$681,AH363)))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334" operator="containsText" id="{46022AF9-6F27-426F-9906-D2D2EBEBAEB9}">
            <xm:f>NOT(ISERROR(SEARCH($AN$680,AH363)))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335" operator="containsText" id="{67A0A8FB-95EF-452A-BCDD-74A4A825599F}">
            <xm:f>NOT(ISERROR(SEARCH($AN$678,AH363)))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336" operator="containsText" id="{446372BC-B2F0-4714-8915-5987E1284FD4}">
            <xm:f>NOT(ISERROR(SEARCH($AN$679,AH363)))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337" operator="containsText" id="{F423B599-39C5-4378-89AE-59820901A689}">
            <xm:f>NOT(ISERROR(SEARCH($AN$681,AH363)))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338" operator="containsText" id="{83220A7E-47DD-4740-86C3-8CF32A2B47AD}">
            <xm:f>NOT(ISERROR(SEARCH($AN$680,AH363)))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339" operator="containsText" id="{E0F0BEAE-9AFC-4BA4-97DD-E6F490A8604B}">
            <xm:f>NOT(ISERROR(SEARCH($AN$678,AH363)))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340" operator="containsText" id="{8461DAC1-7FCE-4A2A-9CFD-8A690AC5A977}">
            <xm:f>NOT(ISERROR(SEARCH($AN$679,AH363)))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AH363</xm:sqref>
        </x14:conditionalFormatting>
        <x14:conditionalFormatting xmlns:xm="http://schemas.microsoft.com/office/excel/2006/main">
          <x14:cfRule type="containsText" priority="11487" operator="containsText" id="{56031E70-1EB5-4A99-BF52-2373E141E5AE}">
            <xm:f>NOT(ISERROR(SEARCH($AN$688,AH455)))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488" operator="containsText" id="{62EE6CD2-D7EB-43EB-8598-91588B2D23CC}">
            <xm:f>NOT(ISERROR(SEARCH($AN$686,AH455)))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489" operator="containsText" id="{0BF0C992-A4CE-47B2-A7D5-48507205BFEE}">
            <xm:f>NOT(ISERROR(SEARCH($AN$685,AH455)))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490" operator="containsText" id="{236644FD-7D2B-4AF8-984C-683F0CD4E9F2}">
            <xm:f>NOT(ISERROR(SEARCH($AN$684,AH455)))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491" operator="containsText" id="{2BDD28BD-5855-4ECA-B552-966A5B7CD502}">
            <xm:f>NOT(ISERROR(SEARCH($AN$683,AH455)))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492" operator="containsText" id="{F21D32F4-7E73-4E79-ACF7-B382AC74F579}">
            <xm:f>NOT(ISERROR(SEARCH($AN$682,AH455)))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493" operator="containsText" id="{6DEEDB4F-D4FD-45F2-AAD4-D0A4D8EBA8DF}">
            <xm:f>NOT(ISERROR(SEARCH($AN$681,AH455)))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494" operator="containsText" id="{0F54848A-BCF4-44C7-B8F8-E4A41D203D3C}">
            <xm:f>NOT(ISERROR(SEARCH($AN$680,AH455)))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495" operator="containsText" id="{22D25DC3-3F4B-43D1-94C5-9F1C4FA71A7D}">
            <xm:f>NOT(ISERROR(SEARCH($AN$678,AH455)))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496" operator="containsText" id="{25CF2623-E157-4459-9510-D5583D9B42E9}">
            <xm:f>NOT(ISERROR(SEARCH($AN$679,AH455)))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AH455</xm:sqref>
        </x14:conditionalFormatting>
        <x14:conditionalFormatting xmlns:xm="http://schemas.microsoft.com/office/excel/2006/main">
          <x14:cfRule type="containsText" priority="3960" operator="containsText" id="{6FFD19E4-909D-4D20-8D60-F1D23A20CE85}">
            <xm:f>NOT(ISERROR(SEARCH($AN$687,AH456)))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961" operator="containsText" id="{76BE9342-0B0D-4149-8DDF-6F312842A417}">
            <xm:f>NOT(ISERROR(SEARCH($AN$688,AH456)))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962" operator="containsText" id="{B979D2E8-0FA7-4172-84A8-56D810A95307}">
            <xm:f>NOT(ISERROR(SEARCH($AN$686,AH456)))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963" operator="containsText" id="{8968E97E-F8ED-421E-B7CC-5AEF011DF4B4}">
            <xm:f>NOT(ISERROR(SEARCH($AN$685,AH456)))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964" operator="containsText" id="{14F3D7D1-AD1A-45A8-ABD1-6E58F8A7E4BF}">
            <xm:f>NOT(ISERROR(SEARCH($AN$684,AH456)))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965" operator="containsText" id="{2FF10998-8222-4CBA-A742-187995D04C5E}">
            <xm:f>NOT(ISERROR(SEARCH($AN$683,AH456)))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966" operator="containsText" id="{217896DD-DB79-4F4F-8783-4B6D965917A0}">
            <xm:f>NOT(ISERROR(SEARCH($AN$682,AH456)))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967" operator="containsText" id="{C156D3B4-BC1D-4E85-9865-CDA013F9C2C8}">
            <xm:f>NOT(ISERROR(SEARCH($AN$681,AH456)))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968" operator="containsText" id="{3F289E45-0112-4F0A-B7B3-99822AA9ECDF}">
            <xm:f>NOT(ISERROR(SEARCH($AN$680,AH456)))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969" operator="containsText" id="{572F8F46-BEB3-4683-85A5-7BB5F4DDF0A0}">
            <xm:f>NOT(ISERROR(SEARCH($AN$678,AH456)))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970" operator="containsText" id="{F670A2FF-0ACC-4D07-A489-E95C38E984D6}">
            <xm:f>NOT(ISERROR(SEARCH($AN$679,AH456)))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AH456</xm:sqref>
        </x14:conditionalFormatting>
        <x14:conditionalFormatting xmlns:xm="http://schemas.microsoft.com/office/excel/2006/main">
          <x14:cfRule type="containsText" priority="3978" operator="containsText" id="{D85ADBDF-29BF-4864-8086-C4A87E81AC17}">
            <xm:f>NOT(ISERROR(SEARCH($AN$681,AH456)))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979" operator="containsText" id="{3C142474-CC62-4A72-A148-E8533FBC4BF2}">
            <xm:f>NOT(ISERROR(SEARCH($AN$680,AH456)))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980" operator="containsText" id="{D4D9BE16-72D3-4210-A8A2-5CEC5ABF7AD6}">
            <xm:f>NOT(ISERROR(SEARCH($AN$678,AH456)))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981" operator="containsText" id="{2F8D67F4-625C-4878-804F-A0D201456EB1}">
            <xm:f>NOT(ISERROR(SEARCH($AN$679,AH456)))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AH456:AH457</xm:sqref>
        </x14:conditionalFormatting>
        <x14:conditionalFormatting xmlns:xm="http://schemas.microsoft.com/office/excel/2006/main">
          <x14:cfRule type="containsText" priority="3971" operator="containsText" id="{F2077CF2-EB0B-4504-B22B-808CF53BD5CB}">
            <xm:f>NOT(ISERROR(SEARCH($AN$687,AH456)))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972" operator="containsText" id="{0B444DA1-68D6-41C7-A8BC-CDD9BCEA1702}">
            <xm:f>NOT(ISERROR(SEARCH($AN$688,AH456)))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973" operator="containsText" id="{34DE1CF5-6673-45A1-99B8-2C78A1C63B2A}">
            <xm:f>NOT(ISERROR(SEARCH($AN$686,AH456)))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974" operator="containsText" id="{DFE5043E-2F60-4665-814E-0436A60923EA}">
            <xm:f>NOT(ISERROR(SEARCH($AN$685,AH456)))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975" operator="containsText" id="{891E9BB0-665D-4FA0-81BB-566A6AAD3470}">
            <xm:f>NOT(ISERROR(SEARCH($AN$684,AH456)))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976" operator="containsText" id="{0E547954-8D7C-4F48-AD58-A61B77CBD4AA}">
            <xm:f>NOT(ISERROR(SEARCH($AN$683,AH456)))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977" operator="containsText" id="{BC76A163-0384-4609-9DAB-250BEDF4B613}">
            <xm:f>NOT(ISERROR(SEARCH($AN$682,AH456)))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AH456:AH458</xm:sqref>
        </x14:conditionalFormatting>
        <x14:conditionalFormatting xmlns:xm="http://schemas.microsoft.com/office/excel/2006/main">
          <x14:cfRule type="containsText" priority="3995" operator="containsText" id="{D7F6BAF7-DE1A-488E-A4B6-EC4C5BE1997A}">
            <xm:f>NOT(ISERROR(SEARCH($AN$681,AH457)))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996" operator="containsText" id="{B124F13F-5928-4698-8324-57733404B497}">
            <xm:f>NOT(ISERROR(SEARCH($AN$680,AH457)))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997" operator="containsText" id="{2FFF62AB-BB05-40A1-B2DC-F67F6814F5BE}">
            <xm:f>NOT(ISERROR(SEARCH($AN$678,AH457)))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998" operator="containsText" id="{6246B803-42BB-4339-8D29-032487495BFE}">
            <xm:f>NOT(ISERROR(SEARCH($AN$679,AH457)))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999" operator="containsText" id="{8AA3FCDE-0E89-4E96-A700-EBAFD79B93B6}">
            <xm:f>NOT(ISERROR(SEARCH($AN$681,AH457)))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000" operator="containsText" id="{BE4B9CA9-9F8C-4F07-A236-732122AACEE5}">
            <xm:f>NOT(ISERROR(SEARCH($AN$680,AH457)))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001" operator="containsText" id="{01779B4B-2F14-4FEB-9957-3FE11701BCCA}">
            <xm:f>NOT(ISERROR(SEARCH($AN$678,AH457)))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002" operator="containsText" id="{6C50DE23-4747-4AAF-AF13-04FE7C279162}">
            <xm:f>NOT(ISERROR(SEARCH($AN$679,AH457)))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AH457:AH458</xm:sqref>
        </x14:conditionalFormatting>
        <x14:conditionalFormatting xmlns:xm="http://schemas.microsoft.com/office/excel/2006/main">
          <x14:cfRule type="containsText" priority="3982" operator="containsText" id="{D9AC5DDF-723C-4182-A248-D5BA4267A86A}">
            <xm:f>NOT(ISERROR(SEARCH($AN$690,AH457)))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983" operator="containsText" id="{E70ABD2D-C577-492A-95A3-78403A8E0ED0}">
            <xm:f>NOT(ISERROR(SEARCH($AN$704,AH457)))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984" operator="containsText" id="{79E4CFEB-1E09-48A5-BC54-438B849F63E9}">
            <xm:f>NOT(ISERROR(SEARCH($AN$693,AH457)))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985" operator="containsText" id="{47916645-119C-4D23-8C26-C0C524891638}">
            <xm:f>NOT(ISERROR(SEARCH($AN$692,AH457)))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986" operator="containsText" id="{522630D0-D8B1-4C36-ABB9-60C6CF47B280}">
            <xm:f>NOT(ISERROR(SEARCH($AN$691,AH457)))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987" operator="containsText" id="{3358AB01-712F-476E-AC1B-34F7FAF0649D}">
            <xm:f>NOT(ISERROR(SEARCH($AN$689,AH457)))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988" operator="containsText" id="{AD9B816F-2C89-48E0-BCD3-ED0732A508BE}">
            <xm:f>NOT(ISERROR(SEARCH($AN$687,AH457)))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989" operator="containsText" id="{EED5E685-DCEE-4ABD-AD52-FA251E0F37E7}">
            <xm:f>NOT(ISERROR(SEARCH($AN$688,AH457)))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990" operator="containsText" id="{442F4073-C0E1-4847-A92F-1668D980A635}">
            <xm:f>NOT(ISERROR(SEARCH($AN$686,AH457)))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991" operator="containsText" id="{2BA34093-FEDB-479C-9108-0F4E861C8D98}">
            <xm:f>NOT(ISERROR(SEARCH($AN$685,AH457)))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992" operator="containsText" id="{23FF3FEA-002D-4307-BFEE-BF73E2BD8FAF}">
            <xm:f>NOT(ISERROR(SEARCH($AN$684,AH457)))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993" operator="containsText" id="{FD806B4C-B370-4067-A54A-C075F8A7BF90}">
            <xm:f>NOT(ISERROR(SEARCH($AN$683,AH457)))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994" operator="containsText" id="{DE327FA7-592B-4176-92B4-D7D675CA54EF}">
            <xm:f>NOT(ISERROR(SEARCH($AN$682,AH457)))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AH457:AH459</xm:sqref>
        </x14:conditionalFormatting>
        <x14:conditionalFormatting xmlns:xm="http://schemas.microsoft.com/office/excel/2006/main">
          <x14:cfRule type="containsText" priority="4003" operator="containsText" id="{AB6C96F8-66BE-44F9-8291-1A6E50F1AC28}">
            <xm:f>NOT(ISERROR(SEARCH($AN$690,AH459)))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004" operator="containsText" id="{6AF74A20-8A93-4309-9205-02F79E74ACEE}">
            <xm:f>NOT(ISERROR(SEARCH($AN$704,AH459)))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005" operator="containsText" id="{0D2E5B8E-603C-4A74-AD2E-A95B6F4479D2}">
            <xm:f>NOT(ISERROR(SEARCH($AN$693,AH459)))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006" operator="containsText" id="{10E2DECC-3111-44D4-ADAE-2B476AA8A306}">
            <xm:f>NOT(ISERROR(SEARCH($AN$692,AH459)))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007" operator="containsText" id="{7C923A03-BE3E-406E-B649-3CE2D817CAA4}">
            <xm:f>NOT(ISERROR(SEARCH($AN$691,AH459)))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008" operator="containsText" id="{6E0A1E60-4C4F-4C17-9535-A164A6EB1D6F}">
            <xm:f>NOT(ISERROR(SEARCH($AN$689,AH459)))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009" operator="containsText" id="{444A0C93-2710-4DD3-BDFA-5C0E9611D8E3}">
            <xm:f>NOT(ISERROR(SEARCH($AN$687,AH459)))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010" operator="containsText" id="{F3B7CAE0-A2E4-4290-8A02-241829643837}">
            <xm:f>NOT(ISERROR(SEARCH($AN$688,AH459)))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011" operator="containsText" id="{09E555B6-ED2B-40F0-8C11-BEEAB65F2389}">
            <xm:f>NOT(ISERROR(SEARCH($AN$686,AH459)))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012" operator="containsText" id="{DE3B722D-A71A-4561-82E4-2071A7CC7BED}">
            <xm:f>NOT(ISERROR(SEARCH($AN$685,AH459)))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013" operator="containsText" id="{B012768C-6BC5-480E-914C-F09D70A82282}">
            <xm:f>NOT(ISERROR(SEARCH($AN$684,AH459)))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014" operator="containsText" id="{B8BD5902-34C6-4DD1-A1D6-A389B062ABB7}">
            <xm:f>NOT(ISERROR(SEARCH($AN$683,AH459)))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015" operator="containsText" id="{6AE7ABB0-E119-49FC-972D-D5518496B924}">
            <xm:f>NOT(ISERROR(SEARCH($AN$682,AH459)))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016" operator="containsText" id="{BDB15F2D-92C2-4FAA-A960-20BEB28C586E}">
            <xm:f>NOT(ISERROR(SEARCH($AN$681,AH459)))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017" operator="containsText" id="{52A6E302-A0E7-409B-9B97-7642B8EAE4F0}">
            <xm:f>NOT(ISERROR(SEARCH($AN$680,AH459)))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018" operator="containsText" id="{47092929-067E-49D2-9CBA-9046789D1DDD}">
            <xm:f>NOT(ISERROR(SEARCH($AN$678,AH459)))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019" operator="containsText" id="{13031114-EA68-4D61-B323-4C02DE23518D}">
            <xm:f>NOT(ISERROR(SEARCH($AN$679,AH459)))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020" operator="containsText" id="{330196BA-29EC-4D8D-9A19-648FE59BA5F0}">
            <xm:f>NOT(ISERROR(SEARCH($AN$681,AH459)))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021" operator="containsText" id="{37CB877A-235F-42F9-B3FA-1B43E1C3CE40}">
            <xm:f>NOT(ISERROR(SEARCH($AN$680,AH459)))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022" operator="containsText" id="{66787F7E-64A7-44B4-A28C-DD326D5EA220}">
            <xm:f>NOT(ISERROR(SEARCH($AN$678,AH459)))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023" operator="containsText" id="{BFD09DEA-4381-4630-8BDC-893D8585B0DA}">
            <xm:f>NOT(ISERROR(SEARCH($AN$679,AH459)))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AH459</xm:sqref>
        </x14:conditionalFormatting>
        <x14:conditionalFormatting xmlns:xm="http://schemas.microsoft.com/office/excel/2006/main">
          <x14:cfRule type="containsText" priority="11138" operator="containsText" id="{DCA6E6B2-BA3F-4E41-A393-795770D834F1}">
            <xm:f>NOT(ISERROR(SEARCH($AN$688,AH551)))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139" operator="containsText" id="{10F34B54-BAD8-4168-813D-A742AB17A959}">
            <xm:f>NOT(ISERROR(SEARCH($AN$686,AH551)))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140" operator="containsText" id="{B9132049-B97C-4F9F-831C-AF3483DF26BC}">
            <xm:f>NOT(ISERROR(SEARCH($AN$685,AH551)))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141" operator="containsText" id="{5D0C6271-A1C6-47C1-9B23-7C13DC86FD69}">
            <xm:f>NOT(ISERROR(SEARCH($AN$684,AH551)))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142" operator="containsText" id="{83AB06B7-5FCD-4573-A61E-1911A09FD857}">
            <xm:f>NOT(ISERROR(SEARCH($AN$683,AH551)))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143" operator="containsText" id="{65EDB7C5-B5F7-4242-8A14-429F5BE19ED8}">
            <xm:f>NOT(ISERROR(SEARCH($AN$682,AH551)))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144" operator="containsText" id="{2E24AA43-21F3-4AFD-8204-C221B50A2AA4}">
            <xm:f>NOT(ISERROR(SEARCH($AN$681,AH551)))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145" operator="containsText" id="{6D664B04-DD6A-416F-8637-077D55C43E90}">
            <xm:f>NOT(ISERROR(SEARCH($AN$680,AH551)))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146" operator="containsText" id="{A15A8F27-F199-4B9D-BB09-846F0F0D32B2}">
            <xm:f>NOT(ISERROR(SEARCH($AN$678,AH551)))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147" operator="containsText" id="{381E3C9A-04D6-4C9D-BF48-476C9947D4DB}">
            <xm:f>NOT(ISERROR(SEARCH($AN$679,AH551)))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AH551</xm:sqref>
        </x14:conditionalFormatting>
        <x14:conditionalFormatting xmlns:xm="http://schemas.microsoft.com/office/excel/2006/main">
          <x14:cfRule type="containsText" priority="3643" operator="containsText" id="{03F0309B-FB79-49AC-AE20-1ED2E309C357}">
            <xm:f>NOT(ISERROR(SEARCH($AN$687,AH552)))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644" operator="containsText" id="{759F5816-F37F-406F-B8E9-A9B4C935E105}">
            <xm:f>NOT(ISERROR(SEARCH($AN$688,AH552)))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645" operator="containsText" id="{1CFE6409-8B5F-43D5-94A7-EE925168C26A}">
            <xm:f>NOT(ISERROR(SEARCH($AN$686,AH552)))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646" operator="containsText" id="{3751FD5A-8074-439E-8B20-0F2371BAF714}">
            <xm:f>NOT(ISERROR(SEARCH($AN$685,AH552)))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647" operator="containsText" id="{35256F2C-C1F5-411A-A2A6-082F0DBBBD62}">
            <xm:f>NOT(ISERROR(SEARCH($AN$684,AH552)))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648" operator="containsText" id="{B700A66A-BCF2-4C70-A095-FD4148C95209}">
            <xm:f>NOT(ISERROR(SEARCH($AN$683,AH552)))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649" operator="containsText" id="{699DA4D2-AC41-49D5-9E21-8EC7236D22FA}">
            <xm:f>NOT(ISERROR(SEARCH($AN$682,AH552)))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650" operator="containsText" id="{C6F2E427-CD1D-4C37-9DE0-5A010383A0D7}">
            <xm:f>NOT(ISERROR(SEARCH($AN$681,AH552)))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651" operator="containsText" id="{71EB316F-6EEE-48EB-8E4B-26149E5640C6}">
            <xm:f>NOT(ISERROR(SEARCH($AN$680,AH552)))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652" operator="containsText" id="{E8834473-290F-4470-8DBD-54BF9D3CFDC2}">
            <xm:f>NOT(ISERROR(SEARCH($AN$678,AH552)))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653" operator="containsText" id="{EAE660A3-B12F-4837-A08B-F86F3B98A623}">
            <xm:f>NOT(ISERROR(SEARCH($AN$679,AH552)))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AH552</xm:sqref>
        </x14:conditionalFormatting>
        <x14:conditionalFormatting xmlns:xm="http://schemas.microsoft.com/office/excel/2006/main">
          <x14:cfRule type="containsText" priority="3661" operator="containsText" id="{3696AC44-ED7D-4F4A-8677-C13DC5AB77BA}">
            <xm:f>NOT(ISERROR(SEARCH($AN$681,AH552)))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662" operator="containsText" id="{FD11707B-5693-4F0F-AFC5-08EB1D4AA719}">
            <xm:f>NOT(ISERROR(SEARCH($AN$680,AH552)))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663" operator="containsText" id="{5FF72ADB-D990-4D73-BE91-F0C58317B66E}">
            <xm:f>NOT(ISERROR(SEARCH($AN$678,AH552)))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664" operator="containsText" id="{67977A62-141D-43CC-9B53-21DB763A799A}">
            <xm:f>NOT(ISERROR(SEARCH($AN$679,AH552)))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AH552:AH553</xm:sqref>
        </x14:conditionalFormatting>
        <x14:conditionalFormatting xmlns:xm="http://schemas.microsoft.com/office/excel/2006/main">
          <x14:cfRule type="containsText" priority="3654" operator="containsText" id="{CB9F6CB3-2D9D-4300-B834-949DCE6C4D0F}">
            <xm:f>NOT(ISERROR(SEARCH($AN$687,AH552)))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655" operator="containsText" id="{32B2EB24-A4B9-4B6C-A148-75A918C4627E}">
            <xm:f>NOT(ISERROR(SEARCH($AN$688,AH552)))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656" operator="containsText" id="{FA1CA777-7028-41D3-8B26-D426FCC1B67E}">
            <xm:f>NOT(ISERROR(SEARCH($AN$686,AH552)))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657" operator="containsText" id="{51D9293D-D278-46BD-B220-13A7A24156F9}">
            <xm:f>NOT(ISERROR(SEARCH($AN$685,AH552)))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658" operator="containsText" id="{9D209AC1-238A-493D-AAE9-5E0AD01F5AE9}">
            <xm:f>NOT(ISERROR(SEARCH($AN$684,AH552)))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659" operator="containsText" id="{F798C56A-34E3-44EF-AF08-4188BFA59CF0}">
            <xm:f>NOT(ISERROR(SEARCH($AN$683,AH552)))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660" operator="containsText" id="{5C00F496-47DF-4921-9761-233EC101DD05}">
            <xm:f>NOT(ISERROR(SEARCH($AN$682,AH552)))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AH552:AH554</xm:sqref>
        </x14:conditionalFormatting>
        <x14:conditionalFormatting xmlns:xm="http://schemas.microsoft.com/office/excel/2006/main">
          <x14:cfRule type="containsText" priority="3678" operator="containsText" id="{A8D62F23-C3AF-462A-93FE-F2050887BA3B}">
            <xm:f>NOT(ISERROR(SEARCH($AN$681,AH553)))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679" operator="containsText" id="{4F34F518-CCB1-46A0-AD7D-75D7ACBF25AC}">
            <xm:f>NOT(ISERROR(SEARCH($AN$680,AH553)))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680" operator="containsText" id="{E90651DD-E551-4D36-BE9B-6A8179C9ADA1}">
            <xm:f>NOT(ISERROR(SEARCH($AN$678,AH553)))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681" operator="containsText" id="{F29F30F9-72BD-4B2A-B2D0-5833ABE68E88}">
            <xm:f>NOT(ISERROR(SEARCH($AN$679,AH553)))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682" operator="containsText" id="{15CBE121-8AD9-4B79-8C2C-949EAF508D09}">
            <xm:f>NOT(ISERROR(SEARCH($AN$681,AH553)))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683" operator="containsText" id="{94A6AEE2-8885-4E16-B4C3-A3B2AC49F31F}">
            <xm:f>NOT(ISERROR(SEARCH($AN$680,AH553)))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684" operator="containsText" id="{EBEE61F6-813C-46DD-BFBA-37FFB2B80036}">
            <xm:f>NOT(ISERROR(SEARCH($AN$678,AH553)))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685" operator="containsText" id="{02DA7D90-9443-4ADC-B1C0-1E7CC450F33F}">
            <xm:f>NOT(ISERROR(SEARCH($AN$679,AH553)))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AH553:AH554</xm:sqref>
        </x14:conditionalFormatting>
        <x14:conditionalFormatting xmlns:xm="http://schemas.microsoft.com/office/excel/2006/main">
          <x14:cfRule type="containsText" priority="3665" operator="containsText" id="{5FF6C7BD-10A1-4F0E-9F9D-BB99434E3576}">
            <xm:f>NOT(ISERROR(SEARCH($AN$690,AH553)))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666" operator="containsText" id="{39E98E34-C45D-45EF-8D47-845A9EE8965E}">
            <xm:f>NOT(ISERROR(SEARCH($AN$704,AH553)))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667" operator="containsText" id="{FCD80B52-C8A0-459F-A133-AF5727E05E10}">
            <xm:f>NOT(ISERROR(SEARCH($AN$693,AH553)))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668" operator="containsText" id="{D2D3099D-0369-49B9-A746-B74299166793}">
            <xm:f>NOT(ISERROR(SEARCH($AN$692,AH553)))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669" operator="containsText" id="{5D44DA71-9A98-48E2-9922-D5C09C0CF4A8}">
            <xm:f>NOT(ISERROR(SEARCH($AN$691,AH553)))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670" operator="containsText" id="{D9A30267-5212-457B-9EAA-96C98C359296}">
            <xm:f>NOT(ISERROR(SEARCH($AN$689,AH553)))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671" operator="containsText" id="{17403FF9-332A-46C3-ADA4-2467C9ED4032}">
            <xm:f>NOT(ISERROR(SEARCH($AN$687,AH553)))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672" operator="containsText" id="{25F89E0A-F60A-417E-83FF-A08268187871}">
            <xm:f>NOT(ISERROR(SEARCH($AN$688,AH553)))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673" operator="containsText" id="{D8A652B6-3DB0-45E3-8C71-363621416954}">
            <xm:f>NOT(ISERROR(SEARCH($AN$686,AH553)))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674" operator="containsText" id="{6DFC66D5-4217-4D7E-BF50-1BFC210A005D}">
            <xm:f>NOT(ISERROR(SEARCH($AN$685,AH553)))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675" operator="containsText" id="{3F77FC14-53FD-4441-90B5-93164B960FC0}">
            <xm:f>NOT(ISERROR(SEARCH($AN$684,AH553)))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676" operator="containsText" id="{11BC98D6-FF54-419A-93E5-7BA17B042363}">
            <xm:f>NOT(ISERROR(SEARCH($AN$683,AH553)))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677" operator="containsText" id="{365D21F3-94B5-4470-AF1B-476C8086C199}">
            <xm:f>NOT(ISERROR(SEARCH($AN$682,AH553)))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AH553:AH555</xm:sqref>
        </x14:conditionalFormatting>
        <x14:conditionalFormatting xmlns:xm="http://schemas.microsoft.com/office/excel/2006/main">
          <x14:cfRule type="containsText" priority="3686" operator="containsText" id="{5FDA3FB2-F23E-4425-946E-E99A291274A9}">
            <xm:f>NOT(ISERROR(SEARCH($AN$690,AH555)))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687" operator="containsText" id="{ED9F46C5-DC05-416E-89D6-D0BD8FA469C7}">
            <xm:f>NOT(ISERROR(SEARCH($AN$704,AH555)))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688" operator="containsText" id="{BA2B76C3-7882-45E8-AFD6-7A310154C89D}">
            <xm:f>NOT(ISERROR(SEARCH($AN$693,AH555)))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689" operator="containsText" id="{EAC720A6-EE26-4414-8C8B-D53069F6FE6E}">
            <xm:f>NOT(ISERROR(SEARCH($AN$692,AH555)))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690" operator="containsText" id="{889130CB-9160-41F0-8309-577C4A4556A4}">
            <xm:f>NOT(ISERROR(SEARCH($AN$691,AH555)))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691" operator="containsText" id="{6D2EAADC-E285-4E64-A338-1899A818BEBA}">
            <xm:f>NOT(ISERROR(SEARCH($AN$689,AH555)))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692" operator="containsText" id="{CB17439F-3416-488C-9AD1-DFB365DEABFD}">
            <xm:f>NOT(ISERROR(SEARCH($AN$687,AH555)))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693" operator="containsText" id="{8AC29918-E3BA-4F2A-8E68-5B71C92E142F}">
            <xm:f>NOT(ISERROR(SEARCH($AN$688,AH555)))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694" operator="containsText" id="{8E97E8F4-F5C1-4153-B488-2ECA193FC27D}">
            <xm:f>NOT(ISERROR(SEARCH($AN$686,AH555)))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695" operator="containsText" id="{23EA43EF-4370-4CAE-80E9-C25F8154DE9C}">
            <xm:f>NOT(ISERROR(SEARCH($AN$685,AH555)))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696" operator="containsText" id="{67BC5A0D-6833-42B0-BF02-DF9D166AD649}">
            <xm:f>NOT(ISERROR(SEARCH($AN$684,AH555)))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697" operator="containsText" id="{52D2AE88-8E73-4A00-8DFB-F90B91965825}">
            <xm:f>NOT(ISERROR(SEARCH($AN$683,AH555)))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698" operator="containsText" id="{BBA2315D-74EC-40D4-8280-F9E729263B9E}">
            <xm:f>NOT(ISERROR(SEARCH($AN$682,AH555)))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699" operator="containsText" id="{6116A261-8DC3-48D7-BD78-4A22C3626AF4}">
            <xm:f>NOT(ISERROR(SEARCH($AN$681,AH555)))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700" operator="containsText" id="{5B3DD75D-5B11-4865-9390-10E2B4E896D1}">
            <xm:f>NOT(ISERROR(SEARCH($AN$680,AH555)))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701" operator="containsText" id="{F2F27637-8EB5-4F40-BFFD-1B1CD6F1B6FA}">
            <xm:f>NOT(ISERROR(SEARCH($AN$678,AH555)))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702" operator="containsText" id="{3BFF4B6A-EC64-434E-A98D-7A1A5D39E12E}">
            <xm:f>NOT(ISERROR(SEARCH($AN$679,AH555)))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703" operator="containsText" id="{F0DDBA94-79E6-4AAF-BA18-D9D49E717E21}">
            <xm:f>NOT(ISERROR(SEARCH($AN$681,AH555)))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704" operator="containsText" id="{452390FC-D152-4C63-9803-14CDE37DB497}">
            <xm:f>NOT(ISERROR(SEARCH($AN$680,AH555)))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705" operator="containsText" id="{12DE2B9E-539C-4407-9019-1AA186F423B9}">
            <xm:f>NOT(ISERROR(SEARCH($AN$678,AH555)))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706" operator="containsText" id="{DC1E493F-8CB1-4915-9C1D-61DC01976481}">
            <xm:f>NOT(ISERROR(SEARCH($AN$679,AH555)))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AH555</xm:sqref>
        </x14:conditionalFormatting>
        <x14:conditionalFormatting xmlns:xm="http://schemas.microsoft.com/office/excel/2006/main">
          <x14:cfRule type="containsText" priority="10789" operator="containsText" id="{4F3F813E-F86A-41EE-9452-BB96D8E805C3}">
            <xm:f>NOT(ISERROR(SEARCH($AN$688,AH647)))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790" operator="containsText" id="{B3060A06-B571-4E31-8D3D-DCF8E0709467}">
            <xm:f>NOT(ISERROR(SEARCH($AN$686,AH647)))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791" operator="containsText" id="{083DC246-7C51-4EB2-B60A-5BC3705312C3}">
            <xm:f>NOT(ISERROR(SEARCH($AN$685,AH647)))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792" operator="containsText" id="{CDA0A4C6-ED90-4603-A546-E72D31B9712B}">
            <xm:f>NOT(ISERROR(SEARCH($AN$684,AH647)))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793" operator="containsText" id="{0D4310FD-2102-4E03-B9DB-4EF03C9729C9}">
            <xm:f>NOT(ISERROR(SEARCH($AN$683,AH647)))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794" operator="containsText" id="{1C4C498C-8650-4E9A-9F53-FF4C69922FE5}">
            <xm:f>NOT(ISERROR(SEARCH($AN$682,AH647)))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795" operator="containsText" id="{59864B3B-1873-413A-858E-EA44E7134A5B}">
            <xm:f>NOT(ISERROR(SEARCH($AN$681,AH647)))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796" operator="containsText" id="{7DD0769A-4220-4EAF-B2D1-BD3E6E3F575E}">
            <xm:f>NOT(ISERROR(SEARCH($AN$680,AH647)))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797" operator="containsText" id="{2FEE6990-F8E3-4743-982E-39460CBCC562}">
            <xm:f>NOT(ISERROR(SEARCH($AN$678,AH647)))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798" operator="containsText" id="{3463A3CB-45EC-4B3C-B489-2738F9CBA5D1}">
            <xm:f>NOT(ISERROR(SEARCH($AN$679,AH647)))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AH647</xm:sqref>
        </x14:conditionalFormatting>
        <x14:conditionalFormatting xmlns:xm="http://schemas.microsoft.com/office/excel/2006/main">
          <x14:cfRule type="containsText" priority="3326" operator="containsText" id="{0AC6A1D9-8B6A-4C1F-BB04-3E2649F0597A}">
            <xm:f>NOT(ISERROR(SEARCH($AN$687,AH648)))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327" operator="containsText" id="{FFB180CE-8B73-4937-B844-96F44AF710B6}">
            <xm:f>NOT(ISERROR(SEARCH($AN$688,AH648)))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328" operator="containsText" id="{81118825-6D67-48A1-99C8-B965A96ADCD7}">
            <xm:f>NOT(ISERROR(SEARCH($AN$686,AH648)))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329" operator="containsText" id="{9A049A21-E986-4773-9009-05AF414BF610}">
            <xm:f>NOT(ISERROR(SEARCH($AN$685,AH648)))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330" operator="containsText" id="{8B09F372-5E74-4405-8599-8A8FF794F598}">
            <xm:f>NOT(ISERROR(SEARCH($AN$684,AH648)))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331" operator="containsText" id="{D1F1368D-5285-446C-A73A-92582C5CB61D}">
            <xm:f>NOT(ISERROR(SEARCH($AN$683,AH648)))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332" operator="containsText" id="{6DA4CA0C-E295-4936-A157-A0BBF21443DE}">
            <xm:f>NOT(ISERROR(SEARCH($AN$682,AH648)))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333" operator="containsText" id="{62D530FF-1934-48D8-8B98-7A7046D0164B}">
            <xm:f>NOT(ISERROR(SEARCH($AN$681,AH648)))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334" operator="containsText" id="{42D31CBE-76A5-4AF3-A68C-1C8B58F98F08}">
            <xm:f>NOT(ISERROR(SEARCH($AN$680,AH648)))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335" operator="containsText" id="{E00EE1AE-A345-4DAB-A218-E3AEC1693DE0}">
            <xm:f>NOT(ISERROR(SEARCH($AN$678,AH648)))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336" operator="containsText" id="{2DC346E4-6E4C-4311-9163-4DAF62B25C23}">
            <xm:f>NOT(ISERROR(SEARCH($AN$679,AH648)))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AH648</xm:sqref>
        </x14:conditionalFormatting>
        <x14:conditionalFormatting xmlns:xm="http://schemas.microsoft.com/office/excel/2006/main">
          <x14:cfRule type="containsText" priority="3344" operator="containsText" id="{845A8A9A-3F2D-4D4D-97E4-81E6D7551ED0}">
            <xm:f>NOT(ISERROR(SEARCH($AN$681,AH648)))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345" operator="containsText" id="{D5CB5BF6-C210-468A-9668-62AFBCD8BD8B}">
            <xm:f>NOT(ISERROR(SEARCH($AN$680,AH648)))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346" operator="containsText" id="{562A43BA-6975-465F-80A1-4879CCFF698E}">
            <xm:f>NOT(ISERROR(SEARCH($AN$678,AH648)))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347" operator="containsText" id="{829F1510-5EAF-445E-969D-9E13FEEBD338}">
            <xm:f>NOT(ISERROR(SEARCH($AN$679,AH648)))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AH648:AH649</xm:sqref>
        </x14:conditionalFormatting>
        <x14:conditionalFormatting xmlns:xm="http://schemas.microsoft.com/office/excel/2006/main">
          <x14:cfRule type="containsText" priority="3337" operator="containsText" id="{D8865E47-F194-4961-ADC0-B0D078FEC990}">
            <xm:f>NOT(ISERROR(SEARCH($AN$687,AH648)))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338" operator="containsText" id="{F9AAED13-9123-465E-B2F0-6EFB6B86B9F5}">
            <xm:f>NOT(ISERROR(SEARCH($AN$688,AH648)))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339" operator="containsText" id="{460D0613-7220-4C59-BB14-27BDFF05B009}">
            <xm:f>NOT(ISERROR(SEARCH($AN$686,AH648)))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340" operator="containsText" id="{19E3C8D0-8DB9-42C2-9A37-7169A7F39869}">
            <xm:f>NOT(ISERROR(SEARCH($AN$685,AH648)))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341" operator="containsText" id="{B0B9339F-EF97-486C-93CE-B6798A1C2154}">
            <xm:f>NOT(ISERROR(SEARCH($AN$684,AH648)))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342" operator="containsText" id="{D63252B5-6348-40FD-B74F-F25F15945E7B}">
            <xm:f>NOT(ISERROR(SEARCH($AN$683,AH648)))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343" operator="containsText" id="{D39321E2-7325-4F7D-BE72-05800BD7295E}">
            <xm:f>NOT(ISERROR(SEARCH($AN$682,AH648)))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AH648:AH650</xm:sqref>
        </x14:conditionalFormatting>
        <x14:conditionalFormatting xmlns:xm="http://schemas.microsoft.com/office/excel/2006/main">
          <x14:cfRule type="containsText" priority="3361" operator="containsText" id="{0E666174-58E0-4D2D-AAA3-6A76826E9F6E}">
            <xm:f>NOT(ISERROR(SEARCH($AN$681,AH649)))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362" operator="containsText" id="{BDA93DC6-B33B-42FC-AAC0-35D83DE00270}">
            <xm:f>NOT(ISERROR(SEARCH($AN$680,AH649)))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363" operator="containsText" id="{FF495238-9F87-4244-997D-3AFFAA2A519B}">
            <xm:f>NOT(ISERROR(SEARCH($AN$678,AH649)))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364" operator="containsText" id="{7E55C908-C30C-4002-84B7-F2FA3AA54042}">
            <xm:f>NOT(ISERROR(SEARCH($AN$679,AH649)))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365" operator="containsText" id="{C62C7BFC-2F06-4A92-8D14-9A0C4DFC8061}">
            <xm:f>NOT(ISERROR(SEARCH($AN$681,AH649)))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366" operator="containsText" id="{47877A7E-2BFC-4325-8D80-9E7BD3F2C7E3}">
            <xm:f>NOT(ISERROR(SEARCH($AN$680,AH649)))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367" operator="containsText" id="{2D61D5D7-82DD-478D-A9DD-52715B0E97ED}">
            <xm:f>NOT(ISERROR(SEARCH($AN$678,AH649)))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368" operator="containsText" id="{67204099-3541-4D50-8FB3-05449CACBD62}">
            <xm:f>NOT(ISERROR(SEARCH($AN$679,AH649)))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AH649:AH650</xm:sqref>
        </x14:conditionalFormatting>
        <x14:conditionalFormatting xmlns:xm="http://schemas.microsoft.com/office/excel/2006/main">
          <x14:cfRule type="containsText" priority="3348" operator="containsText" id="{8A021699-44FF-47C4-906D-4F31282356E0}">
            <xm:f>NOT(ISERROR(SEARCH($AN$690,AH649)))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349" operator="containsText" id="{49427442-6D67-40AB-80FC-ED7D5A1EFE9D}">
            <xm:f>NOT(ISERROR(SEARCH($AN$704,AH649)))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350" operator="containsText" id="{4D8B6ED3-DFED-4DF2-BE70-F4D550369666}">
            <xm:f>NOT(ISERROR(SEARCH($AN$693,AH649)))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351" operator="containsText" id="{82182247-0FD5-4A6B-8A04-BF9FB6D55DC4}">
            <xm:f>NOT(ISERROR(SEARCH($AN$692,AH649)))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352" operator="containsText" id="{0E80FED6-B0B3-40BF-9541-FC5BB702975C}">
            <xm:f>NOT(ISERROR(SEARCH($AN$691,AH649)))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353" operator="containsText" id="{BF80FE52-6A09-4A7A-B2E4-9824E94BAF52}">
            <xm:f>NOT(ISERROR(SEARCH($AN$689,AH649)))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354" operator="containsText" id="{6D443F18-716E-4BD9-B29B-239B9DA6C6F3}">
            <xm:f>NOT(ISERROR(SEARCH($AN$687,AH649)))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355" operator="containsText" id="{837AEB9A-6D07-4922-999F-F0AA9EC23C50}">
            <xm:f>NOT(ISERROR(SEARCH($AN$688,AH649)))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356" operator="containsText" id="{042AEBA9-40FF-4B34-AD62-70F59F55DB1D}">
            <xm:f>NOT(ISERROR(SEARCH($AN$686,AH649)))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357" operator="containsText" id="{26A9F882-64AC-4DF0-BDF7-FFD3A2E11E5B}">
            <xm:f>NOT(ISERROR(SEARCH($AN$685,AH649)))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358" operator="containsText" id="{E574EE7D-F930-4297-9D24-096A7BAE3450}">
            <xm:f>NOT(ISERROR(SEARCH($AN$684,AH649)))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359" operator="containsText" id="{A5CD70A8-D62F-40B5-B8EB-96082C175707}">
            <xm:f>NOT(ISERROR(SEARCH($AN$683,AH649)))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360" operator="containsText" id="{5737C7CD-C709-4215-AB89-72F0B8188A40}">
            <xm:f>NOT(ISERROR(SEARCH($AN$682,AH649)))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AH649:AH651</xm:sqref>
        </x14:conditionalFormatting>
        <x14:conditionalFormatting xmlns:xm="http://schemas.microsoft.com/office/excel/2006/main">
          <x14:cfRule type="containsText" priority="3369" operator="containsText" id="{91E9BDBE-F84C-4F38-AA17-F06BB53C4B3B}">
            <xm:f>NOT(ISERROR(SEARCH($AN$690,AH651)))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370" operator="containsText" id="{76C48173-6A6D-4910-9AFB-173A3B615DE5}">
            <xm:f>NOT(ISERROR(SEARCH($AN$704,AH651)))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371" operator="containsText" id="{9A035BD2-BBAD-4456-BD2C-9AD92A1F1B64}">
            <xm:f>NOT(ISERROR(SEARCH($AN$693,AH651)))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372" operator="containsText" id="{FBE7DB13-5BCF-4037-B07D-B342AE7B363F}">
            <xm:f>NOT(ISERROR(SEARCH($AN$692,AH651)))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373" operator="containsText" id="{90321646-635B-4276-AFB4-A5AD2C177941}">
            <xm:f>NOT(ISERROR(SEARCH($AN$691,AH651)))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374" operator="containsText" id="{A9CCA184-6A23-4A85-B42C-088D624CDA91}">
            <xm:f>NOT(ISERROR(SEARCH($AN$689,AH651)))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375" operator="containsText" id="{3532CC3B-4336-4D88-AADB-A45683B4F9A8}">
            <xm:f>NOT(ISERROR(SEARCH($AN$687,AH651)))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376" operator="containsText" id="{B2EBECCE-5E24-4451-A7F2-517A5ED83ADB}">
            <xm:f>NOT(ISERROR(SEARCH($AN$688,AH651)))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377" operator="containsText" id="{910BC942-8B81-49AA-A21C-ECA07344805D}">
            <xm:f>NOT(ISERROR(SEARCH($AN$686,AH651)))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378" operator="containsText" id="{6FDDEE42-6F8D-4134-8BA1-CB7CE5CBC2B2}">
            <xm:f>NOT(ISERROR(SEARCH($AN$685,AH651)))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379" operator="containsText" id="{3884A58E-D5F6-47F7-8461-79BB7B61F581}">
            <xm:f>NOT(ISERROR(SEARCH($AN$684,AH651)))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380" operator="containsText" id="{B325B382-6FF4-4EA4-B053-B2D1249EA24D}">
            <xm:f>NOT(ISERROR(SEARCH($AN$683,AH651)))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381" operator="containsText" id="{DC0F7FB9-4F1F-4851-B65A-A25ABCE54D14}">
            <xm:f>NOT(ISERROR(SEARCH($AN$682,AH651)))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382" operator="containsText" id="{550D0D4E-6724-4311-BCB3-1DDEE88CCD96}">
            <xm:f>NOT(ISERROR(SEARCH($AN$681,AH651)))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383" operator="containsText" id="{A41EE1AF-D4EC-443A-8D7D-CE53BC43D32A}">
            <xm:f>NOT(ISERROR(SEARCH($AN$680,AH651)))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384" operator="containsText" id="{6238C6AA-7105-4746-AB91-DB15D0BD99A4}">
            <xm:f>NOT(ISERROR(SEARCH($AN$678,AH651)))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385" operator="containsText" id="{9AAD6388-6D14-4F63-9F82-69F1ACD10E62}">
            <xm:f>NOT(ISERROR(SEARCH($AN$679,AH651)))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386" operator="containsText" id="{2F57B0EE-D552-47B3-A7A1-22E7C1A88446}">
            <xm:f>NOT(ISERROR(SEARCH($AN$681,AH651)))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387" operator="containsText" id="{032251B1-88FB-4769-A30B-B6749DCA0D4E}">
            <xm:f>NOT(ISERROR(SEARCH($AN$680,AH651)))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388" operator="containsText" id="{EF3329FD-0FD6-481E-B180-CFC0A33392FB}">
            <xm:f>NOT(ISERROR(SEARCH($AN$678,AH651)))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389" operator="containsText" id="{F3322834-2958-4AAB-BCDD-BE59FD81C8AF}">
            <xm:f>NOT(ISERROR(SEARCH($AN$679,AH651)))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AH651</xm:sqref>
        </x14:conditionalFormatting>
        <x14:conditionalFormatting xmlns:xm="http://schemas.microsoft.com/office/excel/2006/main">
          <x14:cfRule type="containsText" priority="10439" operator="containsText" id="{00E0ED12-1F5A-470D-8BBF-264CF7C85778}">
            <xm:f>NOT(ISERROR(SEARCH($AN$687,AH743)))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440" operator="containsText" id="{67775DA4-1801-4744-8A96-F2AE64095F7A}">
            <xm:f>NOT(ISERROR(SEARCH($AN$688,AH743)))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441" operator="containsText" id="{60ADCAEE-4502-497A-909B-759E7554EEB0}">
            <xm:f>NOT(ISERROR(SEARCH($AN$686,AH743)))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442" operator="containsText" id="{157D7335-7127-45DA-A10A-54AF13ECB9B1}">
            <xm:f>NOT(ISERROR(SEARCH($AN$685,AH743)))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443" operator="containsText" id="{77519E45-6CB9-4808-9B21-531AF3EBDA45}">
            <xm:f>NOT(ISERROR(SEARCH($AN$684,AH743)))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444" operator="containsText" id="{A0C22177-3B2E-42A8-921A-B930CFC30E9A}">
            <xm:f>NOT(ISERROR(SEARCH($AN$683,AH743)))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445" operator="containsText" id="{BED0364F-008B-4FC3-89D0-FBC5B135F1AB}">
            <xm:f>NOT(ISERROR(SEARCH($AN$682,AH743)))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446" operator="containsText" id="{C493EB9C-45D8-439A-9F0C-00FDBD5F0528}">
            <xm:f>NOT(ISERROR(SEARCH($AN$681,AH743)))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447" operator="containsText" id="{8E16E9A7-621E-4B55-BDC7-E1E7EB67318D}">
            <xm:f>NOT(ISERROR(SEARCH($AN$680,AH743)))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448" operator="containsText" id="{609E0385-18FE-49A2-B64A-3FC2F65D7C90}">
            <xm:f>NOT(ISERROR(SEARCH($AN$678,AH743)))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449" operator="containsText" id="{30483E09-01CF-4850-A1A8-F495BC62911D}">
            <xm:f>NOT(ISERROR(SEARCH($AN$679,AH743)))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AH743:AH744</xm:sqref>
        </x14:conditionalFormatting>
        <x14:conditionalFormatting xmlns:xm="http://schemas.microsoft.com/office/excel/2006/main">
          <x14:cfRule type="containsText" priority="10458" operator="containsText" id="{1C257B3D-412C-48DD-AD72-4388FF9865BB}">
            <xm:f>NOT(ISERROR(SEARCH($AN$681,AH744)))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459" operator="containsText" id="{3C99BE71-AE72-44AF-AD7C-3BD0BDF8EAF4}">
            <xm:f>NOT(ISERROR(SEARCH($AN$680,AH744)))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460" operator="containsText" id="{E846EA42-993B-4BA2-A0CE-3A5E4C812F32}">
            <xm:f>NOT(ISERROR(SEARCH($AN$678,AH744)))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461" operator="containsText" id="{6B90C884-8BF6-458F-BB0C-5CA0EF27557E}">
            <xm:f>NOT(ISERROR(SEARCH($AN$679,AH744)))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AH744:AH745</xm:sqref>
        </x14:conditionalFormatting>
        <x14:conditionalFormatting xmlns:xm="http://schemas.microsoft.com/office/excel/2006/main">
          <x14:cfRule type="containsText" priority="10451" operator="containsText" id="{5B7CBF8E-F8E7-414D-A929-999637CC1E84}">
            <xm:f>NOT(ISERROR(SEARCH($AN$687,AH744)))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452" operator="containsText" id="{007E1255-099C-47F9-B2AA-94CCA4E3E14F}">
            <xm:f>NOT(ISERROR(SEARCH($AN$688,AH744)))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453" operator="containsText" id="{940C084C-F515-4873-A12D-C2C3F1A86352}">
            <xm:f>NOT(ISERROR(SEARCH($AN$686,AH744)))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454" operator="containsText" id="{A3D5FCDD-0B4A-4AE6-A38A-A32C79A18494}">
            <xm:f>NOT(ISERROR(SEARCH($AN$685,AH744)))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455" operator="containsText" id="{760A501E-F5E1-46EF-BB27-BC8930A17EFC}">
            <xm:f>NOT(ISERROR(SEARCH($AN$684,AH744)))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456" operator="containsText" id="{08EBA6A2-45D1-4524-AB38-054299CC3C32}">
            <xm:f>NOT(ISERROR(SEARCH($AN$683,AH744)))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457" operator="containsText" id="{97BBDB40-42B9-491B-AE63-DBEFC6C1882B}">
            <xm:f>NOT(ISERROR(SEARCH($AN$682,AH744)))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AH744:AH746</xm:sqref>
        </x14:conditionalFormatting>
        <x14:conditionalFormatting xmlns:xm="http://schemas.microsoft.com/office/excel/2006/main">
          <x14:cfRule type="containsText" priority="10475" operator="containsText" id="{2C52EA3A-284F-452E-9F71-E460A32E0297}">
            <xm:f>NOT(ISERROR(SEARCH($AN$681,AH745)))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476" operator="containsText" id="{F414FA6D-3D3B-4C07-9524-95311979AAEB}">
            <xm:f>NOT(ISERROR(SEARCH($AN$680,AH745)))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477" operator="containsText" id="{FC692069-FD59-48C7-A9AD-040995B4DEF7}">
            <xm:f>NOT(ISERROR(SEARCH($AN$678,AH745)))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478" operator="containsText" id="{508F5270-0F44-4DAF-88B0-ABC2865229E3}">
            <xm:f>NOT(ISERROR(SEARCH($AN$679,AH745)))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0479" operator="containsText" id="{9F3509DD-8938-42A5-9FF1-EA936440D75A}">
            <xm:f>NOT(ISERROR(SEARCH($AN$681,AH745)))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480" operator="containsText" id="{45B15DBA-85B9-4DE4-9E55-65094A2A62E4}">
            <xm:f>NOT(ISERROR(SEARCH($AN$680,AH745)))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481" operator="containsText" id="{903DC283-F8FC-4D8A-9228-A3C1771187AE}">
            <xm:f>NOT(ISERROR(SEARCH($AN$678,AH745)))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482" operator="containsText" id="{BCF08A81-FCA3-4B2C-B721-B21BB39F01AD}">
            <xm:f>NOT(ISERROR(SEARCH($AN$679,AH745)))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AH745:AH746</xm:sqref>
        </x14:conditionalFormatting>
        <x14:conditionalFormatting xmlns:xm="http://schemas.microsoft.com/office/excel/2006/main">
          <x14:cfRule type="containsText" priority="10462" operator="containsText" id="{42160642-6BD8-477B-B931-12DEFB8C613E}">
            <xm:f>NOT(ISERROR(SEARCH($AN$690,AH745)))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0463" operator="containsText" id="{38333315-A11E-4D93-AB83-883608AB0408}">
            <xm:f>NOT(ISERROR(SEARCH($AN$704,AH745)))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0464" operator="containsText" id="{1C6DA9FF-AF8E-4608-B88A-3D1A346A3CE6}">
            <xm:f>NOT(ISERROR(SEARCH($AN$693,AH745)))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0465" operator="containsText" id="{EBF57625-5067-4483-98B3-25272EABECA2}">
            <xm:f>NOT(ISERROR(SEARCH($AN$692,AH745)))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466" operator="containsText" id="{4A69072D-B1B7-4AAD-9E2F-8BC1FA27C051}">
            <xm:f>NOT(ISERROR(SEARCH($AN$691,AH745)))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0467" operator="containsText" id="{39EABE8E-25E6-45B9-B334-A57831D22360}">
            <xm:f>NOT(ISERROR(SEARCH($AN$689,AH745)))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0468" operator="containsText" id="{E5CFDBAD-1BC0-474D-8027-CA8C12ED857F}">
            <xm:f>NOT(ISERROR(SEARCH($AN$687,AH745)))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469" operator="containsText" id="{72AF2FA8-FCD8-4595-9E27-46D36AB56AFB}">
            <xm:f>NOT(ISERROR(SEARCH($AN$688,AH745)))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470" operator="containsText" id="{C93F6D74-C8C2-4F80-AFCD-5780F26FCBE9}">
            <xm:f>NOT(ISERROR(SEARCH($AN$686,AH745)))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471" operator="containsText" id="{9F67284A-6AC9-4893-9730-330B6D21AEBF}">
            <xm:f>NOT(ISERROR(SEARCH($AN$685,AH745)))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472" operator="containsText" id="{207C666E-3EBD-4BCB-ADA7-67D497FA6A11}">
            <xm:f>NOT(ISERROR(SEARCH($AN$684,AH745)))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473" operator="containsText" id="{50C14B41-5E0F-444C-A0CB-863149ADD239}">
            <xm:f>NOT(ISERROR(SEARCH($AN$683,AH745)))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474" operator="containsText" id="{03332428-C036-4495-A14E-ECE6736C90CE}">
            <xm:f>NOT(ISERROR(SEARCH($AN$682,AH745)))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AH745:AH747</xm:sqref>
        </x14:conditionalFormatting>
        <x14:conditionalFormatting xmlns:xm="http://schemas.microsoft.com/office/excel/2006/main">
          <x14:cfRule type="containsText" priority="10483" operator="containsText" id="{169AECE1-E91D-4455-9779-9940C8556E97}">
            <xm:f>NOT(ISERROR(SEARCH($AN$690,AH747)))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0484" operator="containsText" id="{822D9CB6-BF69-455E-A483-32B8946D5897}">
            <xm:f>NOT(ISERROR(SEARCH($AN$704,AH747)))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0485" operator="containsText" id="{B73B3EF1-9488-4A4A-8107-36FF698A6154}">
            <xm:f>NOT(ISERROR(SEARCH($AN$693,AH747)))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0486" operator="containsText" id="{54D3372F-2274-4110-A0C5-CE55C047BE9A}">
            <xm:f>NOT(ISERROR(SEARCH($AN$692,AH747)))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487" operator="containsText" id="{2A3FE40C-268B-463E-8A3A-1BDB1A05A80A}">
            <xm:f>NOT(ISERROR(SEARCH($AN$691,AH747)))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0488" operator="containsText" id="{3226EB8A-75D3-425D-BC4D-1E43DD95B27E}">
            <xm:f>NOT(ISERROR(SEARCH($AN$689,AH747)))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0489" operator="containsText" id="{0A42F39F-6641-4D80-81C5-5C39E3A4A115}">
            <xm:f>NOT(ISERROR(SEARCH($AN$687,AH747)))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490" operator="containsText" id="{923E0FB7-3AE5-4515-B331-59D314249C08}">
            <xm:f>NOT(ISERROR(SEARCH($AN$688,AH747)))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491" operator="containsText" id="{693A07CC-823F-4A8D-A3A0-C1AC69DDC301}">
            <xm:f>NOT(ISERROR(SEARCH($AN$686,AH747)))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492" operator="containsText" id="{2C550154-C2FC-4ADD-B529-5635C1AF976C}">
            <xm:f>NOT(ISERROR(SEARCH($AN$685,AH747)))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493" operator="containsText" id="{0ACFE21A-675B-47FB-9294-359B51030423}">
            <xm:f>NOT(ISERROR(SEARCH($AN$684,AH747)))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494" operator="containsText" id="{2FDAEA6E-2E86-4791-AA14-BA28C042FCCA}">
            <xm:f>NOT(ISERROR(SEARCH($AN$683,AH747)))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495" operator="containsText" id="{AE45A4F4-BC6B-4A23-B037-AB26AA7D6B05}">
            <xm:f>NOT(ISERROR(SEARCH($AN$682,AH747)))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496" operator="containsText" id="{7054E6EA-CFFF-447E-A7E6-8A4641AC67D4}">
            <xm:f>NOT(ISERROR(SEARCH($AN$681,AH747)))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497" operator="containsText" id="{41DEB3D0-CB86-4910-95A9-71649D710FD5}">
            <xm:f>NOT(ISERROR(SEARCH($AN$680,AH747)))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498" operator="containsText" id="{386F84C9-92E2-4BB7-B3FF-4E90C28DB602}">
            <xm:f>NOT(ISERROR(SEARCH($AN$678,AH747)))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499" operator="containsText" id="{BE145AF0-5A4E-4ED0-A36E-A05B9A830DF7}">
            <xm:f>NOT(ISERROR(SEARCH($AN$679,AH747)))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0500" operator="containsText" id="{83688E82-A346-4D50-B34F-417BDFA37376}">
            <xm:f>NOT(ISERROR(SEARCH($AN$681,AH747)))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501" operator="containsText" id="{17D1B91B-C598-46FC-B02C-9863DE49C4FC}">
            <xm:f>NOT(ISERROR(SEARCH($AN$680,AH747)))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502" operator="containsText" id="{35F9E657-6C4A-4EAB-8E7D-E158BF50B6A8}">
            <xm:f>NOT(ISERROR(SEARCH($AN$678,AH747)))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503" operator="containsText" id="{F8EE539A-3075-4673-B0A8-D32436F1FA40}">
            <xm:f>NOT(ISERROR(SEARCH($AN$679,AH747)))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AH747</xm:sqref>
        </x14:conditionalFormatting>
        <x14:conditionalFormatting xmlns:xm="http://schemas.microsoft.com/office/excel/2006/main">
          <x14:cfRule type="containsText" priority="22339" operator="containsText" id="{C9095972-AA20-4523-8C1E-AEB3816C4834}">
            <xm:f>NOT(ISERROR(SEARCH($AN$680,AI71)))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340" operator="containsText" id="{46CBC954-41C9-42F9-9FC0-A514BE8BF7D3}">
            <xm:f>NOT(ISERROR(SEARCH($AN$678,AI71)))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341" operator="containsText" id="{298946B8-694B-4933-8827-6FD711C89C1D}">
            <xm:f>NOT(ISERROR(SEARCH($AN$679,AI71)))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AI71 AI73:AI74</xm:sqref>
        </x14:conditionalFormatting>
        <x14:conditionalFormatting xmlns:xm="http://schemas.microsoft.com/office/excel/2006/main">
          <x14:cfRule type="containsText" priority="22270" operator="containsText" id="{945621B1-1DEF-40B6-A81E-946ED0778A95}">
            <xm:f>NOT(ISERROR(SEARCH($AN$681,AI72)))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271" operator="containsText" id="{BD329091-0BA2-4EEA-84EB-86BE70EDD38A}">
            <xm:f>NOT(ISERROR(SEARCH($AN$680,AI72)))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272" operator="containsText" id="{E0F17471-DDBC-4A46-8D31-24E638DEC513}">
            <xm:f>NOT(ISERROR(SEARCH($AN$678,AI72)))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273" operator="containsText" id="{E34357A0-6550-4D06-915D-D8E03EDC280F}">
            <xm:f>NOT(ISERROR(SEARCH($AN$679,AI72)))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AI72:AI73</xm:sqref>
        </x14:conditionalFormatting>
        <x14:conditionalFormatting xmlns:xm="http://schemas.microsoft.com/office/excel/2006/main">
          <x14:cfRule type="containsText" priority="22264" operator="containsText" id="{1148EACE-E7F6-46F3-99F9-AFB3D0B2931A}">
            <xm:f>NOT(ISERROR(SEARCH($AN$688,AI72)))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265" operator="containsText" id="{4C6ABAFB-43CC-4CD8-871C-3B452976AFBC}">
            <xm:f>NOT(ISERROR(SEARCH($AN$686,AI72)))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266" operator="containsText" id="{A8E3DB90-B2A9-4E4A-BEEC-6124D9DE4E58}">
            <xm:f>NOT(ISERROR(SEARCH($AN$685,AI72)))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267" operator="containsText" id="{D5A61181-E5B9-43CC-B056-50F63F311B5F}">
            <xm:f>NOT(ISERROR(SEARCH($AN$684,AI72)))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268" operator="containsText" id="{73372B53-D862-4C4C-B208-C4A7AA992F18}">
            <xm:f>NOT(ISERROR(SEARCH($AN$683,AI72)))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269" operator="containsText" id="{2F1B1A4F-C1AE-4332-BCCE-C8F8C21B0FFB}">
            <xm:f>NOT(ISERROR(SEARCH($AN$682,AI72)))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AI72:AI74</xm:sqref>
        </x14:conditionalFormatting>
        <x14:conditionalFormatting xmlns:xm="http://schemas.microsoft.com/office/excel/2006/main">
          <x14:cfRule type="containsText" priority="22338" operator="containsText" id="{A12AE4FF-2461-4F0E-924C-FDED1CD3475D}">
            <xm:f>NOT(ISERROR(SEARCH($AN$681,AI71)))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AI73:AI74 AI71</xm:sqref>
        </x14:conditionalFormatting>
        <x14:conditionalFormatting xmlns:xm="http://schemas.microsoft.com/office/excel/2006/main">
          <x14:cfRule type="containsText" priority="22334" operator="containsText" id="{C83DF6A6-2E89-4021-92AA-FAAAFACA1271}">
            <xm:f>NOT(ISERROR(SEARCH($AN$681,AI73)))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335" operator="containsText" id="{82F558C7-BCCC-47D2-842F-0FC7B9E3DF5C}">
            <xm:f>NOT(ISERROR(SEARCH($AN$680,AI73)))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336" operator="containsText" id="{1CA4DC5F-9C4D-4396-B35C-53C5F776B926}">
            <xm:f>NOT(ISERROR(SEARCH($AN$678,AI73)))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337" operator="containsText" id="{E2B9DBBF-831D-470A-AC98-E464494DBEC6}">
            <xm:f>NOT(ISERROR(SEARCH($AN$679,AI73)))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AI73:AI74</xm:sqref>
        </x14:conditionalFormatting>
        <x14:conditionalFormatting xmlns:xm="http://schemas.microsoft.com/office/excel/2006/main">
          <x14:cfRule type="containsText" priority="22321" operator="containsText" id="{56A8D2DD-BEBB-4A08-B944-FD091F4FF9D8}">
            <xm:f>NOT(ISERROR(SEARCH($AN$690,AD52)))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m:sqref>AI73:AI75 AD52:AK70 AD76:AK93</xm:sqref>
        </x14:conditionalFormatting>
        <x14:conditionalFormatting xmlns:xm="http://schemas.microsoft.com/office/excel/2006/main">
          <x14:cfRule type="containsText" priority="22342" operator="containsText" id="{64147672-DA10-45C8-85A2-CC44711DE862}">
            <xm:f>NOT(ISERROR(SEARCH($AN$690,AI75)))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22343" operator="containsText" id="{64FA7672-C776-407F-B340-18C62FD1F41F}">
            <xm:f>NOT(ISERROR(SEARCH($AN$704,AI75)))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22344" operator="containsText" id="{CC67FDBA-9ADE-4B10-80F7-D9D9B9E61C9D}">
            <xm:f>NOT(ISERROR(SEARCH($AN$693,AI75)))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22345" operator="containsText" id="{46DF51CF-5158-4936-933C-27C8004A65AF}">
            <xm:f>NOT(ISERROR(SEARCH($AN$692,AI75)))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346" operator="containsText" id="{B873EC16-12A0-45C5-BFD4-F10CC178271B}">
            <xm:f>NOT(ISERROR(SEARCH($AN$691,AI75)))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22347" operator="containsText" id="{B5874B85-4384-40E7-9452-290FA5C12793}">
            <xm:f>NOT(ISERROR(SEARCH($AN$689,AI75)))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2348" operator="containsText" id="{4315D443-ED00-462E-9C33-7CA27CF61467}">
            <xm:f>NOT(ISERROR(SEARCH($AN$687,AI75)))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22349" operator="containsText" id="{1085A1FE-6A17-405B-835D-5CF13671AB79}">
            <xm:f>NOT(ISERROR(SEARCH($AN$688,AI75)))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350" operator="containsText" id="{19D422DC-968F-499C-AA56-C86F712214DA}">
            <xm:f>NOT(ISERROR(SEARCH($AN$686,AI75)))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351" operator="containsText" id="{249004A2-58CA-487E-8C85-900C7C54C3F8}">
            <xm:f>NOT(ISERROR(SEARCH($AN$685,AI75)))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2352" operator="containsText" id="{3C7CC55B-8A27-4137-B751-21003F6CBCAD}">
            <xm:f>NOT(ISERROR(SEARCH($AN$684,AI75)))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2353" operator="containsText" id="{16B8E8F2-2542-47B6-8993-2081E565C263}">
            <xm:f>NOT(ISERROR(SEARCH($AN$683,AI75)))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2354" operator="containsText" id="{8FB23B7E-2654-48FC-AF7B-4DA952551A93}">
            <xm:f>NOT(ISERROR(SEARCH($AN$682,AI75)))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22355" operator="containsText" id="{C7614785-D6D7-48AE-89FC-24F362501B28}">
            <xm:f>NOT(ISERROR(SEARCH($AN$681,AI75)))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356" operator="containsText" id="{3CFB3C1C-3FA7-42E5-8CFE-EC6285BBDE46}">
            <xm:f>NOT(ISERROR(SEARCH($AN$680,AI75)))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357" operator="containsText" id="{CAFCADF2-15BD-43DD-A9E9-EC2485382100}">
            <xm:f>NOT(ISERROR(SEARCH($AN$678,AI75)))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358" operator="containsText" id="{E867E9FC-2A01-43CE-902F-2561100EA1D8}">
            <xm:f>NOT(ISERROR(SEARCH($AN$679,AI75)))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2359" operator="containsText" id="{A04FDF06-610D-4186-A6B5-B23F7A28FDFD}">
            <xm:f>NOT(ISERROR(SEARCH($AN$681,AI75)))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2360" operator="containsText" id="{A9609250-FF0D-4537-A805-B4E2C26A32A5}">
            <xm:f>NOT(ISERROR(SEARCH($AN$680,AI75)))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2361" operator="containsText" id="{2FD6ADCE-F3F6-4275-B5AA-FB87B2C69156}">
            <xm:f>NOT(ISERROR(SEARCH($AN$678,AI75)))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2362" operator="containsText" id="{BECD149E-C39D-4E68-9A82-A598C2D533A7}">
            <xm:f>NOT(ISERROR(SEARCH($AN$679,AI75)))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AI75</xm:sqref>
        </x14:conditionalFormatting>
        <x14:conditionalFormatting xmlns:xm="http://schemas.microsoft.com/office/excel/2006/main">
          <x14:cfRule type="containsText" priority="12823" operator="containsText" id="{C704B185-EBD4-445C-9E0D-3277DC68D24A}">
            <xm:f>NOT(ISERROR(SEARCH($AN$688,AI167)))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824" operator="containsText" id="{E4E141B6-DC54-4F1A-B79E-BED6027EEB3D}">
            <xm:f>NOT(ISERROR(SEARCH($AN$686,AI167)))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825" operator="containsText" id="{64FFDDD0-5162-404B-BD01-762DB12140FA}">
            <xm:f>NOT(ISERROR(SEARCH($AN$685,AI167)))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826" operator="containsText" id="{1F26A226-7743-40F8-A0BA-E72B06466974}">
            <xm:f>NOT(ISERROR(SEARCH($AN$684,AI167)))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827" operator="containsText" id="{02DEA53D-AE03-4038-B31F-EDD00B0CEEF1}">
            <xm:f>NOT(ISERROR(SEARCH($AN$683,AI167)))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828" operator="containsText" id="{ACA3144E-3AA6-44F3-9218-31458A4F4399}">
            <xm:f>NOT(ISERROR(SEARCH($AN$682,AI167)))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833" operator="containsText" id="{9C8820CF-50B9-4BAD-8C3F-537176648F05}">
            <xm:f>NOT(ISERROR(SEARCH($AN$681,AI167)))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834" operator="containsText" id="{3D88E586-DAEA-46C0-B6EE-712FDE9A5EBC}">
            <xm:f>NOT(ISERROR(SEARCH($AN$680,AI167)))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835" operator="containsText" id="{5CCA0252-2ABC-47C1-9494-D2647090BDE8}">
            <xm:f>NOT(ISERROR(SEARCH($AN$678,AI167)))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836" operator="containsText" id="{2146218E-D189-449A-9AE9-C43FD7747060}">
            <xm:f>NOT(ISERROR(SEARCH($AN$679,AI167)))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AI167</xm:sqref>
        </x14:conditionalFormatting>
        <x14:conditionalFormatting xmlns:xm="http://schemas.microsoft.com/office/excel/2006/main">
          <x14:cfRule type="containsText" priority="5165" operator="containsText" id="{C11F6F36-2791-4F36-A345-228E34375598}">
            <xm:f>NOT(ISERROR(SEARCH($AN$681,AI168)))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166" operator="containsText" id="{C84C49E4-10DB-41E6-94FD-7FE68D768B5F}">
            <xm:f>NOT(ISERROR(SEARCH($AN$680,AI168)))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167" operator="containsText" id="{37C03D8B-9EFA-49E5-B5B0-81E6FD9D395D}">
            <xm:f>NOT(ISERROR(SEARCH($AN$678,AI168)))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168" operator="containsText" id="{8EDC5C9E-0D0F-4638-A824-A9C4EEBC9342}">
            <xm:f>NOT(ISERROR(SEARCH($AN$679,AI168)))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AI168:AI169</xm:sqref>
        </x14:conditionalFormatting>
        <x14:conditionalFormatting xmlns:xm="http://schemas.microsoft.com/office/excel/2006/main">
          <x14:cfRule type="containsText" priority="5158" operator="containsText" id="{698E0103-7118-490F-8598-2987311ABF43}">
            <xm:f>NOT(ISERROR(SEARCH($AN$687,AI168)))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159" operator="containsText" id="{97DB11E9-3AE4-4900-8FB6-9959C77E1AD3}">
            <xm:f>NOT(ISERROR(SEARCH($AN$688,AI168)))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160" operator="containsText" id="{6FBFDA72-8BBA-43BA-AA02-63BC6659A465}">
            <xm:f>NOT(ISERROR(SEARCH($AN$686,AI168)))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161" operator="containsText" id="{54A89EDF-CABA-4CDD-B909-D8217313A4FD}">
            <xm:f>NOT(ISERROR(SEARCH($AN$685,AI168)))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162" operator="containsText" id="{F1729BE6-3CB7-475F-9DD9-AB33B5954B88}">
            <xm:f>NOT(ISERROR(SEARCH($AN$684,AI168)))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163" operator="containsText" id="{866C8BAC-15BD-4555-8DC3-4A05FA2484D7}">
            <xm:f>NOT(ISERROR(SEARCH($AN$683,AI168)))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164" operator="containsText" id="{B0A59748-77CF-4344-96DB-158B7D7406CF}">
            <xm:f>NOT(ISERROR(SEARCH($AN$682,AI168)))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AI168:AI170</xm:sqref>
        </x14:conditionalFormatting>
        <x14:conditionalFormatting xmlns:xm="http://schemas.microsoft.com/office/excel/2006/main">
          <x14:cfRule type="containsText" priority="5182" operator="containsText" id="{B4CE1EFE-875D-4940-871A-EA8CAFCA7048}">
            <xm:f>NOT(ISERROR(SEARCH($AN$681,AI169)))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183" operator="containsText" id="{6586D331-A4FB-431C-8E62-6F733DEAAAA0}">
            <xm:f>NOT(ISERROR(SEARCH($AN$680,AI169)))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184" operator="containsText" id="{9A4731C9-7F96-4A19-B76D-E41347515DFC}">
            <xm:f>NOT(ISERROR(SEARCH($AN$678,AI169)))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185" operator="containsText" id="{B86373B4-025E-4338-A913-8BD851CFD55C}">
            <xm:f>NOT(ISERROR(SEARCH($AN$679,AI169)))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186" operator="containsText" id="{A404A852-CD3F-4D58-A37C-82AB01FF722B}">
            <xm:f>NOT(ISERROR(SEARCH($AN$681,AI169)))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187" operator="containsText" id="{1E3E0621-D2C8-468D-AB0A-2FF08AF67298}">
            <xm:f>NOT(ISERROR(SEARCH($AN$680,AI169)))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188" operator="containsText" id="{3C53D40D-C3BC-44EC-AED5-E05395ED925F}">
            <xm:f>NOT(ISERROR(SEARCH($AN$678,AI169)))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189" operator="containsText" id="{0F6E929D-1EAD-4053-9986-041ED0AC20A6}">
            <xm:f>NOT(ISERROR(SEARCH($AN$679,AI169)))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AI169:AI170</xm:sqref>
        </x14:conditionalFormatting>
        <x14:conditionalFormatting xmlns:xm="http://schemas.microsoft.com/office/excel/2006/main">
          <x14:cfRule type="containsText" priority="5169" operator="containsText" id="{4E12F0D5-A7D2-4140-B2F0-918EF940F5A1}">
            <xm:f>NOT(ISERROR(SEARCH($AN$690,AI169)))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170" operator="containsText" id="{B7AB7681-22DE-4233-B5E9-348B225FB482}">
            <xm:f>NOT(ISERROR(SEARCH($AN$704,AI169)))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171" operator="containsText" id="{9E8B5D21-ED22-4E69-AB6D-A6CEBA081538}">
            <xm:f>NOT(ISERROR(SEARCH($AN$693,AI169)))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172" operator="containsText" id="{E3EFEB72-76FC-4F35-8BCB-49AC14AE21EF}">
            <xm:f>NOT(ISERROR(SEARCH($AN$692,AI169)))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AI169:AI171</xm:sqref>
        </x14:conditionalFormatting>
        <x14:conditionalFormatting xmlns:xm="http://schemas.microsoft.com/office/excel/2006/main">
          <x14:cfRule type="containsText" priority="5190" operator="containsText" id="{727EDE7C-300A-4910-8AF9-8AB05CEABE86}">
            <xm:f>NOT(ISERROR(SEARCH($AN$690,AI171)))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191" operator="containsText" id="{09082FAC-F623-4F5E-890E-8DFB143DBF46}">
            <xm:f>NOT(ISERROR(SEARCH($AN$704,AI171)))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192" operator="containsText" id="{70E32DEF-C340-4443-BA84-BEC0C254044D}">
            <xm:f>NOT(ISERROR(SEARCH($AN$693,AI171)))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193" operator="containsText" id="{34BC0199-3F80-418C-B3C4-D23B6B157C09}">
            <xm:f>NOT(ISERROR(SEARCH($AN$692,AI171)))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194" operator="containsText" id="{51DBAFCE-B994-40AC-8D96-9372F74C1E04}">
            <xm:f>NOT(ISERROR(SEARCH($AN$691,AI171)))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195" operator="containsText" id="{6B3FB647-05F9-4E8B-9338-1741360505C2}">
            <xm:f>NOT(ISERROR(SEARCH($AN$689,AI171)))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196" operator="containsText" id="{A1CF312F-E079-431C-BF5C-CB980BAF4B32}">
            <xm:f>NOT(ISERROR(SEARCH($AN$687,AI171)))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197" operator="containsText" id="{FE192A60-976F-464D-B1FF-A1E9EAA41C13}">
            <xm:f>NOT(ISERROR(SEARCH($AN$688,AI171)))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198" operator="containsText" id="{467813A0-F2CE-4E4C-9612-AA459F6757A1}">
            <xm:f>NOT(ISERROR(SEARCH($AN$686,AI171)))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199" operator="containsText" id="{78D70A6C-A28E-4041-B687-E6BB0771BF03}">
            <xm:f>NOT(ISERROR(SEARCH($AN$685,AI171)))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200" operator="containsText" id="{528E43D3-24EF-4657-88D9-BB540EDCD7B2}">
            <xm:f>NOT(ISERROR(SEARCH($AN$684,AI171)))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201" operator="containsText" id="{CBD8B529-42CD-441C-B295-4C3F4E05C283}">
            <xm:f>NOT(ISERROR(SEARCH($AN$683,AI171)))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202" operator="containsText" id="{2D92B256-3245-4848-AE87-0CFE3033D031}">
            <xm:f>NOT(ISERROR(SEARCH($AN$682,AI171)))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203" operator="containsText" id="{4EE08202-61E2-4CDE-A160-C8507DB59E74}">
            <xm:f>NOT(ISERROR(SEARCH($AN$681,AI171)))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204" operator="containsText" id="{6EB24D2E-2B38-40AE-8A5D-BC5B5C00C868}">
            <xm:f>NOT(ISERROR(SEARCH($AN$680,AI171)))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205" operator="containsText" id="{4085CF72-5A05-48E0-A5C0-21991B043C91}">
            <xm:f>NOT(ISERROR(SEARCH($AN$678,AI171)))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206" operator="containsText" id="{503E4D8C-99BA-480E-B905-2B50D9F97620}">
            <xm:f>NOT(ISERROR(SEARCH($AN$679,AI171)))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207" operator="containsText" id="{F4DB58ED-FF71-403B-8FC5-BA80C6B34B7B}">
            <xm:f>NOT(ISERROR(SEARCH($AN$681,AI171)))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208" operator="containsText" id="{689B5DD2-53E2-4D5B-BC74-159D419BC006}">
            <xm:f>NOT(ISERROR(SEARCH($AN$680,AI171)))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209" operator="containsText" id="{2539A43F-B24A-4BA8-8678-72472672BE47}">
            <xm:f>NOT(ISERROR(SEARCH($AN$678,AI171)))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210" operator="containsText" id="{2260CDF7-5EE1-439B-A009-CB992CA27758}">
            <xm:f>NOT(ISERROR(SEARCH($AN$679,AI171)))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AI171</xm:sqref>
        </x14:conditionalFormatting>
        <x14:conditionalFormatting xmlns:xm="http://schemas.microsoft.com/office/excel/2006/main">
          <x14:cfRule type="containsText" priority="12474" operator="containsText" id="{4A8F0031-C64D-4F68-BACF-305B0F0491CB}">
            <xm:f>NOT(ISERROR(SEARCH($AN$688,AI263)))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475" operator="containsText" id="{7C67C5E6-5355-4AD4-BF3E-0F8EE9E58D00}">
            <xm:f>NOT(ISERROR(SEARCH($AN$686,AI263)))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476" operator="containsText" id="{CEDDE706-9BF9-49F7-9571-CAF66DB25AC4}">
            <xm:f>NOT(ISERROR(SEARCH($AN$685,AI263)))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477" operator="containsText" id="{0C8DF2BD-1202-4F29-880D-C84EA8480FF7}">
            <xm:f>NOT(ISERROR(SEARCH($AN$684,AI263)))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478" operator="containsText" id="{C8E1F153-20F1-4BF0-81EE-37CA4FFBE012}">
            <xm:f>NOT(ISERROR(SEARCH($AN$683,AI263)))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479" operator="containsText" id="{7222B7F2-692D-4EE9-AD05-3FD29C4DE332}">
            <xm:f>NOT(ISERROR(SEARCH($AN$682,AI263)))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484" operator="containsText" id="{5625F761-64B3-49B2-A69F-A9D49E758A0F}">
            <xm:f>NOT(ISERROR(SEARCH($AN$681,AI263)))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485" operator="containsText" id="{DA2BE93E-0AFA-4278-9095-7B0F40FC79BE}">
            <xm:f>NOT(ISERROR(SEARCH($AN$680,AI263)))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486" operator="containsText" id="{C5746BD7-107A-46CF-99CD-0726F8710CD7}">
            <xm:f>NOT(ISERROR(SEARCH($AN$678,AI263)))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487" operator="containsText" id="{E46094DA-2C74-49DA-8971-32F475DC85A5}">
            <xm:f>NOT(ISERROR(SEARCH($AN$679,AI263)))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AI263</xm:sqref>
        </x14:conditionalFormatting>
        <x14:conditionalFormatting xmlns:xm="http://schemas.microsoft.com/office/excel/2006/main">
          <x14:cfRule type="containsText" priority="4848" operator="containsText" id="{B6E8A7FE-6479-4465-BD5D-3333FFB054B6}">
            <xm:f>NOT(ISERROR(SEARCH($AN$681,AI264)))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849" operator="containsText" id="{44D0F037-8E53-4083-B5F5-F7B4ED841AFF}">
            <xm:f>NOT(ISERROR(SEARCH($AN$680,AI264)))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850" operator="containsText" id="{5C31288F-EEA0-4471-84D7-526BB911E1ED}">
            <xm:f>NOT(ISERROR(SEARCH($AN$678,AI264)))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851" operator="containsText" id="{DAB85A0B-A585-4087-8095-5DCE1B82F70B}">
            <xm:f>NOT(ISERROR(SEARCH($AN$679,AI264)))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AI264:AI265</xm:sqref>
        </x14:conditionalFormatting>
        <x14:conditionalFormatting xmlns:xm="http://schemas.microsoft.com/office/excel/2006/main">
          <x14:cfRule type="containsText" priority="4841" operator="containsText" id="{42E10198-159C-49C0-90EC-CE68815AEBE3}">
            <xm:f>NOT(ISERROR(SEARCH($AN$687,AI264)))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842" operator="containsText" id="{7AA47471-B6CC-42B1-ABB2-80EF4C6056CC}">
            <xm:f>NOT(ISERROR(SEARCH($AN$688,AI264)))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843" operator="containsText" id="{D4173943-70E7-42C4-B465-2911A610CFDC}">
            <xm:f>NOT(ISERROR(SEARCH($AN$686,AI264)))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844" operator="containsText" id="{29A703E1-8069-4065-9D5C-3E260A1B53D6}">
            <xm:f>NOT(ISERROR(SEARCH($AN$685,AI264)))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845" operator="containsText" id="{F5BFDAE5-2C2F-43D1-9BB6-C590376AE671}">
            <xm:f>NOT(ISERROR(SEARCH($AN$684,AI264)))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846" operator="containsText" id="{EC60D20D-E508-4399-9749-AED91BD610BD}">
            <xm:f>NOT(ISERROR(SEARCH($AN$683,AI264)))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847" operator="containsText" id="{A1CA412B-18BE-4B9F-9322-7C5027D611F8}">
            <xm:f>NOT(ISERROR(SEARCH($AN$682,AI264)))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AI264:AI266</xm:sqref>
        </x14:conditionalFormatting>
        <x14:conditionalFormatting xmlns:xm="http://schemas.microsoft.com/office/excel/2006/main">
          <x14:cfRule type="containsText" priority="4865" operator="containsText" id="{559556A0-755D-451E-9EB0-A758CB23084D}">
            <xm:f>NOT(ISERROR(SEARCH($AN$681,AI265)))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866" operator="containsText" id="{352DD774-2755-4418-B7E2-BB8ABFD24EC0}">
            <xm:f>NOT(ISERROR(SEARCH($AN$680,AI265)))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867" operator="containsText" id="{86A9E8F8-BF73-4756-A7BD-C17990019696}">
            <xm:f>NOT(ISERROR(SEARCH($AN$678,AI265)))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868" operator="containsText" id="{2C96EAA8-31C9-4DCB-A08B-F100B33E5D36}">
            <xm:f>NOT(ISERROR(SEARCH($AN$679,AI265)))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869" operator="containsText" id="{BA4FFB59-D6C9-4BAE-9A23-40970C566191}">
            <xm:f>NOT(ISERROR(SEARCH($AN$681,AI265)))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870" operator="containsText" id="{16D2728D-564D-4519-8733-10ED1C428037}">
            <xm:f>NOT(ISERROR(SEARCH($AN$680,AI265)))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871" operator="containsText" id="{3A5E3D1E-B9FF-4849-8918-D0BC4CA1C325}">
            <xm:f>NOT(ISERROR(SEARCH($AN$678,AI265)))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872" operator="containsText" id="{AA7E41DD-05D9-4D5E-874E-5E9C1274C266}">
            <xm:f>NOT(ISERROR(SEARCH($AN$679,AI265)))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AI265:AI266</xm:sqref>
        </x14:conditionalFormatting>
        <x14:conditionalFormatting xmlns:xm="http://schemas.microsoft.com/office/excel/2006/main">
          <x14:cfRule type="containsText" priority="4852" operator="containsText" id="{876E3B73-B7B2-4736-BCF9-39BEE689BDFD}">
            <xm:f>NOT(ISERROR(SEARCH($AN$690,AI265)))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853" operator="containsText" id="{C83F8D0B-D12F-4A5A-A34D-BD424C0E70D2}">
            <xm:f>NOT(ISERROR(SEARCH($AN$704,AI265)))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854" operator="containsText" id="{C84273A9-D4D6-4190-922C-D88387183A58}">
            <xm:f>NOT(ISERROR(SEARCH($AN$693,AI265)))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855" operator="containsText" id="{8006EF42-0C4E-4BAF-9462-548FE6442DF5}">
            <xm:f>NOT(ISERROR(SEARCH($AN$692,AI265)))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AI265:AI267</xm:sqref>
        </x14:conditionalFormatting>
        <x14:conditionalFormatting xmlns:xm="http://schemas.microsoft.com/office/excel/2006/main">
          <x14:cfRule type="containsText" priority="4873" operator="containsText" id="{1775BF35-AD37-4B28-814F-DCD4395303D8}">
            <xm:f>NOT(ISERROR(SEARCH($AN$690,AI267)))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874" operator="containsText" id="{34A19360-F3F7-4E82-A9A3-DD96C2A26110}">
            <xm:f>NOT(ISERROR(SEARCH($AN$704,AI267)))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875" operator="containsText" id="{8448D5F9-A817-4558-B936-B16ADB663ADE}">
            <xm:f>NOT(ISERROR(SEARCH($AN$693,AI267)))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876" operator="containsText" id="{1BAEF510-D7CA-469B-82D4-E84A92851C59}">
            <xm:f>NOT(ISERROR(SEARCH($AN$692,AI267)))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877" operator="containsText" id="{F8C85A6C-E606-4E09-ACBE-F26C1B8DF54E}">
            <xm:f>NOT(ISERROR(SEARCH($AN$691,AI267)))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878" operator="containsText" id="{DBE04A2E-3157-4191-B7A9-909A57F29099}">
            <xm:f>NOT(ISERROR(SEARCH($AN$689,AI267)))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879" operator="containsText" id="{4AB05EBC-126A-4877-BBB9-E7D4A71056DE}">
            <xm:f>NOT(ISERROR(SEARCH($AN$687,AI267)))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880" operator="containsText" id="{992C3D06-892A-4358-862D-C33ACCB75A57}">
            <xm:f>NOT(ISERROR(SEARCH($AN$688,AI267)))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881" operator="containsText" id="{422A35DA-84C4-4D60-84D7-D354BB5BD71A}">
            <xm:f>NOT(ISERROR(SEARCH($AN$686,AI267)))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882" operator="containsText" id="{34FCFAC5-AE69-4418-AB6D-A45AE988C5A3}">
            <xm:f>NOT(ISERROR(SEARCH($AN$685,AI267)))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883" operator="containsText" id="{CE8435FD-0055-454D-9203-10FF4B0301AD}">
            <xm:f>NOT(ISERROR(SEARCH($AN$684,AI267)))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884" operator="containsText" id="{1171284D-38B9-41C4-8D59-988678E5CBD3}">
            <xm:f>NOT(ISERROR(SEARCH($AN$683,AI267)))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885" operator="containsText" id="{CB52F08D-D758-448C-BB03-730CA7438984}">
            <xm:f>NOT(ISERROR(SEARCH($AN$682,AI267)))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886" operator="containsText" id="{D917BB54-59E7-4640-9E93-2439B0165AEE}">
            <xm:f>NOT(ISERROR(SEARCH($AN$681,AI267)))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887" operator="containsText" id="{A614E4A8-7D4C-4E12-9FB3-3FC1E094D1EC}">
            <xm:f>NOT(ISERROR(SEARCH($AN$680,AI267)))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888" operator="containsText" id="{0C84B428-F8B2-4E17-B02B-28916BECF78B}">
            <xm:f>NOT(ISERROR(SEARCH($AN$678,AI267)))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889" operator="containsText" id="{4A8B0740-7321-4AEB-A4BA-C224813098D2}">
            <xm:f>NOT(ISERROR(SEARCH($AN$679,AI267)))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890" operator="containsText" id="{27FEF2C0-BC94-4C3A-B776-8B9DDDB90EFC}">
            <xm:f>NOT(ISERROR(SEARCH($AN$681,AI267)))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891" operator="containsText" id="{DC6FC837-40D5-46C7-8DAA-A9D9B43B3D84}">
            <xm:f>NOT(ISERROR(SEARCH($AN$680,AI267)))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892" operator="containsText" id="{7EF32316-249E-467E-B857-BBDE1C82BFC6}">
            <xm:f>NOT(ISERROR(SEARCH($AN$678,AI267)))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893" operator="containsText" id="{32678D30-F9B0-4B08-90D1-17FE2B507864}">
            <xm:f>NOT(ISERROR(SEARCH($AN$679,AI267)))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AI267</xm:sqref>
        </x14:conditionalFormatting>
        <x14:conditionalFormatting xmlns:xm="http://schemas.microsoft.com/office/excel/2006/main">
          <x14:cfRule type="containsText" priority="12125" operator="containsText" id="{503A46DA-3A86-4868-88E4-F09DFB9B6CA2}">
            <xm:f>NOT(ISERROR(SEARCH($AN$688,AI359)))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126" operator="containsText" id="{EF948A97-0F27-4686-8946-E2B4D484654D}">
            <xm:f>NOT(ISERROR(SEARCH($AN$686,AI359)))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127" operator="containsText" id="{64204613-28F7-41D6-ADB4-19739477372D}">
            <xm:f>NOT(ISERROR(SEARCH($AN$685,AI359)))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128" operator="containsText" id="{F9132CE0-B0FE-4BDA-9213-39E96F931BC4}">
            <xm:f>NOT(ISERROR(SEARCH($AN$684,AI359)))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129" operator="containsText" id="{0A95C45C-9902-4ACE-A8A8-5621A87E1ACA}">
            <xm:f>NOT(ISERROR(SEARCH($AN$683,AI359)))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130" operator="containsText" id="{29C61F70-458D-48B6-8B0B-AB9EBDA340FF}">
            <xm:f>NOT(ISERROR(SEARCH($AN$682,AI359)))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135" operator="containsText" id="{F9551763-BF0E-4B3D-B818-580B90EF0FF5}">
            <xm:f>NOT(ISERROR(SEARCH($AN$681,AI359)))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136" operator="containsText" id="{E3C061AE-743E-452B-97FB-DB02A588F0D6}">
            <xm:f>NOT(ISERROR(SEARCH($AN$680,AI359)))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137" operator="containsText" id="{E52D794E-8C1D-47A8-9E4B-925F451DEE32}">
            <xm:f>NOT(ISERROR(SEARCH($AN$678,AI359)))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138" operator="containsText" id="{70591302-808F-4C81-ABFB-F48F32B60191}">
            <xm:f>NOT(ISERROR(SEARCH($AN$679,AI359)))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AI359</xm:sqref>
        </x14:conditionalFormatting>
        <x14:conditionalFormatting xmlns:xm="http://schemas.microsoft.com/office/excel/2006/main">
          <x14:cfRule type="containsText" priority="4531" operator="containsText" id="{11BC2141-4D58-4159-BE53-5BE27AEB3159}">
            <xm:f>NOT(ISERROR(SEARCH($AN$681,AI360)))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532" operator="containsText" id="{2D5B3DBA-97C8-4263-A801-35CB38782945}">
            <xm:f>NOT(ISERROR(SEARCH($AN$680,AI360)))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533" operator="containsText" id="{B19E6E1D-B8A8-4C50-A17B-1898C3CD37DD}">
            <xm:f>NOT(ISERROR(SEARCH($AN$678,AI360)))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534" operator="containsText" id="{160C683A-8D3E-4DF1-A3ED-C58544DDBC32}">
            <xm:f>NOT(ISERROR(SEARCH($AN$679,AI360)))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AI360:AI361</xm:sqref>
        </x14:conditionalFormatting>
        <x14:conditionalFormatting xmlns:xm="http://schemas.microsoft.com/office/excel/2006/main">
          <x14:cfRule type="containsText" priority="4524" operator="containsText" id="{0F807B18-B885-4CCA-9896-74F07BDCC3F6}">
            <xm:f>NOT(ISERROR(SEARCH($AN$687,AI360)))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525" operator="containsText" id="{83DBD938-0766-43E8-8A9F-20BDB84424A2}">
            <xm:f>NOT(ISERROR(SEARCH($AN$688,AI360)))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526" operator="containsText" id="{AC23DDCE-1CA7-42D6-A04F-580B4FC2B20A}">
            <xm:f>NOT(ISERROR(SEARCH($AN$686,AI360)))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527" operator="containsText" id="{AD358D79-7D9F-4842-87D9-284FF1E92C7C}">
            <xm:f>NOT(ISERROR(SEARCH($AN$685,AI360)))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528" operator="containsText" id="{13366BC0-DA9C-4E16-9C96-6D500F060D8F}">
            <xm:f>NOT(ISERROR(SEARCH($AN$684,AI360)))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529" operator="containsText" id="{B961D0BD-3F1C-4CF5-83CF-BB1D8F04EE37}">
            <xm:f>NOT(ISERROR(SEARCH($AN$683,AI360)))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530" operator="containsText" id="{91C71DBC-59E4-4BAB-90D7-BE96A4978FE0}">
            <xm:f>NOT(ISERROR(SEARCH($AN$682,AI360)))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AI360:AI362</xm:sqref>
        </x14:conditionalFormatting>
        <x14:conditionalFormatting xmlns:xm="http://schemas.microsoft.com/office/excel/2006/main">
          <x14:cfRule type="containsText" priority="4548" operator="containsText" id="{87CB9B4A-505C-4C81-8EC9-28E8FDCAC7AB}">
            <xm:f>NOT(ISERROR(SEARCH($AN$681,AI361)))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549" operator="containsText" id="{BE595DAF-0C3E-4846-BD84-9891A136A71E}">
            <xm:f>NOT(ISERROR(SEARCH($AN$680,AI361)))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550" operator="containsText" id="{4DF07B2D-8566-4CEE-9299-284F44A4852A}">
            <xm:f>NOT(ISERROR(SEARCH($AN$678,AI361)))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551" operator="containsText" id="{B5AD3768-58CF-4408-9DB5-979964FB7162}">
            <xm:f>NOT(ISERROR(SEARCH($AN$679,AI361)))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552" operator="containsText" id="{B2FFCE77-D3BB-4067-9273-688B02113266}">
            <xm:f>NOT(ISERROR(SEARCH($AN$681,AI361)))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553" operator="containsText" id="{58F4B377-8B06-4AD9-A667-6E08C1744AB0}">
            <xm:f>NOT(ISERROR(SEARCH($AN$680,AI361)))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554" operator="containsText" id="{14D9FE97-E0B8-40C7-8F94-DE86895D0FDF}">
            <xm:f>NOT(ISERROR(SEARCH($AN$678,AI361)))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555" operator="containsText" id="{C93B1A56-5535-46BC-9E4C-C75D01DD3AE4}">
            <xm:f>NOT(ISERROR(SEARCH($AN$679,AI361)))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AI361:AI362</xm:sqref>
        </x14:conditionalFormatting>
        <x14:conditionalFormatting xmlns:xm="http://schemas.microsoft.com/office/excel/2006/main">
          <x14:cfRule type="containsText" priority="4535" operator="containsText" id="{913BC560-42BF-4DA3-9197-F7FAC858BB23}">
            <xm:f>NOT(ISERROR(SEARCH($AN$690,AI361)))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536" operator="containsText" id="{D2731364-22B3-4001-BDEB-55607E250D23}">
            <xm:f>NOT(ISERROR(SEARCH($AN$704,AI361)))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537" operator="containsText" id="{A1D8948C-B767-4E22-94B2-EE9138AC810B}">
            <xm:f>NOT(ISERROR(SEARCH($AN$693,AI361)))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538" operator="containsText" id="{F81543F7-41F2-403D-AEA6-63B703BD326F}">
            <xm:f>NOT(ISERROR(SEARCH($AN$692,AI361)))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AI361:AI363</xm:sqref>
        </x14:conditionalFormatting>
        <x14:conditionalFormatting xmlns:xm="http://schemas.microsoft.com/office/excel/2006/main">
          <x14:cfRule type="containsText" priority="4556" operator="containsText" id="{7C3310E6-EA2A-4E82-B44A-617A78E07D33}">
            <xm:f>NOT(ISERROR(SEARCH($AN$690,AI363)))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557" operator="containsText" id="{6C3429FB-FBCC-4098-AAA4-1101AF7EBED7}">
            <xm:f>NOT(ISERROR(SEARCH($AN$704,AI363)))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558" operator="containsText" id="{ADA9830D-F68E-412A-ADBD-9C8928C86B84}">
            <xm:f>NOT(ISERROR(SEARCH($AN$693,AI363)))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559" operator="containsText" id="{4F3C4286-98F1-4A60-A449-266659F224EB}">
            <xm:f>NOT(ISERROR(SEARCH($AN$692,AI363)))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560" operator="containsText" id="{499DA60C-4850-4B82-949D-93820AF0B90D}">
            <xm:f>NOT(ISERROR(SEARCH($AN$691,AI363)))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561" operator="containsText" id="{E3E998D6-1DE5-416F-9A59-9EDFEF99D615}">
            <xm:f>NOT(ISERROR(SEARCH($AN$689,AI363)))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562" operator="containsText" id="{354FEF91-EF07-4593-91AA-30244034C9DB}">
            <xm:f>NOT(ISERROR(SEARCH($AN$687,AI363)))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563" operator="containsText" id="{1CC372C9-BC5D-4958-A4B5-293637B78816}">
            <xm:f>NOT(ISERROR(SEARCH($AN$688,AI363)))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564" operator="containsText" id="{4DCA98D9-F074-47A4-9855-88F18A2788E6}">
            <xm:f>NOT(ISERROR(SEARCH($AN$686,AI363)))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565" operator="containsText" id="{19007B92-2AA5-4F52-A515-38BF8A19916A}">
            <xm:f>NOT(ISERROR(SEARCH($AN$685,AI363)))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566" operator="containsText" id="{CE1591B1-C272-41AF-BEA9-2A8A2EBAB08D}">
            <xm:f>NOT(ISERROR(SEARCH($AN$684,AI363)))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567" operator="containsText" id="{471B5BEB-083D-4B69-8151-8E77A94BA0AD}">
            <xm:f>NOT(ISERROR(SEARCH($AN$683,AI363)))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568" operator="containsText" id="{66E04BD2-4802-457C-BB98-25A42B9A3BEB}">
            <xm:f>NOT(ISERROR(SEARCH($AN$682,AI363)))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569" operator="containsText" id="{6577F1BB-A0BC-4249-96E0-E777799115C3}">
            <xm:f>NOT(ISERROR(SEARCH($AN$681,AI363)))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570" operator="containsText" id="{77125BD6-85AC-405F-A977-9C944013A53E}">
            <xm:f>NOT(ISERROR(SEARCH($AN$680,AI363)))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571" operator="containsText" id="{4DE1FF97-EC3F-4B87-B736-19105766BDE2}">
            <xm:f>NOT(ISERROR(SEARCH($AN$678,AI363)))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572" operator="containsText" id="{D2E88769-5B15-4401-B0E0-7BBE84F89B69}">
            <xm:f>NOT(ISERROR(SEARCH($AN$679,AI363)))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573" operator="containsText" id="{7B2C9804-E6F0-4B97-9E88-B7C35EE78C6D}">
            <xm:f>NOT(ISERROR(SEARCH($AN$681,AI363)))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574" operator="containsText" id="{2D452307-5F21-4713-885B-6D300FC5587E}">
            <xm:f>NOT(ISERROR(SEARCH($AN$680,AI363)))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575" operator="containsText" id="{B1FD80BF-BC4A-425D-A488-5C784B538906}">
            <xm:f>NOT(ISERROR(SEARCH($AN$678,AI363)))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576" operator="containsText" id="{ED1F75CA-9736-4272-B724-C65B4A0DA14A}">
            <xm:f>NOT(ISERROR(SEARCH($AN$679,AI363)))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AI363</xm:sqref>
        </x14:conditionalFormatting>
        <x14:conditionalFormatting xmlns:xm="http://schemas.microsoft.com/office/excel/2006/main">
          <x14:cfRule type="containsText" priority="11776" operator="containsText" id="{8CC024E6-CE4B-49C3-9185-5732D4BE2AE8}">
            <xm:f>NOT(ISERROR(SEARCH($AN$688,AI455)))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777" operator="containsText" id="{027205D7-7850-4087-B610-82DDDE6C0A3D}">
            <xm:f>NOT(ISERROR(SEARCH($AN$686,AI455)))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778" operator="containsText" id="{105DF878-ECA3-4997-BA86-6726A6EA5C99}">
            <xm:f>NOT(ISERROR(SEARCH($AN$685,AI455)))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779" operator="containsText" id="{E8C28E46-AF19-4E59-88EF-865A9BB014FD}">
            <xm:f>NOT(ISERROR(SEARCH($AN$684,AI455)))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780" operator="containsText" id="{131D4431-A31C-4B2C-B77D-6074EA60D3E5}">
            <xm:f>NOT(ISERROR(SEARCH($AN$683,AI455)))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781" operator="containsText" id="{718ACE1C-DA09-4472-975C-79DF09A41881}">
            <xm:f>NOT(ISERROR(SEARCH($AN$682,AI455)))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786" operator="containsText" id="{F8B1C601-064A-460C-9B05-448099DCF70E}">
            <xm:f>NOT(ISERROR(SEARCH($AN$681,AI455)))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787" operator="containsText" id="{2EDE6D5A-167E-4691-9C42-B8708161D4D3}">
            <xm:f>NOT(ISERROR(SEARCH($AN$680,AI455)))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788" operator="containsText" id="{125F2464-BF7F-4332-B809-462896A9B013}">
            <xm:f>NOT(ISERROR(SEARCH($AN$678,AI455)))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789" operator="containsText" id="{53481087-DE92-4C8B-929B-4AF875928F37}">
            <xm:f>NOT(ISERROR(SEARCH($AN$679,AI455)))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AI455</xm:sqref>
        </x14:conditionalFormatting>
        <x14:conditionalFormatting xmlns:xm="http://schemas.microsoft.com/office/excel/2006/main">
          <x14:cfRule type="containsText" priority="4214" operator="containsText" id="{92DFEA92-46D8-468D-94C5-F008790BE2F7}">
            <xm:f>NOT(ISERROR(SEARCH($AN$681,AI456)))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215" operator="containsText" id="{91EE368C-B8C1-4CBE-B9BC-473C73BD21C4}">
            <xm:f>NOT(ISERROR(SEARCH($AN$680,AI456)))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216" operator="containsText" id="{C216CA07-949A-484A-BF3D-FA13E94E17E8}">
            <xm:f>NOT(ISERROR(SEARCH($AN$678,AI456)))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217" operator="containsText" id="{A117EBC8-601E-4E83-8BCA-DB94491ADB57}">
            <xm:f>NOT(ISERROR(SEARCH($AN$679,AI456)))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AI456:AI457</xm:sqref>
        </x14:conditionalFormatting>
        <x14:conditionalFormatting xmlns:xm="http://schemas.microsoft.com/office/excel/2006/main">
          <x14:cfRule type="containsText" priority="4207" operator="containsText" id="{939C2309-C188-4B5F-B261-316501C9D2AA}">
            <xm:f>NOT(ISERROR(SEARCH($AN$687,AI456)))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208" operator="containsText" id="{06544907-0AF1-4087-8E37-F687FBA3293A}">
            <xm:f>NOT(ISERROR(SEARCH($AN$688,AI456)))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209" operator="containsText" id="{B8BD7C59-3000-4513-B0C0-0A618DB1F4BB}">
            <xm:f>NOT(ISERROR(SEARCH($AN$686,AI456)))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210" operator="containsText" id="{5E1AFB37-FB55-4CD0-8312-267BAED08A60}">
            <xm:f>NOT(ISERROR(SEARCH($AN$685,AI456)))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211" operator="containsText" id="{CDEEECEB-018B-423B-9DA3-EE0B7F1CF6F0}">
            <xm:f>NOT(ISERROR(SEARCH($AN$684,AI456)))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212" operator="containsText" id="{1434E8EF-EC71-482D-B686-30DE95FFD003}">
            <xm:f>NOT(ISERROR(SEARCH($AN$683,AI456)))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213" operator="containsText" id="{C0B7858B-9E6F-4B21-903B-211FC2359FB1}">
            <xm:f>NOT(ISERROR(SEARCH($AN$682,AI456)))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AI456:AI458</xm:sqref>
        </x14:conditionalFormatting>
        <x14:conditionalFormatting xmlns:xm="http://schemas.microsoft.com/office/excel/2006/main">
          <x14:cfRule type="containsText" priority="4231" operator="containsText" id="{1A5E96CB-1A0C-4516-8829-8EE69ABD0F97}">
            <xm:f>NOT(ISERROR(SEARCH($AN$681,AI457)))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232" operator="containsText" id="{B26B5EBA-29B7-493A-AEA7-4C285EFA0364}">
            <xm:f>NOT(ISERROR(SEARCH($AN$680,AI457)))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233" operator="containsText" id="{7EE6C9C2-5144-4A97-A0EA-0AFB15281144}">
            <xm:f>NOT(ISERROR(SEARCH($AN$678,AI457)))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234" operator="containsText" id="{3B7BEA6D-0C03-496C-BFD1-B84C17CAFDE9}">
            <xm:f>NOT(ISERROR(SEARCH($AN$679,AI457)))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235" operator="containsText" id="{3CD979CC-C3B7-4F82-BFC5-A253C9605A01}">
            <xm:f>NOT(ISERROR(SEARCH($AN$681,AI457)))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236" operator="containsText" id="{E4099F20-7BA1-4120-8157-0E5DF203FFE0}">
            <xm:f>NOT(ISERROR(SEARCH($AN$680,AI457)))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237" operator="containsText" id="{145EC960-E0AC-48FD-A9DF-5CDD7771BE61}">
            <xm:f>NOT(ISERROR(SEARCH($AN$678,AI457)))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238" operator="containsText" id="{E96548B6-97D3-42A6-9229-476B17582D81}">
            <xm:f>NOT(ISERROR(SEARCH($AN$679,AI457)))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AI457:AI458</xm:sqref>
        </x14:conditionalFormatting>
        <x14:conditionalFormatting xmlns:xm="http://schemas.microsoft.com/office/excel/2006/main">
          <x14:cfRule type="containsText" priority="4218" operator="containsText" id="{8351D7EC-C0A1-413E-8468-33D4044F5337}">
            <xm:f>NOT(ISERROR(SEARCH($AN$690,AI457)))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219" operator="containsText" id="{51C1328F-DDE1-45D6-BBEB-05C0645B0135}">
            <xm:f>NOT(ISERROR(SEARCH($AN$704,AI457)))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220" operator="containsText" id="{891C239C-297A-4DC6-B47C-3EEBCFF533AD}">
            <xm:f>NOT(ISERROR(SEARCH($AN$693,AI457)))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221" operator="containsText" id="{4F5D7463-9DD4-46DA-B1E8-5F0754429BAA}">
            <xm:f>NOT(ISERROR(SEARCH($AN$692,AI457)))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AI457:AI459</xm:sqref>
        </x14:conditionalFormatting>
        <x14:conditionalFormatting xmlns:xm="http://schemas.microsoft.com/office/excel/2006/main">
          <x14:cfRule type="containsText" priority="4239" operator="containsText" id="{53B745D8-FC6F-4C7A-96BF-F93AEB03F637}">
            <xm:f>NOT(ISERROR(SEARCH($AN$690,AI459)))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240" operator="containsText" id="{BC349C69-74DF-471E-9D0B-D422430F576E}">
            <xm:f>NOT(ISERROR(SEARCH($AN$704,AI459)))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241" operator="containsText" id="{5FC867E6-7AC5-44F1-8B06-C81263D18559}">
            <xm:f>NOT(ISERROR(SEARCH($AN$693,AI459)))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242" operator="containsText" id="{CCA6C34F-13A8-4F5A-B2AB-C154E7D4ED71}">
            <xm:f>NOT(ISERROR(SEARCH($AN$692,AI459)))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243" operator="containsText" id="{3F3FCC42-4FB0-4615-89E3-9080A8C785D6}">
            <xm:f>NOT(ISERROR(SEARCH($AN$691,AI459)))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244" operator="containsText" id="{A5004354-53EA-42D0-A80C-2D596BC2DD92}">
            <xm:f>NOT(ISERROR(SEARCH($AN$689,AI459)))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245" operator="containsText" id="{93F42600-62DA-4C7D-9C0A-7322D33364A9}">
            <xm:f>NOT(ISERROR(SEARCH($AN$687,AI459)))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246" operator="containsText" id="{192DDA81-CAB7-44C8-B228-359DD37CA77E}">
            <xm:f>NOT(ISERROR(SEARCH($AN$688,AI459)))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247" operator="containsText" id="{F60879FE-D212-4CC6-B680-CC462100A9FA}">
            <xm:f>NOT(ISERROR(SEARCH($AN$686,AI459)))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248" operator="containsText" id="{06B4E9AE-54AF-4889-AB04-C927DC7147EE}">
            <xm:f>NOT(ISERROR(SEARCH($AN$685,AI459)))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249" operator="containsText" id="{54D7E497-D0A9-4EFA-8330-250C3068323D}">
            <xm:f>NOT(ISERROR(SEARCH($AN$684,AI459)))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250" operator="containsText" id="{3BE72A0D-B67F-4AF9-9A9D-EB930D08F3C0}">
            <xm:f>NOT(ISERROR(SEARCH($AN$683,AI459)))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251" operator="containsText" id="{173A73BC-C432-419D-BE0F-D0A23A6EDD66}">
            <xm:f>NOT(ISERROR(SEARCH($AN$682,AI459)))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252" operator="containsText" id="{4532B3BE-6757-4870-9001-9E78F94FF2C7}">
            <xm:f>NOT(ISERROR(SEARCH($AN$681,AI459)))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253" operator="containsText" id="{14354312-C304-460D-A973-99DA76D24BF3}">
            <xm:f>NOT(ISERROR(SEARCH($AN$680,AI459)))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254" operator="containsText" id="{6BBE4B96-5B3A-406F-83B9-CA7847B77FD7}">
            <xm:f>NOT(ISERROR(SEARCH($AN$678,AI459)))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255" operator="containsText" id="{40FBB159-9883-4A7D-B9CE-A4EAA3A4370D}">
            <xm:f>NOT(ISERROR(SEARCH($AN$679,AI459)))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256" operator="containsText" id="{D1087188-0392-428B-ADB9-3AEE92799143}">
            <xm:f>NOT(ISERROR(SEARCH($AN$681,AI459)))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257" operator="containsText" id="{7560D72A-8FB1-46A4-B46D-86F8972E08DD}">
            <xm:f>NOT(ISERROR(SEARCH($AN$680,AI459)))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258" operator="containsText" id="{25219415-8927-4E7C-8A8C-D74A296F39D1}">
            <xm:f>NOT(ISERROR(SEARCH($AN$678,AI459)))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259" operator="containsText" id="{45CE0D25-A0A7-43D5-A8FE-FF3F5F9115B1}">
            <xm:f>NOT(ISERROR(SEARCH($AN$679,AI459)))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AI459</xm:sqref>
        </x14:conditionalFormatting>
        <x14:conditionalFormatting xmlns:xm="http://schemas.microsoft.com/office/excel/2006/main">
          <x14:cfRule type="containsText" priority="11427" operator="containsText" id="{A267882C-E6C4-4538-B7EB-DEDE62236365}">
            <xm:f>NOT(ISERROR(SEARCH($AN$688,AI551)))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428" operator="containsText" id="{0BA1C0EA-4DA9-4444-868F-69F154B0DB8C}">
            <xm:f>NOT(ISERROR(SEARCH($AN$686,AI551)))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429" operator="containsText" id="{61ECBCA3-A0E5-4743-AAC5-BC54001B297D}">
            <xm:f>NOT(ISERROR(SEARCH($AN$685,AI551)))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430" operator="containsText" id="{B1501251-7127-4165-B778-D568AA806A6E}">
            <xm:f>NOT(ISERROR(SEARCH($AN$684,AI551)))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431" operator="containsText" id="{6A3FD73D-E310-4A60-833B-430D990A1204}">
            <xm:f>NOT(ISERROR(SEARCH($AN$683,AI551)))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432" operator="containsText" id="{C02C9130-253C-4E82-9FEA-7B58FDF0BB2B}">
            <xm:f>NOT(ISERROR(SEARCH($AN$682,AI551)))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437" operator="containsText" id="{6508C416-7EEB-4D26-A723-93EC26097626}">
            <xm:f>NOT(ISERROR(SEARCH($AN$681,AI551)))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438" operator="containsText" id="{C351533C-35CE-4A39-A463-A5776CD2DD44}">
            <xm:f>NOT(ISERROR(SEARCH($AN$680,AI551)))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439" operator="containsText" id="{CD6CB641-9FB8-4B30-8670-E3A1182C0F06}">
            <xm:f>NOT(ISERROR(SEARCH($AN$678,AI551)))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440" operator="containsText" id="{DA19EC36-BE1C-42CC-B0C0-BCD9E9B557C3}">
            <xm:f>NOT(ISERROR(SEARCH($AN$679,AI551)))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AI551</xm:sqref>
        </x14:conditionalFormatting>
        <x14:conditionalFormatting xmlns:xm="http://schemas.microsoft.com/office/excel/2006/main">
          <x14:cfRule type="containsText" priority="3897" operator="containsText" id="{5CB594F7-1EB2-4DAD-B71C-069826BFA6F2}">
            <xm:f>NOT(ISERROR(SEARCH($AN$681,AI552)))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898" operator="containsText" id="{D9E0B0F9-63E5-41F3-812B-9C6E60E0C85C}">
            <xm:f>NOT(ISERROR(SEARCH($AN$680,AI552)))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899" operator="containsText" id="{6F52954D-E579-4703-B520-148E118E36BD}">
            <xm:f>NOT(ISERROR(SEARCH($AN$678,AI552)))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900" operator="containsText" id="{E62D4286-B3DA-4EF5-887E-E2369710B170}">
            <xm:f>NOT(ISERROR(SEARCH($AN$679,AI552)))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AI552:AI553</xm:sqref>
        </x14:conditionalFormatting>
        <x14:conditionalFormatting xmlns:xm="http://schemas.microsoft.com/office/excel/2006/main">
          <x14:cfRule type="containsText" priority="3890" operator="containsText" id="{752366CB-D7EF-41E5-88E7-E8568508BFE2}">
            <xm:f>NOT(ISERROR(SEARCH($AN$687,AI552)))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891" operator="containsText" id="{4721E831-CF3C-4C5E-88C2-9EBC4B7C3E5D}">
            <xm:f>NOT(ISERROR(SEARCH($AN$688,AI552)))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892" operator="containsText" id="{0D6B0F16-7C0A-420B-B0EB-C9963823D4F8}">
            <xm:f>NOT(ISERROR(SEARCH($AN$686,AI552)))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893" operator="containsText" id="{09671F50-0495-4259-9A13-969765B5BDA5}">
            <xm:f>NOT(ISERROR(SEARCH($AN$685,AI552)))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894" operator="containsText" id="{AD96D283-65A0-4EC0-966A-1D665ED8EA9E}">
            <xm:f>NOT(ISERROR(SEARCH($AN$684,AI552)))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895" operator="containsText" id="{37432CE6-0AC8-48FF-A9E8-60B00058CC55}">
            <xm:f>NOT(ISERROR(SEARCH($AN$683,AI552)))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896" operator="containsText" id="{869643B5-1AED-45FB-939D-CC1FAE92488B}">
            <xm:f>NOT(ISERROR(SEARCH($AN$682,AI552)))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AI552:AI554</xm:sqref>
        </x14:conditionalFormatting>
        <x14:conditionalFormatting xmlns:xm="http://schemas.microsoft.com/office/excel/2006/main">
          <x14:cfRule type="containsText" priority="3914" operator="containsText" id="{E89B2A61-CED8-46B5-9A18-67C3BF01BD5B}">
            <xm:f>NOT(ISERROR(SEARCH($AN$681,AI553)))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915" operator="containsText" id="{FA3B834C-FA04-45C8-9A05-5D041AFA22A0}">
            <xm:f>NOT(ISERROR(SEARCH($AN$680,AI553)))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916" operator="containsText" id="{68C7A350-2A97-483E-9896-EC5B3064F841}">
            <xm:f>NOT(ISERROR(SEARCH($AN$678,AI553)))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917" operator="containsText" id="{B2435DF9-6149-44F3-A314-509BC497B59A}">
            <xm:f>NOT(ISERROR(SEARCH($AN$679,AI553)))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918" operator="containsText" id="{17FA5C4E-F2DB-4905-AB46-532C862A3172}">
            <xm:f>NOT(ISERROR(SEARCH($AN$681,AI553)))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919" operator="containsText" id="{4D5D6C3F-C871-47C1-B8C9-793E6BD3F7EA}">
            <xm:f>NOT(ISERROR(SEARCH($AN$680,AI553)))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920" operator="containsText" id="{CD768573-175E-4442-A404-FBB39118D883}">
            <xm:f>NOT(ISERROR(SEARCH($AN$678,AI553)))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921" operator="containsText" id="{3A38754F-45D4-4E74-B656-929E440C3264}">
            <xm:f>NOT(ISERROR(SEARCH($AN$679,AI553)))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AI553:AI554</xm:sqref>
        </x14:conditionalFormatting>
        <x14:conditionalFormatting xmlns:xm="http://schemas.microsoft.com/office/excel/2006/main">
          <x14:cfRule type="containsText" priority="3901" operator="containsText" id="{F02E96B2-EFB4-4BE1-84C1-42AA76B9A2CD}">
            <xm:f>NOT(ISERROR(SEARCH($AN$690,AI553)))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902" operator="containsText" id="{74FB4632-953E-4FDB-99DE-ABFA84C53DD6}">
            <xm:f>NOT(ISERROR(SEARCH($AN$704,AI553)))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903" operator="containsText" id="{0128DF90-0156-443A-A9AE-66E913FF52C4}">
            <xm:f>NOT(ISERROR(SEARCH($AN$693,AI553)))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904" operator="containsText" id="{B1BE013D-7278-409D-AE9A-A362BD788023}">
            <xm:f>NOT(ISERROR(SEARCH($AN$692,AI553)))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AI553:AI555</xm:sqref>
        </x14:conditionalFormatting>
        <x14:conditionalFormatting xmlns:xm="http://schemas.microsoft.com/office/excel/2006/main">
          <x14:cfRule type="containsText" priority="3922" operator="containsText" id="{2FEC0735-1E5F-410A-979D-0EF0478BAD0D}">
            <xm:f>NOT(ISERROR(SEARCH($AN$690,AI555)))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923" operator="containsText" id="{06071BB7-31FF-4833-B850-32171EE7A0F2}">
            <xm:f>NOT(ISERROR(SEARCH($AN$704,AI555)))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924" operator="containsText" id="{FA757647-9C78-4EE6-AFDB-C079EE1A9AC2}">
            <xm:f>NOT(ISERROR(SEARCH($AN$693,AI555)))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925" operator="containsText" id="{FE3781CB-1C5C-4CA5-B134-EE1BDB2FBFB2}">
            <xm:f>NOT(ISERROR(SEARCH($AN$692,AI555)))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926" operator="containsText" id="{ADB69F4C-3008-40B9-87CD-2E2C031BC2A4}">
            <xm:f>NOT(ISERROR(SEARCH($AN$691,AI555)))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927" operator="containsText" id="{DA7B9AAA-0313-4C7F-A0E8-19CB66D6B614}">
            <xm:f>NOT(ISERROR(SEARCH($AN$689,AI555)))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928" operator="containsText" id="{3F3A7AFC-4DFB-4A31-8821-8B584D46522B}">
            <xm:f>NOT(ISERROR(SEARCH($AN$687,AI555)))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929" operator="containsText" id="{68F02D28-34D5-4049-8B4E-2FDE6A37BEB4}">
            <xm:f>NOT(ISERROR(SEARCH($AN$688,AI555)))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930" operator="containsText" id="{B660CC30-1BE9-4FFF-B71E-351BC7E1E0BE}">
            <xm:f>NOT(ISERROR(SEARCH($AN$686,AI555)))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931" operator="containsText" id="{6C14AD76-CE1F-450B-A6C9-1534A238D6AF}">
            <xm:f>NOT(ISERROR(SEARCH($AN$685,AI555)))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932" operator="containsText" id="{DB2167DB-24A7-498E-BF68-6272E471F14B}">
            <xm:f>NOT(ISERROR(SEARCH($AN$684,AI555)))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933" operator="containsText" id="{430AE972-A02E-4075-AFFB-B2DE5BADB8D5}">
            <xm:f>NOT(ISERROR(SEARCH($AN$683,AI555)))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934" operator="containsText" id="{EC99F957-7A4A-48B5-9DB1-BA33688EC480}">
            <xm:f>NOT(ISERROR(SEARCH($AN$682,AI555)))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935" operator="containsText" id="{3C45A021-D5D6-4873-84E1-9C7DF193B67B}">
            <xm:f>NOT(ISERROR(SEARCH($AN$681,AI555)))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936" operator="containsText" id="{4D1901B0-AE45-4115-89F8-B231C0617717}">
            <xm:f>NOT(ISERROR(SEARCH($AN$680,AI555)))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937" operator="containsText" id="{D1737A02-CAE6-440F-9601-ECCB37370100}">
            <xm:f>NOT(ISERROR(SEARCH($AN$678,AI555)))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938" operator="containsText" id="{7FC95B3C-1479-4ADF-8743-FB7917585D2E}">
            <xm:f>NOT(ISERROR(SEARCH($AN$679,AI555)))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939" operator="containsText" id="{941947BD-CE80-4D05-9B8F-C6DCCAC1D957}">
            <xm:f>NOT(ISERROR(SEARCH($AN$681,AI555)))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940" operator="containsText" id="{F690E3C2-EAA8-42B5-A2B3-9E5C7B36F15B}">
            <xm:f>NOT(ISERROR(SEARCH($AN$680,AI555)))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941" operator="containsText" id="{AB739C23-FBB3-4E6B-A927-BA3BC7B7B587}">
            <xm:f>NOT(ISERROR(SEARCH($AN$678,AI555)))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942" operator="containsText" id="{E8234C01-FD01-4E56-8F2D-741CDA7630D3}">
            <xm:f>NOT(ISERROR(SEARCH($AN$679,AI555)))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AI555</xm:sqref>
        </x14:conditionalFormatting>
        <x14:conditionalFormatting xmlns:xm="http://schemas.microsoft.com/office/excel/2006/main">
          <x14:cfRule type="containsText" priority="11078" operator="containsText" id="{1B6C9D33-09CE-4A5C-9AD9-7581E74997FF}">
            <xm:f>NOT(ISERROR(SEARCH($AN$688,AI647)))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079" operator="containsText" id="{198CE41F-C0E6-4698-8DC6-C254CFEAD3E4}">
            <xm:f>NOT(ISERROR(SEARCH($AN$686,AI647)))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080" operator="containsText" id="{FEB57484-B720-422A-A112-9626DA2AA3E7}">
            <xm:f>NOT(ISERROR(SEARCH($AN$685,AI647)))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081" operator="containsText" id="{DEE2AF66-35ED-4A95-BEC1-C437970296F4}">
            <xm:f>NOT(ISERROR(SEARCH($AN$684,AI647)))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082" operator="containsText" id="{7875F639-D065-4871-8BEF-CD18E33C1F3B}">
            <xm:f>NOT(ISERROR(SEARCH($AN$683,AI647)))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083" operator="containsText" id="{E79FF658-745F-4DE8-8ADD-00815FBC4776}">
            <xm:f>NOT(ISERROR(SEARCH($AN$682,AI647)))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088" operator="containsText" id="{D657AE7A-218A-414F-BF52-BAA92241328A}">
            <xm:f>NOT(ISERROR(SEARCH($AN$681,AI647)))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089" operator="containsText" id="{98596E40-1224-40B6-9887-6FCB183EE11B}">
            <xm:f>NOT(ISERROR(SEARCH($AN$680,AI647)))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090" operator="containsText" id="{9F599742-F8C0-46F1-A0CE-89FF868B2131}">
            <xm:f>NOT(ISERROR(SEARCH($AN$678,AI647)))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091" operator="containsText" id="{8A0DF12C-8B39-4006-A8A2-0D9B615E53CD}">
            <xm:f>NOT(ISERROR(SEARCH($AN$679,AI647)))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AI647</xm:sqref>
        </x14:conditionalFormatting>
        <x14:conditionalFormatting xmlns:xm="http://schemas.microsoft.com/office/excel/2006/main">
          <x14:cfRule type="containsText" priority="3580" operator="containsText" id="{D0B3523C-C7A0-4331-AA7F-220F78AB194D}">
            <xm:f>NOT(ISERROR(SEARCH($AN$681,AI648)))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581" operator="containsText" id="{B7F6B36F-B920-4380-8AA1-AE0D35EB7F6F}">
            <xm:f>NOT(ISERROR(SEARCH($AN$680,AI648)))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582" operator="containsText" id="{62120AA5-B37D-4F86-A78E-013E3FF3B9AD}">
            <xm:f>NOT(ISERROR(SEARCH($AN$678,AI648)))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583" operator="containsText" id="{1DF00511-B4C2-4EBE-9EC7-44311EF709C4}">
            <xm:f>NOT(ISERROR(SEARCH($AN$679,AI648)))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AI648:AI649</xm:sqref>
        </x14:conditionalFormatting>
        <x14:conditionalFormatting xmlns:xm="http://schemas.microsoft.com/office/excel/2006/main">
          <x14:cfRule type="containsText" priority="3573" operator="containsText" id="{24643FA8-F79A-4B5E-9FE4-DBC2900B42E8}">
            <xm:f>NOT(ISERROR(SEARCH($AN$687,AI648)))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574" operator="containsText" id="{90E2222B-AD1E-43AB-925E-3EF104D355C4}">
            <xm:f>NOT(ISERROR(SEARCH($AN$688,AI648)))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575" operator="containsText" id="{3302E04F-20D2-46B1-81AD-C08DC2DFBA3B}">
            <xm:f>NOT(ISERROR(SEARCH($AN$686,AI648)))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576" operator="containsText" id="{D56D0010-5685-4239-9737-30519CAF67AC}">
            <xm:f>NOT(ISERROR(SEARCH($AN$685,AI648)))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577" operator="containsText" id="{1FE93D07-982D-4E76-8162-B416AF774A93}">
            <xm:f>NOT(ISERROR(SEARCH($AN$684,AI648)))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578" operator="containsText" id="{BBFED7E3-42B0-4FC1-B044-DFC9CBA838C4}">
            <xm:f>NOT(ISERROR(SEARCH($AN$683,AI648)))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579" operator="containsText" id="{AE1536B4-D220-41D6-BC9C-4718249B8C17}">
            <xm:f>NOT(ISERROR(SEARCH($AN$682,AI648)))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AI648:AI650</xm:sqref>
        </x14:conditionalFormatting>
        <x14:conditionalFormatting xmlns:xm="http://schemas.microsoft.com/office/excel/2006/main">
          <x14:cfRule type="containsText" priority="3597" operator="containsText" id="{D6219393-17EC-499C-8E6E-78C6E36A6BA7}">
            <xm:f>NOT(ISERROR(SEARCH($AN$681,AI649)))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598" operator="containsText" id="{C9474225-A669-4B85-A4F4-934BD7ECD3B6}">
            <xm:f>NOT(ISERROR(SEARCH($AN$680,AI649)))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599" operator="containsText" id="{9802E95F-4FF2-46C3-B1EC-66543C71BE7D}">
            <xm:f>NOT(ISERROR(SEARCH($AN$678,AI649)))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600" operator="containsText" id="{0C7E0C24-5A2F-4AF7-B510-DD918FB2E1D8}">
            <xm:f>NOT(ISERROR(SEARCH($AN$679,AI649)))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601" operator="containsText" id="{E4331FE1-AC5E-45DC-9BE5-BB8FCEC07EBF}">
            <xm:f>NOT(ISERROR(SEARCH($AN$681,AI649)))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602" operator="containsText" id="{BAF47532-6A72-46FF-870B-E514D6490D7E}">
            <xm:f>NOT(ISERROR(SEARCH($AN$680,AI649)))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603" operator="containsText" id="{C7765869-58BA-4F99-A977-6A9DF6565F49}">
            <xm:f>NOT(ISERROR(SEARCH($AN$678,AI649)))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604" operator="containsText" id="{2E3337B4-F85A-4883-B638-2286DD12D558}">
            <xm:f>NOT(ISERROR(SEARCH($AN$679,AI649)))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AI649:AI650</xm:sqref>
        </x14:conditionalFormatting>
        <x14:conditionalFormatting xmlns:xm="http://schemas.microsoft.com/office/excel/2006/main">
          <x14:cfRule type="containsText" priority="3584" operator="containsText" id="{0EF36178-7D17-430A-B504-9A6D414622D9}">
            <xm:f>NOT(ISERROR(SEARCH($AN$690,AI649)))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585" operator="containsText" id="{3561C9A3-84BC-476C-8AA0-5FFB638B968B}">
            <xm:f>NOT(ISERROR(SEARCH($AN$704,AI649)))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586" operator="containsText" id="{AD68EEF1-4E4D-4342-A64C-AD3B75CBF782}">
            <xm:f>NOT(ISERROR(SEARCH($AN$693,AI649)))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587" operator="containsText" id="{6FACB030-8323-4211-8527-A6F26813580D}">
            <xm:f>NOT(ISERROR(SEARCH($AN$692,AI649)))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m:sqref>AI649:AI651</xm:sqref>
        </x14:conditionalFormatting>
        <x14:conditionalFormatting xmlns:xm="http://schemas.microsoft.com/office/excel/2006/main">
          <x14:cfRule type="containsText" priority="3605" operator="containsText" id="{32EBCFC7-A0D1-48D2-8292-EF2FAB7E7925}">
            <xm:f>NOT(ISERROR(SEARCH($AN$690,AI651)))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606" operator="containsText" id="{B9514B2F-64D9-4DA5-82D8-2F8580E884F4}">
            <xm:f>NOT(ISERROR(SEARCH($AN$704,AI651)))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607" operator="containsText" id="{A223FF09-AA11-40EA-8FAE-9B45BC94FE2C}">
            <xm:f>NOT(ISERROR(SEARCH($AN$693,AI651)))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608" operator="containsText" id="{432B3D21-C084-4B9D-A9C0-4B891DFF72E1}">
            <xm:f>NOT(ISERROR(SEARCH($AN$692,AI651)))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609" operator="containsText" id="{362F5FE0-9E82-477C-B72E-16425B4AA52F}">
            <xm:f>NOT(ISERROR(SEARCH($AN$691,AI651)))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610" operator="containsText" id="{B41A9832-6A46-4990-A749-99ED39A9ADE9}">
            <xm:f>NOT(ISERROR(SEARCH($AN$689,AI651)))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611" operator="containsText" id="{58D73098-D46A-49AA-8393-6A0FE1C55EF5}">
            <xm:f>NOT(ISERROR(SEARCH($AN$687,AI651)))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612" operator="containsText" id="{7F28DBD0-0808-44D9-BDD1-87CE44CDAD31}">
            <xm:f>NOT(ISERROR(SEARCH($AN$688,AI651)))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613" operator="containsText" id="{75738187-B186-41E4-A961-10C54C334BD5}">
            <xm:f>NOT(ISERROR(SEARCH($AN$686,AI651)))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614" operator="containsText" id="{B856F52E-D68D-4857-BE14-7BF229CC3B11}">
            <xm:f>NOT(ISERROR(SEARCH($AN$685,AI651)))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615" operator="containsText" id="{0AE41F04-3AFF-44CA-B3DE-3C1570FFDD14}">
            <xm:f>NOT(ISERROR(SEARCH($AN$684,AI651)))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616" operator="containsText" id="{AD9EC55A-4B60-4E30-B848-E94D750B68B4}">
            <xm:f>NOT(ISERROR(SEARCH($AN$683,AI651)))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617" operator="containsText" id="{9A776357-23CA-4095-8083-D314B537878E}">
            <xm:f>NOT(ISERROR(SEARCH($AN$682,AI651)))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618" operator="containsText" id="{B06AEBFD-DDC4-4A2A-8C2C-68C3864A03FD}">
            <xm:f>NOT(ISERROR(SEARCH($AN$681,AI651)))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619" operator="containsText" id="{78386F74-2BAF-4DBE-9D68-285B84865FD5}">
            <xm:f>NOT(ISERROR(SEARCH($AN$680,AI651)))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620" operator="containsText" id="{3F19A326-0B54-4352-A6C7-E73DEA6008B9}">
            <xm:f>NOT(ISERROR(SEARCH($AN$678,AI651)))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621" operator="containsText" id="{37C50D59-230A-43FF-BE78-65FCF2F1D7AC}">
            <xm:f>NOT(ISERROR(SEARCH($AN$679,AI651)))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622" operator="containsText" id="{9644DEFB-0E3F-4436-A08A-B5C1F9869FE7}">
            <xm:f>NOT(ISERROR(SEARCH($AN$681,AI651)))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623" operator="containsText" id="{5227E699-5C57-4F6E-836E-6F1AB7F017A3}">
            <xm:f>NOT(ISERROR(SEARCH($AN$680,AI651)))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624" operator="containsText" id="{9FD892CA-A168-4F23-A2D2-AC43EE077598}">
            <xm:f>NOT(ISERROR(SEARCH($AN$678,AI651)))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625" operator="containsText" id="{80E5AC16-3BC0-4518-A3E4-F48661721D6E}">
            <xm:f>NOT(ISERROR(SEARCH($AN$679,AI651)))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AI651</xm:sqref>
        </x14:conditionalFormatting>
        <x14:conditionalFormatting xmlns:xm="http://schemas.microsoft.com/office/excel/2006/main">
          <x14:cfRule type="containsText" priority="10740" operator="containsText" id="{27396592-2E89-4C3C-AAFB-736D7FA1C820}">
            <xm:f>NOT(ISERROR(SEARCH($AN$680,AI743)))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741" operator="containsText" id="{07FFDBED-2A4F-4BD2-AFFD-BB6038D60778}">
            <xm:f>NOT(ISERROR(SEARCH($AN$678,AI743)))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742" operator="containsText" id="{8E5D1B65-0F33-4866-801F-359248CE4D07}">
            <xm:f>NOT(ISERROR(SEARCH($AN$679,AI743)))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AI743 AI745:AI746</xm:sqref>
        </x14:conditionalFormatting>
        <x14:conditionalFormatting xmlns:xm="http://schemas.microsoft.com/office/excel/2006/main">
          <x14:cfRule type="containsText" priority="10729" operator="containsText" id="{42B8D9F2-9851-4BDE-9926-1A12028C9A19}">
            <xm:f>NOT(ISERROR(SEARCH($AN$688,AI743)))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730" operator="containsText" id="{CB3D70D8-C306-48CA-8005-98DFAB3200D8}">
            <xm:f>NOT(ISERROR(SEARCH($AN$686,AI743)))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731" operator="containsText" id="{4EBEC132-D254-4D12-A29E-86EBD670BF99}">
            <xm:f>NOT(ISERROR(SEARCH($AN$685,AI743)))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732" operator="containsText" id="{E8EB3A1D-98ED-4838-AC25-2457FF54E1E6}">
            <xm:f>NOT(ISERROR(SEARCH($AN$684,AI743)))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733" operator="containsText" id="{AB44A945-B97F-44D8-A892-05806E761876}">
            <xm:f>NOT(ISERROR(SEARCH($AN$683,AI743)))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734" operator="containsText" id="{8BD6143F-D32D-48CC-8B10-ABBACE897638}">
            <xm:f>NOT(ISERROR(SEARCH($AN$682,AI743)))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AI743 AI745:AI747</xm:sqref>
        </x14:conditionalFormatting>
        <x14:conditionalFormatting xmlns:xm="http://schemas.microsoft.com/office/excel/2006/main">
          <x14:cfRule type="containsText" priority="10718" operator="containsText" id="{1A6E188A-66E3-4AB5-93E5-E2F9F3D83C35}">
            <xm:f>NOT(ISERROR(SEARCH($AN$681,AI744)))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719" operator="containsText" id="{7D33100E-ECE2-4392-AE42-F4B2418B1BB4}">
            <xm:f>NOT(ISERROR(SEARCH($AN$680,AI744)))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720" operator="containsText" id="{26BFD74D-ADB3-4CDC-B255-361FD3CCBCD7}">
            <xm:f>NOT(ISERROR(SEARCH($AN$678,AI744)))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721" operator="containsText" id="{DC2A4F4E-3075-4634-B35D-BA78B63CFD9A}">
            <xm:f>NOT(ISERROR(SEARCH($AN$679,AI744)))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AI744:AI745</xm:sqref>
        </x14:conditionalFormatting>
        <x14:conditionalFormatting xmlns:xm="http://schemas.microsoft.com/office/excel/2006/main">
          <x14:cfRule type="containsText" priority="10712" operator="containsText" id="{70E2CFFE-B226-40C6-ABA9-C0A0329FE403}">
            <xm:f>NOT(ISERROR(SEARCH($AN$688,AI744)))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713" operator="containsText" id="{16F0E3E3-D1D7-48EB-9467-179124517B04}">
            <xm:f>NOT(ISERROR(SEARCH($AN$686,AI744)))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714" operator="containsText" id="{4AB88D3B-1259-4B4B-BD15-6860EEA2E4AC}">
            <xm:f>NOT(ISERROR(SEARCH($AN$685,AI744)))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715" operator="containsText" id="{25D9AD04-C197-4253-8C84-6DC0E5B3A7C8}">
            <xm:f>NOT(ISERROR(SEARCH($AN$684,AI744)))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716" operator="containsText" id="{8482F0C4-E4DA-4DB8-A69C-32CDA73CC3AF}">
            <xm:f>NOT(ISERROR(SEARCH($AN$683,AI744)))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717" operator="containsText" id="{339EBA29-6C52-4F8F-BE99-F8DC5E15E7C7}">
            <xm:f>NOT(ISERROR(SEARCH($AN$682,AI744)))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AI744:AI746</xm:sqref>
        </x14:conditionalFormatting>
        <x14:conditionalFormatting xmlns:xm="http://schemas.microsoft.com/office/excel/2006/main">
          <x14:cfRule type="containsText" priority="10739" operator="containsText" id="{D8561F77-4480-47AC-93F7-3E25B5AA284F}">
            <xm:f>NOT(ISERROR(SEARCH($AN$681,AI743)))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m:sqref>AI745:AI746 AI743</xm:sqref>
        </x14:conditionalFormatting>
        <x14:conditionalFormatting xmlns:xm="http://schemas.microsoft.com/office/excel/2006/main">
          <x14:cfRule type="containsText" priority="10735" operator="containsText" id="{87B644CB-D89A-45EB-B3CE-4D011CD52C8C}">
            <xm:f>NOT(ISERROR(SEARCH($AN$681,AI745)))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736" operator="containsText" id="{E93809EC-0194-48A6-BECE-07AAADC82ADB}">
            <xm:f>NOT(ISERROR(SEARCH($AN$680,AI745)))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737" operator="containsText" id="{4548A329-4079-448A-8F6A-CF928D8DB39F}">
            <xm:f>NOT(ISERROR(SEARCH($AN$678,AI745)))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738" operator="containsText" id="{F30DC4E9-8523-45BD-89FD-92FE35A35799}">
            <xm:f>NOT(ISERROR(SEARCH($AN$679,AI745)))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AI745:AI746</xm:sqref>
        </x14:conditionalFormatting>
        <x14:conditionalFormatting xmlns:xm="http://schemas.microsoft.com/office/excel/2006/main">
          <x14:cfRule type="containsText" priority="10722" operator="containsText" id="{A6251820-1DCD-4964-AC36-5E67611D3CC9}">
            <xm:f>NOT(ISERROR(SEARCH($AN$690,AI745)))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0723" operator="containsText" id="{75BA2AA1-0D6A-4B54-880E-04865A816024}">
            <xm:f>NOT(ISERROR(SEARCH($AN$704,AI745)))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0724" operator="containsText" id="{A708F8C9-1FCB-49B1-B4B1-10A506D63C54}">
            <xm:f>NOT(ISERROR(SEARCH($AN$693,AI745)))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0725" operator="containsText" id="{6A427DBC-5A85-4898-9AB2-F3731E7021EC}">
            <xm:f>NOT(ISERROR(SEARCH($AN$692,AI745)))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726" operator="containsText" id="{15A79287-5472-4B93-85BC-1D3515CD9B6E}">
            <xm:f>NOT(ISERROR(SEARCH($AN$691,AI745)))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0727" operator="containsText" id="{188CDC39-A2A8-4C76-B2BB-EE20674BFC26}">
            <xm:f>NOT(ISERROR(SEARCH($AN$689,AI745)))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0728" operator="containsText" id="{7472010A-1F48-465D-808F-4F77C411C6ED}">
            <xm:f>NOT(ISERROR(SEARCH($AN$687,AI745)))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AI745:AI747</xm:sqref>
        </x14:conditionalFormatting>
        <x14:conditionalFormatting xmlns:xm="http://schemas.microsoft.com/office/excel/2006/main">
          <x14:cfRule type="containsText" priority="10743" operator="containsText" id="{C839EF85-6B99-405B-8C6A-2405DA8DC82E}">
            <xm:f>NOT(ISERROR(SEARCH($AN$690,AI747)))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0744" operator="containsText" id="{C65074D2-33E8-4EC5-857B-C88917533EBA}">
            <xm:f>NOT(ISERROR(SEARCH($AN$704,AI747)))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0745" operator="containsText" id="{3D02E799-DD27-4DB8-9389-4F70E70E99C2}">
            <xm:f>NOT(ISERROR(SEARCH($AN$693,AI747)))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0746" operator="containsText" id="{A87CE84C-BA44-4ADF-9E10-2412F8075E24}">
            <xm:f>NOT(ISERROR(SEARCH($AN$692,AI747)))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747" operator="containsText" id="{A1B6EC63-E22D-40DF-8E8F-17FC1C3D1262}">
            <xm:f>NOT(ISERROR(SEARCH($AN$691,AI747)))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0748" operator="containsText" id="{BF3DBD79-5D35-44C7-91F9-3B1EC0601F53}">
            <xm:f>NOT(ISERROR(SEARCH($AN$689,AI747)))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0749" operator="containsText" id="{10320914-CA36-49F6-9905-A8A1F8CEB97E}">
            <xm:f>NOT(ISERROR(SEARCH($AN$687,AI747)))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750" operator="containsText" id="{BD9032BD-9B92-452D-B68E-86C14D85BE07}">
            <xm:f>NOT(ISERROR(SEARCH($AN$688,AI747)))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751" operator="containsText" id="{7EBDE043-164E-452D-9210-334B84454A54}">
            <xm:f>NOT(ISERROR(SEARCH($AN$686,AI747)))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752" operator="containsText" id="{652C7FFE-E824-4922-85A5-77753251A19A}">
            <xm:f>NOT(ISERROR(SEARCH($AN$685,AI747)))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753" operator="containsText" id="{4A41563E-B8C2-4258-A15A-A23298D9B31E}">
            <xm:f>NOT(ISERROR(SEARCH($AN$684,AI747)))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754" operator="containsText" id="{42818E20-0281-450D-A3ED-87D939B9A6A7}">
            <xm:f>NOT(ISERROR(SEARCH($AN$683,AI747)))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755" operator="containsText" id="{A482BE92-51E6-4BA8-9863-67287C807F8C}">
            <xm:f>NOT(ISERROR(SEARCH($AN$682,AI747)))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756" operator="containsText" id="{70331B13-8320-42C9-AC8A-F9D05770C7BB}">
            <xm:f>NOT(ISERROR(SEARCH($AN$681,AI747)))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757" operator="containsText" id="{0DE76EDD-F773-4E6F-BD74-1EE1D3948C6C}">
            <xm:f>NOT(ISERROR(SEARCH($AN$680,AI747)))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758" operator="containsText" id="{F480C02B-A342-405A-84AA-9BBA61D294DD}">
            <xm:f>NOT(ISERROR(SEARCH($AN$678,AI747)))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759" operator="containsText" id="{A9444EBB-D3A0-4150-A560-B6A1EE302CAB}">
            <xm:f>NOT(ISERROR(SEARCH($AN$679,AI747)))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0760" operator="containsText" id="{5924DF15-390D-4A5B-9F4E-A9E244935C22}">
            <xm:f>NOT(ISERROR(SEARCH($AN$681,AI747)))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761" operator="containsText" id="{3E703892-BF91-47F9-A7D9-BE07F0E8B553}">
            <xm:f>NOT(ISERROR(SEARCH($AN$680,AI747)))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762" operator="containsText" id="{23931EE0-6FDA-4027-AA0F-E66221219690}">
            <xm:f>NOT(ISERROR(SEARCH($AN$678,AI747)))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763" operator="containsText" id="{88A054D3-A191-4526-9D25-B536C2BAA9A9}">
            <xm:f>NOT(ISERROR(SEARCH($AN$679,AI747)))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AI747</xm:sqref>
        </x14:conditionalFormatting>
        <x14:conditionalFormatting xmlns:xm="http://schemas.microsoft.com/office/excel/2006/main">
          <x14:cfRule type="containsText" priority="13094" operator="containsText" id="{341E9B70-9C34-45E7-9F50-3468D525C8D0}">
            <xm:f>NOT(ISERROR(SEARCH($AN$687,AI71)))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AI71:AJ74</xm:sqref>
        </x14:conditionalFormatting>
        <x14:conditionalFormatting xmlns:xm="http://schemas.microsoft.com/office/excel/2006/main">
          <x14:cfRule type="containsText" priority="10651" operator="containsText" id="{45A978A3-982C-4351-B5ED-25CF937A0B59}">
            <xm:f>NOT(ISERROR(SEARCH($AN$687,AI743)))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AI743:AJ746</xm:sqref>
        </x14:conditionalFormatting>
        <x14:conditionalFormatting xmlns:xm="http://schemas.microsoft.com/office/excel/2006/main">
          <x14:cfRule type="containsText" priority="13113" operator="containsText" id="{31C68A74-B971-4A00-8698-C6D64B1BC959}">
            <xm:f>NOT(ISERROR(SEARCH($AN$688,AJ71)))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3114" operator="containsText" id="{6A9EE4FD-EE99-4B4E-B62E-51985A09CC48}">
            <xm:f>NOT(ISERROR(SEARCH($AN$686,AJ71)))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115" operator="containsText" id="{A70056DF-C9B8-4808-B166-9094F98C6E4D}">
            <xm:f>NOT(ISERROR(SEARCH($AN$685,AJ71)))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3116" operator="containsText" id="{42AF21BA-DED9-4CC1-9FFC-70EE6A6A3CED}">
            <xm:f>NOT(ISERROR(SEARCH($AN$684,AJ71)))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117" operator="containsText" id="{2AA79B75-C1EB-4A4B-9F05-79AA2B666226}">
            <xm:f>NOT(ISERROR(SEARCH($AN$683,AJ71)))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3118" operator="containsText" id="{DADFDB3E-DD49-4705-B7EE-FC7D7C7A25BB}">
            <xm:f>NOT(ISERROR(SEARCH($AN$682,AJ71)))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AJ71 AJ73:AJ75</xm:sqref>
        </x14:conditionalFormatting>
        <x14:conditionalFormatting xmlns:xm="http://schemas.microsoft.com/office/excel/2006/main">
          <x14:cfRule type="containsText" priority="13123" operator="containsText" id="{95985C45-18D8-49C7-80F3-061AE5CF7E83}">
            <xm:f>NOT(ISERROR(SEARCH($AN$681,AJ71)))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124" operator="containsText" id="{F78AC91E-5C3A-4E03-A121-BDA95DF5FF68}">
            <xm:f>NOT(ISERROR(SEARCH($AN$680,AJ71)))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125" operator="containsText" id="{9B0A6C79-CA62-45E5-9FFF-4EE11817E9CA}">
            <xm:f>NOT(ISERROR(SEARCH($AN$678,AJ71)))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126" operator="containsText" id="{DE7CFABE-CC26-4B6C-B682-61C3672CE630}">
            <xm:f>NOT(ISERROR(SEARCH($AN$679,AJ71)))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AJ71:AJ74</xm:sqref>
        </x14:conditionalFormatting>
        <x14:conditionalFormatting xmlns:xm="http://schemas.microsoft.com/office/excel/2006/main">
          <x14:cfRule type="containsText" priority="13009" operator="containsText" id="{D5B6CC52-FCE3-4E48-B9D6-1F9699969A1C}">
            <xm:f>NOT(ISERROR(SEARCH($AN$687,AJ72)))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3010" operator="containsText" id="{99549F36-D481-4426-BED0-406574815D74}">
            <xm:f>NOT(ISERROR(SEARCH($AN$688,AJ72)))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3011" operator="containsText" id="{69B15B3E-0A52-4757-B604-326FBCAAEC4F}">
            <xm:f>NOT(ISERROR(SEARCH($AN$686,AJ72)))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012" operator="containsText" id="{AAB2A869-EF44-49D3-BC28-D37892D8F960}">
            <xm:f>NOT(ISERROR(SEARCH($AN$685,AJ72)))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3013" operator="containsText" id="{0B19C162-7792-4CC8-B126-8F5BE6008FE1}">
            <xm:f>NOT(ISERROR(SEARCH($AN$684,AJ72)))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014" operator="containsText" id="{ED0E2790-FC9E-4FF8-A01E-DD66CBAA4CB1}">
            <xm:f>NOT(ISERROR(SEARCH($AN$683,AJ72)))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3015" operator="containsText" id="{F43A4775-F457-4258-A27F-3919BB41E8A3}">
            <xm:f>NOT(ISERROR(SEARCH($AN$682,AJ72)))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AJ72</xm:sqref>
        </x14:conditionalFormatting>
        <x14:conditionalFormatting xmlns:xm="http://schemas.microsoft.com/office/excel/2006/main">
          <x14:cfRule type="containsText" priority="13100" operator="containsText" id="{39101832-84F2-4160-95FF-D5FF1C0B6EBB}">
            <xm:f>NOT(ISERROR(SEARCH($AN$682,AJ72)))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3101" operator="containsText" id="{6AF4D973-2F76-46AC-B6CF-2D2B0B2C93B1}">
            <xm:f>NOT(ISERROR(SEARCH($AN$681,AJ72)))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102" operator="containsText" id="{06C87EEB-C4FA-44DC-A9DA-D1071C05AEEE}">
            <xm:f>NOT(ISERROR(SEARCH($AN$680,AJ72)))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103" operator="containsText" id="{A671B0DD-5662-4424-AAC6-EC28A77E3EAA}">
            <xm:f>NOT(ISERROR(SEARCH($AN$678,AJ72)))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104" operator="containsText" id="{8C510EB9-682C-43C9-9076-B5EE72AAF407}">
            <xm:f>NOT(ISERROR(SEARCH($AN$679,AJ72)))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AJ72:AJ73</xm:sqref>
        </x14:conditionalFormatting>
        <x14:conditionalFormatting xmlns:xm="http://schemas.microsoft.com/office/excel/2006/main">
          <x14:cfRule type="containsText" priority="13095" operator="containsText" id="{171380A7-DCA6-4B72-8572-E607E73D0D2E}">
            <xm:f>NOT(ISERROR(SEARCH($AN$688,AJ72)))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3096" operator="containsText" id="{99AE5917-BEB6-4CE8-810F-821BF88E6E7F}">
            <xm:f>NOT(ISERROR(SEARCH($AN$686,AJ72)))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097" operator="containsText" id="{EB34A6C8-A9C0-401F-ABC9-7E545741D61D}">
            <xm:f>NOT(ISERROR(SEARCH($AN$685,AJ72)))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3098" operator="containsText" id="{809E7B70-6FE1-4828-9114-7631BA43ADE6}">
            <xm:f>NOT(ISERROR(SEARCH($AN$684,AJ72)))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099" operator="containsText" id="{7E5A7D3F-EFA6-4527-B13B-EE15B81C4ADF}">
            <xm:f>NOT(ISERROR(SEARCH($AN$683,AJ72)))</xm:f>
            <xm:f>$AN$683</xm:f>
            <x14:dxf>
              <fill>
                <patternFill>
                  <bgColor rgb="FF0070C0"/>
                </patternFill>
              </fill>
            </x14:dxf>
          </x14:cfRule>
          <xm:sqref>AJ72:AJ74</xm:sqref>
        </x14:conditionalFormatting>
        <x14:conditionalFormatting xmlns:xm="http://schemas.microsoft.com/office/excel/2006/main">
          <x14:cfRule type="containsText" priority="13105" operator="containsText" id="{D21E59C1-7CE8-449B-809A-6FAF483D3745}">
            <xm:f>NOT(ISERROR(SEARCH($AN$682,AJ73)))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3119" operator="containsText" id="{A187AD91-DBE5-4325-97B5-32779BDE22D5}">
            <xm:f>NOT(ISERROR(SEARCH($AN$681,AJ73)))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120" operator="containsText" id="{550E3AA2-5CFF-41D9-8F0C-66AB046BD17A}">
            <xm:f>NOT(ISERROR(SEARCH($AN$680,AJ73)))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121" operator="containsText" id="{04EEF590-0221-4A0B-88B4-D87FCCF2312A}">
            <xm:f>NOT(ISERROR(SEARCH($AN$678,AJ73)))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122" operator="containsText" id="{32007F68-ABCF-46A6-8746-C2FC64A5BF11}">
            <xm:f>NOT(ISERROR(SEARCH($AN$679,AJ73)))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AJ73:AJ74</xm:sqref>
        </x14:conditionalFormatting>
        <x14:conditionalFormatting xmlns:xm="http://schemas.microsoft.com/office/excel/2006/main">
          <x14:cfRule type="containsText" priority="13106" operator="containsText" id="{B6BDC229-F7CA-4A55-9F0B-9839042F3C1A}">
            <xm:f>NOT(ISERROR(SEARCH($AN$690,AJ73)))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3107" operator="containsText" id="{D0D7DB39-24F3-4403-B65C-3CF3A390B82C}">
            <xm:f>NOT(ISERROR(SEARCH($AN$704,AJ73)))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3108" operator="containsText" id="{163C7B9B-B799-4333-A0FE-E3D30B30AFD8}">
            <xm:f>NOT(ISERROR(SEARCH($AN$693,AJ73)))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3109" operator="containsText" id="{F0A8FF4B-3C5E-43B6-B545-B9E5449876C5}">
            <xm:f>NOT(ISERROR(SEARCH($AN$692,AJ73)))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110" operator="containsText" id="{E88FF829-AF3F-4BA6-ABB7-EABF7F760F0A}">
            <xm:f>NOT(ISERROR(SEARCH($AN$691,AJ73)))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3111" operator="containsText" id="{A55658C9-D3C4-4157-BE6E-410B99AB32D8}">
            <xm:f>NOT(ISERROR(SEARCH($AN$689,AJ73)))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3112" operator="containsText" id="{326740EB-2A59-4BF2-9B5A-51873A309495}">
            <xm:f>NOT(ISERROR(SEARCH($AN$687,AJ73)))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AJ73:AJ75</xm:sqref>
        </x14:conditionalFormatting>
        <x14:conditionalFormatting xmlns:xm="http://schemas.microsoft.com/office/excel/2006/main">
          <x14:cfRule type="containsText" priority="13127" operator="containsText" id="{091CDFCE-8EFF-4C42-8BAF-E1E9DC7FAC98}">
            <xm:f>NOT(ISERROR(SEARCH($AN$690,AJ75)))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3128" operator="containsText" id="{1D493884-D71C-4AEE-B1ED-E36F93EBD290}">
            <xm:f>NOT(ISERROR(SEARCH($AN$704,AJ75)))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3129" operator="containsText" id="{44430EE2-36C9-437E-89E9-79FAE32A271E}">
            <xm:f>NOT(ISERROR(SEARCH($AN$693,AJ75)))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3130" operator="containsText" id="{C67BEF43-F9EE-463F-BB1E-56E297FFB6AA}">
            <xm:f>NOT(ISERROR(SEARCH($AN$692,AJ75)))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131" operator="containsText" id="{3E7C36BA-C857-4568-BA30-9702E619B05A}">
            <xm:f>NOT(ISERROR(SEARCH($AN$691,AJ75)))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3132" operator="containsText" id="{B99E4A79-7E07-44E2-82E4-7B2196E634AA}">
            <xm:f>NOT(ISERROR(SEARCH($AN$689,AJ75)))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3133" operator="containsText" id="{E4A36F37-DA21-48C3-85A1-F308BBD90409}">
            <xm:f>NOT(ISERROR(SEARCH($AN$687,AJ75)))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3134" operator="containsText" id="{168A031F-67D1-489D-93DE-7EEB00E42A32}">
            <xm:f>NOT(ISERROR(SEARCH($AN$688,AJ75)))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3135" operator="containsText" id="{892DE6CD-823A-4126-A67D-228994999171}">
            <xm:f>NOT(ISERROR(SEARCH($AN$686,AJ75)))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136" operator="containsText" id="{D703E19A-A71E-4E20-AFB2-FC3C7B049BE6}">
            <xm:f>NOT(ISERROR(SEARCH($AN$685,AJ75)))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3137" operator="containsText" id="{12A26133-D804-42D0-9B08-556C650F8500}">
            <xm:f>NOT(ISERROR(SEARCH($AN$684,AJ75)))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138" operator="containsText" id="{7237B93C-5440-4425-870D-13CFE7B3D4E1}">
            <xm:f>NOT(ISERROR(SEARCH($AN$683,AJ75)))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3139" operator="containsText" id="{D3CB9D2E-C6BD-4889-85DC-27DA3A9A8F05}">
            <xm:f>NOT(ISERROR(SEARCH($AN$682,AJ75)))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3140" operator="containsText" id="{FF53B0A1-BE21-4897-9F74-3798E466A14D}">
            <xm:f>NOT(ISERROR(SEARCH($AN$681,AJ75)))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141" operator="containsText" id="{F32DCBD7-2824-4EF2-8BD0-9E175CB4C969}">
            <xm:f>NOT(ISERROR(SEARCH($AN$680,AJ75)))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142" operator="containsText" id="{30D3A770-8845-47C5-ADC2-D34A591115FB}">
            <xm:f>NOT(ISERROR(SEARCH($AN$678,AJ75)))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143" operator="containsText" id="{0EDBDC12-46C4-4D2B-85F0-D464A6B40976}">
            <xm:f>NOT(ISERROR(SEARCH($AN$679,AJ75)))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3144" operator="containsText" id="{3CAFF07F-DFB3-4FAE-BE26-F5244449B431}">
            <xm:f>NOT(ISERROR(SEARCH($AN$681,AJ75)))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145" operator="containsText" id="{7A87D15A-54D1-4D2E-B125-E0DA75021FA0}">
            <xm:f>NOT(ISERROR(SEARCH($AN$680,AJ75)))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146" operator="containsText" id="{82C9FC24-A969-4F3F-A420-7DC61D01D8FB}">
            <xm:f>NOT(ISERROR(SEARCH($AN$678,AJ75)))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147" operator="containsText" id="{991E52B2-A780-4EED-9BA5-A037100BBF1D}">
            <xm:f>NOT(ISERROR(SEARCH($AN$679,AJ75)))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AJ75</xm:sqref>
        </x14:conditionalFormatting>
        <x14:conditionalFormatting xmlns:xm="http://schemas.microsoft.com/office/excel/2006/main">
          <x14:cfRule type="containsText" priority="12764" operator="containsText" id="{79E463DB-4D4E-44D6-AE1D-1179B8351695}">
            <xm:f>NOT(ISERROR(SEARCH($AN$688,AJ167)))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765" operator="containsText" id="{B9978DBF-E73E-4C37-AA18-22FA662A404A}">
            <xm:f>NOT(ISERROR(SEARCH($AN$686,AJ167)))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766" operator="containsText" id="{38AC9D6B-2C1F-4EA1-AA7D-E20C5F6F266A}">
            <xm:f>NOT(ISERROR(SEARCH($AN$685,AJ167)))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767" operator="containsText" id="{5BFFCE57-B2A7-40D6-BFB1-DD5D826A8BDE}">
            <xm:f>NOT(ISERROR(SEARCH($AN$684,AJ167)))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768" operator="containsText" id="{4A5D0D79-FEEF-4404-8D3B-98B1626A0621}">
            <xm:f>NOT(ISERROR(SEARCH($AN$683,AJ167)))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769" operator="containsText" id="{1534A426-0030-4AFB-83BA-3CA8652B0A9A}">
            <xm:f>NOT(ISERROR(SEARCH($AN$682,AJ167)))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774" operator="containsText" id="{BB8B38C0-5ECB-426F-AC13-63FC34F3AD2E}">
            <xm:f>NOT(ISERROR(SEARCH($AN$681,AJ167)))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775" operator="containsText" id="{0E3BCFBC-DCB1-4748-886E-01E936B62768}">
            <xm:f>NOT(ISERROR(SEARCH($AN$680,AJ167)))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776" operator="containsText" id="{91FE2BAB-7B35-44F9-B89B-775A381C4006}">
            <xm:f>NOT(ISERROR(SEARCH($AN$678,AJ167)))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777" operator="containsText" id="{7BBF8CCD-0D72-4E4B-897F-A449DEF40CDA}">
            <xm:f>NOT(ISERROR(SEARCH($AN$679,AJ167)))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AJ167</xm:sqref>
        </x14:conditionalFormatting>
        <x14:conditionalFormatting xmlns:xm="http://schemas.microsoft.com/office/excel/2006/main">
          <x14:cfRule type="containsText" priority="5029" operator="containsText" id="{7CCD631C-493F-4D5B-8609-DFC047247AA3}">
            <xm:f>NOT(ISERROR(SEARCH($AN$687,AJ168)))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030" operator="containsText" id="{1525DF13-D342-4B31-BA2E-460EF5C42212}">
            <xm:f>NOT(ISERROR(SEARCH($AN$688,AJ168)))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031" operator="containsText" id="{4955B265-D629-4158-8A88-773D0B0D4F8A}">
            <xm:f>NOT(ISERROR(SEARCH($AN$686,AJ168)))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032" operator="containsText" id="{CEAAB8A1-0EAC-4CF0-A2C8-AEE6107C1A8D}">
            <xm:f>NOT(ISERROR(SEARCH($AN$685,AJ168)))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033" operator="containsText" id="{FC47F625-6A12-42BE-B705-50B31385BBAA}">
            <xm:f>NOT(ISERROR(SEARCH($AN$684,AJ168)))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034" operator="containsText" id="{031D751A-7BF8-4BB8-B57D-7FF6F46EFEB3}">
            <xm:f>NOT(ISERROR(SEARCH($AN$683,AJ168)))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035" operator="containsText" id="{E904F718-5920-4794-BE07-6EE13BDDDE41}">
            <xm:f>NOT(ISERROR(SEARCH($AN$682,AJ168)))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AJ168</xm:sqref>
        </x14:conditionalFormatting>
        <x14:conditionalFormatting xmlns:xm="http://schemas.microsoft.com/office/excel/2006/main">
          <x14:cfRule type="containsText" priority="5106" operator="containsText" id="{FF6B57FA-DE95-4151-AD2B-5503D7ED43B9}">
            <xm:f>NOT(ISERROR(SEARCH($AN$682,AJ168)))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107" operator="containsText" id="{8F984811-8527-43D4-8C95-5E43F4DC1DFE}">
            <xm:f>NOT(ISERROR(SEARCH($AN$681,AJ168)))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108" operator="containsText" id="{F5EC72E8-DE64-4A78-A288-52B5231A64F8}">
            <xm:f>NOT(ISERROR(SEARCH($AN$680,AJ168)))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109" operator="containsText" id="{A7940BD1-8148-48CD-AA4B-93D443F047B1}">
            <xm:f>NOT(ISERROR(SEARCH($AN$678,AJ168)))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110" operator="containsText" id="{65CFA613-2F6C-4A28-B720-167A991B8381}">
            <xm:f>NOT(ISERROR(SEARCH($AN$679,AJ168)))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AJ168:AJ169</xm:sqref>
        </x14:conditionalFormatting>
        <x14:conditionalFormatting xmlns:xm="http://schemas.microsoft.com/office/excel/2006/main">
          <x14:cfRule type="containsText" priority="5100" operator="containsText" id="{D97B3B86-F58F-4DA3-8A7A-4A9CC240B9CB}">
            <xm:f>NOT(ISERROR(SEARCH($AN$687,AJ168)))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101" operator="containsText" id="{55227ADC-FA26-4DF8-89E0-C8D2BD284CB7}">
            <xm:f>NOT(ISERROR(SEARCH($AN$688,AJ168)))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102" operator="containsText" id="{9FD63570-428D-4EAF-B673-ED30A1135E5B}">
            <xm:f>NOT(ISERROR(SEARCH($AN$686,AJ168)))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103" operator="containsText" id="{C2FE5B71-6DA9-41F9-9F65-87C610059C9E}">
            <xm:f>NOT(ISERROR(SEARCH($AN$685,AJ168)))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104" operator="containsText" id="{0331DE4F-ADB9-4422-9FA7-76503CE47D60}">
            <xm:f>NOT(ISERROR(SEARCH($AN$684,AJ168)))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105" operator="containsText" id="{05750C4C-EE50-4414-AEB1-B2AB65B2ABC9}">
            <xm:f>NOT(ISERROR(SEARCH($AN$683,AJ168)))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129" operator="containsText" id="{50041347-A917-426E-8D5B-D58F73714A37}">
            <xm:f>NOT(ISERROR(SEARCH($AN$681,AJ168)))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130" operator="containsText" id="{7C463379-5179-431C-930F-B27FA2ECB9B3}">
            <xm:f>NOT(ISERROR(SEARCH($AN$680,AJ168)))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131" operator="containsText" id="{8FC16FEE-FFE5-4B5D-AE3D-1E63FCC96EC0}">
            <xm:f>NOT(ISERROR(SEARCH($AN$678,AJ168)))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132" operator="containsText" id="{325E0A26-3CDD-4B04-B8D2-B0D343A538E2}">
            <xm:f>NOT(ISERROR(SEARCH($AN$679,AJ168)))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AJ168:AJ170</xm:sqref>
        </x14:conditionalFormatting>
        <x14:conditionalFormatting xmlns:xm="http://schemas.microsoft.com/office/excel/2006/main">
          <x14:cfRule type="containsText" priority="5111" operator="containsText" id="{1FE70D5B-E272-441C-8735-CBF51032CC55}">
            <xm:f>NOT(ISERROR(SEARCH($AN$682,AJ169)))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125" operator="containsText" id="{BC1592ED-4341-4D26-821A-1A19977F3694}">
            <xm:f>NOT(ISERROR(SEARCH($AN$681,AJ169)))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126" operator="containsText" id="{884921DF-9C55-4C19-99CD-26B379928362}">
            <xm:f>NOT(ISERROR(SEARCH($AN$680,AJ169)))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127" operator="containsText" id="{A72A481B-93F4-4C02-9274-A4F8DED2B3FF}">
            <xm:f>NOT(ISERROR(SEARCH($AN$678,AJ169)))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128" operator="containsText" id="{86655181-DCEE-451B-9D0B-E22B508BF4EB}">
            <xm:f>NOT(ISERROR(SEARCH($AN$679,AJ169)))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AJ169:AJ170</xm:sqref>
        </x14:conditionalFormatting>
        <x14:conditionalFormatting xmlns:xm="http://schemas.microsoft.com/office/excel/2006/main">
          <x14:cfRule type="containsText" priority="5112" operator="containsText" id="{DCFA3507-2B78-433B-95E1-2C5129E855B2}">
            <xm:f>NOT(ISERROR(SEARCH($AN$690,AJ169)))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113" operator="containsText" id="{2E4078CB-84CE-4BD5-81FE-F6342353228A}">
            <xm:f>NOT(ISERROR(SEARCH($AN$704,AJ169)))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114" operator="containsText" id="{AEDADCC2-E02D-47A9-AC3A-13C52DE68911}">
            <xm:f>NOT(ISERROR(SEARCH($AN$693,AJ169)))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115" operator="containsText" id="{86680381-33C3-4D86-8D07-D208E1511871}">
            <xm:f>NOT(ISERROR(SEARCH($AN$692,AJ169)))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116" operator="containsText" id="{FE7E3B87-3EB3-4DBA-803C-A0F08AD76391}">
            <xm:f>NOT(ISERROR(SEARCH($AN$691,AJ169)))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117" operator="containsText" id="{6F431AB7-3C67-488B-BCFE-4F84B941FC50}">
            <xm:f>NOT(ISERROR(SEARCH($AN$689,AJ169)))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118" operator="containsText" id="{F9193737-743E-4267-AAC4-2F68F973EE24}">
            <xm:f>NOT(ISERROR(SEARCH($AN$687,AJ169)))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119" operator="containsText" id="{ADA67C50-33B7-4911-BB12-29FA6F032C93}">
            <xm:f>NOT(ISERROR(SEARCH($AN$688,AJ169)))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120" operator="containsText" id="{4A426840-1C13-4B28-BB61-BBF08278E9A1}">
            <xm:f>NOT(ISERROR(SEARCH($AN$686,AJ169)))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121" operator="containsText" id="{EEF05C8F-D894-4D6F-8EBC-95FEBAA0831D}">
            <xm:f>NOT(ISERROR(SEARCH($AN$685,AJ169)))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122" operator="containsText" id="{07FEB91A-FCBB-4B88-AB23-5A2B36A30DDE}">
            <xm:f>NOT(ISERROR(SEARCH($AN$684,AJ169)))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123" operator="containsText" id="{F25FBD81-E263-41CC-A030-58D98CA7084D}">
            <xm:f>NOT(ISERROR(SEARCH($AN$683,AJ169)))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124" operator="containsText" id="{35588241-86D8-4C6B-AAA2-464089D4CF1A}">
            <xm:f>NOT(ISERROR(SEARCH($AN$682,AJ169)))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AJ169:AJ171</xm:sqref>
        </x14:conditionalFormatting>
        <x14:conditionalFormatting xmlns:xm="http://schemas.microsoft.com/office/excel/2006/main">
          <x14:cfRule type="containsText" priority="5133" operator="containsText" id="{F5116315-84A0-4FD8-AB9E-8C20D3AD4F90}">
            <xm:f>NOT(ISERROR(SEARCH($AN$690,AJ171)))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134" operator="containsText" id="{274BD3E2-2F13-4061-B943-C70EBFBB30CB}">
            <xm:f>NOT(ISERROR(SEARCH($AN$704,AJ171)))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135" operator="containsText" id="{AED88E63-05B3-40A7-9894-2663B16DAA48}">
            <xm:f>NOT(ISERROR(SEARCH($AN$693,AJ171)))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136" operator="containsText" id="{F457C1F1-99EC-4A45-8531-2D33660DD869}">
            <xm:f>NOT(ISERROR(SEARCH($AN$692,AJ171)))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137" operator="containsText" id="{5C92F404-B801-4D71-B96B-0601EC6258CC}">
            <xm:f>NOT(ISERROR(SEARCH($AN$691,AJ171)))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138" operator="containsText" id="{283E008F-CBB5-4C66-8CAC-63BD75BA4172}">
            <xm:f>NOT(ISERROR(SEARCH($AN$689,AJ171)))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139" operator="containsText" id="{8473E4EA-FC8D-4CB3-B268-A68CF16A8E8F}">
            <xm:f>NOT(ISERROR(SEARCH($AN$687,AJ171)))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140" operator="containsText" id="{056D5514-2B3E-4247-9EB5-8707A932126B}">
            <xm:f>NOT(ISERROR(SEARCH($AN$688,AJ171)))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141" operator="containsText" id="{CA992CA7-6AE5-49FC-ACE9-EB92C258E309}">
            <xm:f>NOT(ISERROR(SEARCH($AN$686,AJ171)))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142" operator="containsText" id="{FB59F1D4-CFFC-46F7-B6DF-D1985A19EFD0}">
            <xm:f>NOT(ISERROR(SEARCH($AN$685,AJ171)))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143" operator="containsText" id="{983366CE-24B1-456E-853D-D207B2868C75}">
            <xm:f>NOT(ISERROR(SEARCH($AN$684,AJ171)))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144" operator="containsText" id="{C3E004FF-9C1C-483A-B4AE-F5B523E7EB00}">
            <xm:f>NOT(ISERROR(SEARCH($AN$683,AJ171)))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145" operator="containsText" id="{5B2D3260-4F0A-4109-B2DD-ADE6CCF2BF2B}">
            <xm:f>NOT(ISERROR(SEARCH($AN$682,AJ171)))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146" operator="containsText" id="{082AE44C-23FB-4469-A870-BFDE5229C983}">
            <xm:f>NOT(ISERROR(SEARCH($AN$681,AJ171)))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147" operator="containsText" id="{9FB6B017-C377-40C1-8CD9-D53DD8B96B87}">
            <xm:f>NOT(ISERROR(SEARCH($AN$680,AJ171)))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148" operator="containsText" id="{D598E483-D75A-4BF1-972D-0FC8619D7BAF}">
            <xm:f>NOT(ISERROR(SEARCH($AN$678,AJ171)))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149" operator="containsText" id="{CD25FC7D-0843-4609-B6D3-C0C818DCFECF}">
            <xm:f>NOT(ISERROR(SEARCH($AN$679,AJ171)))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150" operator="containsText" id="{78D69D02-2AA0-4C01-8C3B-04E5C892625E}">
            <xm:f>NOT(ISERROR(SEARCH($AN$681,AJ171)))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151" operator="containsText" id="{F2A5F128-6E0F-45FD-8F04-B530CAC27A39}">
            <xm:f>NOT(ISERROR(SEARCH($AN$680,AJ171)))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152" operator="containsText" id="{1F86A51B-F366-4C36-8C98-8A75F994B4E2}">
            <xm:f>NOT(ISERROR(SEARCH($AN$678,AJ171)))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153" operator="containsText" id="{E9B20EB9-A07F-4C8F-B13D-B3A6D76F3CA8}">
            <xm:f>NOT(ISERROR(SEARCH($AN$679,AJ171)))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AJ171</xm:sqref>
        </x14:conditionalFormatting>
        <x14:conditionalFormatting xmlns:xm="http://schemas.microsoft.com/office/excel/2006/main">
          <x14:cfRule type="containsText" priority="12415" operator="containsText" id="{80C0B1E4-21BE-43F0-9784-7C14287B1C1B}">
            <xm:f>NOT(ISERROR(SEARCH($AN$688,AJ263)))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416" operator="containsText" id="{0466CF62-6808-44F7-8358-49E69075F99A}">
            <xm:f>NOT(ISERROR(SEARCH($AN$686,AJ263)))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417" operator="containsText" id="{91D332A7-A05C-4E23-BF36-D0B4108E0EC1}">
            <xm:f>NOT(ISERROR(SEARCH($AN$685,AJ263)))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418" operator="containsText" id="{7C99A5DE-41DE-45C8-B762-8937E2FF3574}">
            <xm:f>NOT(ISERROR(SEARCH($AN$684,AJ263)))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419" operator="containsText" id="{B77015B6-BA24-4999-B713-354FBF908164}">
            <xm:f>NOT(ISERROR(SEARCH($AN$683,AJ263)))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420" operator="containsText" id="{266A3332-773E-4D48-8F89-1447DCB74F2D}">
            <xm:f>NOT(ISERROR(SEARCH($AN$682,AJ263)))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425" operator="containsText" id="{643A03EB-DA7C-425B-8366-2D33669CF984}">
            <xm:f>NOT(ISERROR(SEARCH($AN$681,AJ263)))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426" operator="containsText" id="{731A3633-C4C6-4D19-83FD-E5F9B941893D}">
            <xm:f>NOT(ISERROR(SEARCH($AN$680,AJ263)))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427" operator="containsText" id="{C44D9C82-93F8-4B09-9DAC-87ACE2F11EE4}">
            <xm:f>NOT(ISERROR(SEARCH($AN$678,AJ263)))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428" operator="containsText" id="{E55A4CE8-49F2-4DFC-A0AD-95870A855E10}">
            <xm:f>NOT(ISERROR(SEARCH($AN$679,AJ263)))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AJ263</xm:sqref>
        </x14:conditionalFormatting>
        <x14:conditionalFormatting xmlns:xm="http://schemas.microsoft.com/office/excel/2006/main">
          <x14:cfRule type="containsText" priority="4712" operator="containsText" id="{CC936494-FCAC-40EA-9014-A48711D68811}">
            <xm:f>NOT(ISERROR(SEARCH($AN$687,AJ264)))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713" operator="containsText" id="{89A166A1-3E72-403A-B67D-5C966EA6604F}">
            <xm:f>NOT(ISERROR(SEARCH($AN$688,AJ264)))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714" operator="containsText" id="{B1196E9B-DC37-4E1F-A4B2-94EF71C73CD5}">
            <xm:f>NOT(ISERROR(SEARCH($AN$686,AJ264)))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715" operator="containsText" id="{8FE4A508-776B-478B-8B85-32F22161730D}">
            <xm:f>NOT(ISERROR(SEARCH($AN$685,AJ264)))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716" operator="containsText" id="{A1EB70AD-63CC-47EF-9ECA-6D22F0F966A6}">
            <xm:f>NOT(ISERROR(SEARCH($AN$684,AJ264)))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717" operator="containsText" id="{130477C6-7F3E-4ADB-B3C6-5DD9D6B75E76}">
            <xm:f>NOT(ISERROR(SEARCH($AN$683,AJ264)))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718" operator="containsText" id="{4AD2CBDD-BBD8-4B15-91E3-D57F56266424}">
            <xm:f>NOT(ISERROR(SEARCH($AN$682,AJ264)))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AJ264</xm:sqref>
        </x14:conditionalFormatting>
        <x14:conditionalFormatting xmlns:xm="http://schemas.microsoft.com/office/excel/2006/main">
          <x14:cfRule type="containsText" priority="4789" operator="containsText" id="{A25C5BF8-249E-4EC9-A5C4-433DB613444B}">
            <xm:f>NOT(ISERROR(SEARCH($AN$682,AJ264)))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790" operator="containsText" id="{81CBC257-915E-466E-AF49-1960E9181706}">
            <xm:f>NOT(ISERROR(SEARCH($AN$681,AJ264)))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791" operator="containsText" id="{3B281F7E-37AD-408E-87F7-6E8BC759FA11}">
            <xm:f>NOT(ISERROR(SEARCH($AN$680,AJ264)))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792" operator="containsText" id="{AED86C70-E2A6-4C7E-82AF-D6BEF1EAD285}">
            <xm:f>NOT(ISERROR(SEARCH($AN$678,AJ264)))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793" operator="containsText" id="{0DB09416-7FB0-4261-A85C-78658F8CCF41}">
            <xm:f>NOT(ISERROR(SEARCH($AN$679,AJ264)))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AJ264:AJ265</xm:sqref>
        </x14:conditionalFormatting>
        <x14:conditionalFormatting xmlns:xm="http://schemas.microsoft.com/office/excel/2006/main">
          <x14:cfRule type="containsText" priority="4783" operator="containsText" id="{58AD6CBC-667B-44AA-8167-9A4B8D1DA5AD}">
            <xm:f>NOT(ISERROR(SEARCH($AN$687,AJ264)))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784" operator="containsText" id="{3BA3D239-7063-4760-B406-1B827696933F}">
            <xm:f>NOT(ISERROR(SEARCH($AN$688,AJ264)))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785" operator="containsText" id="{ADF03F4C-4ED2-4605-8827-F7FE12DB3D5D}">
            <xm:f>NOT(ISERROR(SEARCH($AN$686,AJ264)))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786" operator="containsText" id="{48CA4D8F-A220-4E71-8F0F-8018CCE3A56F}">
            <xm:f>NOT(ISERROR(SEARCH($AN$685,AJ264)))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787" operator="containsText" id="{948E640F-1722-4EA6-ABFD-D379D17CABF9}">
            <xm:f>NOT(ISERROR(SEARCH($AN$684,AJ264)))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788" operator="containsText" id="{37D0B087-2647-4D52-9881-978338DDB89D}">
            <xm:f>NOT(ISERROR(SEARCH($AN$683,AJ264)))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812" operator="containsText" id="{DD5FB270-3D38-4BCF-A874-BD94B3360EB4}">
            <xm:f>NOT(ISERROR(SEARCH($AN$681,AJ264)))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813" operator="containsText" id="{0D1A9D4C-F3F3-4A50-AFAD-68415F7D0F0D}">
            <xm:f>NOT(ISERROR(SEARCH($AN$680,AJ264)))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814" operator="containsText" id="{A2A6FA86-B761-4766-9694-8DB010A0D432}">
            <xm:f>NOT(ISERROR(SEARCH($AN$678,AJ264)))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815" operator="containsText" id="{C33978DA-4DA3-42C1-9055-57F279A478D5}">
            <xm:f>NOT(ISERROR(SEARCH($AN$679,AJ264)))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AJ264:AJ266</xm:sqref>
        </x14:conditionalFormatting>
        <x14:conditionalFormatting xmlns:xm="http://schemas.microsoft.com/office/excel/2006/main">
          <x14:cfRule type="containsText" priority="4794" operator="containsText" id="{327F59AE-F56D-40C2-803F-52DB08A3DD3E}">
            <xm:f>NOT(ISERROR(SEARCH($AN$682,AJ265)))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808" operator="containsText" id="{5B05F532-D93F-4CE4-A263-AF4EDC6C5C16}">
            <xm:f>NOT(ISERROR(SEARCH($AN$681,AJ265)))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809" operator="containsText" id="{2EBF1708-811D-4A86-ADC1-B2E626CD5BF0}">
            <xm:f>NOT(ISERROR(SEARCH($AN$680,AJ265)))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810" operator="containsText" id="{FFED611C-55EF-4625-922F-78AD35C41087}">
            <xm:f>NOT(ISERROR(SEARCH($AN$678,AJ265)))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811" operator="containsText" id="{507CBDBC-4D1D-474E-9F2F-FE2185D525A1}">
            <xm:f>NOT(ISERROR(SEARCH($AN$679,AJ265)))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AJ265:AJ266</xm:sqref>
        </x14:conditionalFormatting>
        <x14:conditionalFormatting xmlns:xm="http://schemas.microsoft.com/office/excel/2006/main">
          <x14:cfRule type="containsText" priority="4795" operator="containsText" id="{215967D6-F088-4824-AB6C-46921439CA67}">
            <xm:f>NOT(ISERROR(SEARCH($AN$690,AJ265)))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796" operator="containsText" id="{1070B739-01C3-406E-BF68-6CB4FA57A984}">
            <xm:f>NOT(ISERROR(SEARCH($AN$704,AJ265)))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797" operator="containsText" id="{B962A7B2-C02E-4B06-A27E-C5D9A6674805}">
            <xm:f>NOT(ISERROR(SEARCH($AN$693,AJ265)))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798" operator="containsText" id="{225ABD79-47D1-4084-B06D-8F1521AAFF80}">
            <xm:f>NOT(ISERROR(SEARCH($AN$692,AJ265)))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799" operator="containsText" id="{1D8B1998-B7A1-4FAB-9312-EE24C5A38146}">
            <xm:f>NOT(ISERROR(SEARCH($AN$691,AJ265)))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800" operator="containsText" id="{7AA11506-4CFC-4C6C-A96B-0274300A4776}">
            <xm:f>NOT(ISERROR(SEARCH($AN$689,AJ265)))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801" operator="containsText" id="{A8399917-7CBA-4B15-A456-20ED6BFD51BE}">
            <xm:f>NOT(ISERROR(SEARCH($AN$687,AJ265)))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802" operator="containsText" id="{483F7642-B2F4-4E4B-AE55-E289450872B5}">
            <xm:f>NOT(ISERROR(SEARCH($AN$688,AJ265)))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803" operator="containsText" id="{77984019-2C8D-488F-9728-E81A09FAE4DF}">
            <xm:f>NOT(ISERROR(SEARCH($AN$686,AJ265)))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804" operator="containsText" id="{92A7032C-4719-4464-872A-745C08E8A125}">
            <xm:f>NOT(ISERROR(SEARCH($AN$685,AJ265)))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805" operator="containsText" id="{93108A18-C962-42EB-9ED2-AE0660F962F1}">
            <xm:f>NOT(ISERROR(SEARCH($AN$684,AJ265)))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806" operator="containsText" id="{57C81224-1E5E-44BD-A3F3-6B3FA65E3267}">
            <xm:f>NOT(ISERROR(SEARCH($AN$683,AJ265)))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807" operator="containsText" id="{7D40CB03-EF58-41AC-BC0E-0CBEFA4ECA11}">
            <xm:f>NOT(ISERROR(SEARCH($AN$682,AJ265)))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AJ265:AJ267</xm:sqref>
        </x14:conditionalFormatting>
        <x14:conditionalFormatting xmlns:xm="http://schemas.microsoft.com/office/excel/2006/main">
          <x14:cfRule type="containsText" priority="4816" operator="containsText" id="{A170AF7A-E12F-4C20-8321-08DAF6188469}">
            <xm:f>NOT(ISERROR(SEARCH($AN$690,AJ267)))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817" operator="containsText" id="{AF213A34-1972-4478-A269-8CF7D06F9F82}">
            <xm:f>NOT(ISERROR(SEARCH($AN$704,AJ267)))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818" operator="containsText" id="{4745DB48-BDB2-4D9E-8663-A003979BBB96}">
            <xm:f>NOT(ISERROR(SEARCH($AN$693,AJ267)))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819" operator="containsText" id="{E7E17A6E-EF46-4EDC-BAC3-1592482B0AB6}">
            <xm:f>NOT(ISERROR(SEARCH($AN$692,AJ267)))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820" operator="containsText" id="{16AFDB2E-EC42-4993-82A5-12E39D654FCF}">
            <xm:f>NOT(ISERROR(SEARCH($AN$691,AJ267)))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821" operator="containsText" id="{0BF430D8-ADBA-4CBF-AF01-825D245CB5F3}">
            <xm:f>NOT(ISERROR(SEARCH($AN$689,AJ267)))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822" operator="containsText" id="{4B7F7AF9-6AD4-4CCA-94C1-F33A480817EF}">
            <xm:f>NOT(ISERROR(SEARCH($AN$687,AJ267)))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823" operator="containsText" id="{92DCBD30-5002-4D47-9B0C-DE05C3FB6173}">
            <xm:f>NOT(ISERROR(SEARCH($AN$688,AJ267)))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824" operator="containsText" id="{8F697A3D-44C9-4594-B059-994373A70E4B}">
            <xm:f>NOT(ISERROR(SEARCH($AN$686,AJ267)))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825" operator="containsText" id="{09FB42CC-B410-4768-A808-3A8270908893}">
            <xm:f>NOT(ISERROR(SEARCH($AN$685,AJ267)))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826" operator="containsText" id="{AFD2D098-FA1F-4F81-83FB-92E6DAEBBCBF}">
            <xm:f>NOT(ISERROR(SEARCH($AN$684,AJ267)))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827" operator="containsText" id="{D3CB6A3B-A0DB-411A-BF09-D2850EA85788}">
            <xm:f>NOT(ISERROR(SEARCH($AN$683,AJ267)))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828" operator="containsText" id="{90FA908E-5698-4650-B646-B699A92EE98C}">
            <xm:f>NOT(ISERROR(SEARCH($AN$682,AJ267)))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829" operator="containsText" id="{0DB7D229-4E66-4437-9783-1DD770E108C2}">
            <xm:f>NOT(ISERROR(SEARCH($AN$681,AJ267)))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830" operator="containsText" id="{77281132-C17E-47E8-A3AB-A9F31276D9E1}">
            <xm:f>NOT(ISERROR(SEARCH($AN$680,AJ267)))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831" operator="containsText" id="{6ECED029-88D0-48A2-9A06-BB2BC950DBC2}">
            <xm:f>NOT(ISERROR(SEARCH($AN$678,AJ267)))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832" operator="containsText" id="{345D718C-4865-43A3-9E9C-8B644EE415B4}">
            <xm:f>NOT(ISERROR(SEARCH($AN$679,AJ267)))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833" operator="containsText" id="{ED45B946-294B-4F7D-BB19-8D80DFA42526}">
            <xm:f>NOT(ISERROR(SEARCH($AN$681,AJ267)))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834" operator="containsText" id="{020BC599-486E-41AA-A429-C3C393F81734}">
            <xm:f>NOT(ISERROR(SEARCH($AN$680,AJ267)))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835" operator="containsText" id="{E61D50BA-A753-4DBE-835A-D74A067DD89A}">
            <xm:f>NOT(ISERROR(SEARCH($AN$678,AJ267)))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836" operator="containsText" id="{06CFDE73-EECE-4C00-9369-E71164F1A900}">
            <xm:f>NOT(ISERROR(SEARCH($AN$679,AJ267)))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AJ267</xm:sqref>
        </x14:conditionalFormatting>
        <x14:conditionalFormatting xmlns:xm="http://schemas.microsoft.com/office/excel/2006/main">
          <x14:cfRule type="containsText" priority="12066" operator="containsText" id="{ACAA43E2-65A7-404E-96B5-C90BF8C7205E}">
            <xm:f>NOT(ISERROR(SEARCH($AN$688,AJ359)))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067" operator="containsText" id="{11CD6DD7-1936-4A55-B7A1-ED9B69249DF9}">
            <xm:f>NOT(ISERROR(SEARCH($AN$686,AJ359)))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068" operator="containsText" id="{4E4E6936-9E4A-4B6A-9BF4-4894488CFC73}">
            <xm:f>NOT(ISERROR(SEARCH($AN$685,AJ359)))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069" operator="containsText" id="{0B7B681E-5432-41DE-9B1F-AE24E7A540A1}">
            <xm:f>NOT(ISERROR(SEARCH($AN$684,AJ359)))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070" operator="containsText" id="{06B29A76-A71F-46FB-A73A-54E9A7F09A5B}">
            <xm:f>NOT(ISERROR(SEARCH($AN$683,AJ359)))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071" operator="containsText" id="{26692079-3052-4AB1-B5C9-0FF217CCAE40}">
            <xm:f>NOT(ISERROR(SEARCH($AN$682,AJ359)))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076" operator="containsText" id="{087E89D2-7A1D-4DF2-84FA-631746A7D61F}">
            <xm:f>NOT(ISERROR(SEARCH($AN$681,AJ359)))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077" operator="containsText" id="{A9295D63-4B58-4838-8EDD-0AF1BCA97BA9}">
            <xm:f>NOT(ISERROR(SEARCH($AN$680,AJ359)))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078" operator="containsText" id="{1E6BD86A-AF86-4B2A-851F-8CAA6F588A51}">
            <xm:f>NOT(ISERROR(SEARCH($AN$678,AJ359)))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079" operator="containsText" id="{5719849E-A6FD-4D72-B6CC-76FB6621E060}">
            <xm:f>NOT(ISERROR(SEARCH($AN$679,AJ359)))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AJ359</xm:sqref>
        </x14:conditionalFormatting>
        <x14:conditionalFormatting xmlns:xm="http://schemas.microsoft.com/office/excel/2006/main">
          <x14:cfRule type="containsText" priority="4395" operator="containsText" id="{C9E814A8-81D5-4F88-A8B4-9BC2DB68D17C}">
            <xm:f>NOT(ISERROR(SEARCH($AN$687,AJ360)))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396" operator="containsText" id="{1DC4405F-4D74-4E94-9F53-CD1717F58937}">
            <xm:f>NOT(ISERROR(SEARCH($AN$688,AJ360)))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397" operator="containsText" id="{BA5B7888-05AE-486E-8D15-9DFD4D9778E3}">
            <xm:f>NOT(ISERROR(SEARCH($AN$686,AJ360)))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398" operator="containsText" id="{7D52F775-C3D0-4ADF-B1B2-E5CC2DF2AC3F}">
            <xm:f>NOT(ISERROR(SEARCH($AN$685,AJ360)))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399" operator="containsText" id="{0A94C4A5-7657-43FC-B212-E96B097C3BF1}">
            <xm:f>NOT(ISERROR(SEARCH($AN$684,AJ360)))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400" operator="containsText" id="{8B74ACF5-0E72-4B54-A57A-189E3C32FA1D}">
            <xm:f>NOT(ISERROR(SEARCH($AN$683,AJ360)))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401" operator="containsText" id="{E2D1EF7F-95B1-43C4-82EC-338CEB265093}">
            <xm:f>NOT(ISERROR(SEARCH($AN$682,AJ360)))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AJ360</xm:sqref>
        </x14:conditionalFormatting>
        <x14:conditionalFormatting xmlns:xm="http://schemas.microsoft.com/office/excel/2006/main">
          <x14:cfRule type="containsText" priority="4472" operator="containsText" id="{CBBBCCFA-3AC9-421E-ABCB-BACC2084DA8E}">
            <xm:f>NOT(ISERROR(SEARCH($AN$682,AJ360)))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473" operator="containsText" id="{29247056-AADA-41FF-83FB-96DDDB4873C5}">
            <xm:f>NOT(ISERROR(SEARCH($AN$681,AJ360)))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474" operator="containsText" id="{7064B380-5BC2-41C6-A95B-20C99C53F7B9}">
            <xm:f>NOT(ISERROR(SEARCH($AN$680,AJ360)))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475" operator="containsText" id="{0300A6C7-B520-40B3-AA4A-0E4D7FED31C0}">
            <xm:f>NOT(ISERROR(SEARCH($AN$678,AJ360)))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476" operator="containsText" id="{60976CBF-7DBD-4768-AD93-2BD7F81F36FE}">
            <xm:f>NOT(ISERROR(SEARCH($AN$679,AJ360)))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AJ360:AJ361</xm:sqref>
        </x14:conditionalFormatting>
        <x14:conditionalFormatting xmlns:xm="http://schemas.microsoft.com/office/excel/2006/main">
          <x14:cfRule type="containsText" priority="4466" operator="containsText" id="{9F511397-31B8-4EC1-B3C0-8D00F4295AF2}">
            <xm:f>NOT(ISERROR(SEARCH($AN$687,AJ360)))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467" operator="containsText" id="{C989537B-4E30-41C5-96BE-ABC6E5880B99}">
            <xm:f>NOT(ISERROR(SEARCH($AN$688,AJ360)))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468" operator="containsText" id="{88BF7D80-6CFA-4AAE-890F-E866C0E6EC81}">
            <xm:f>NOT(ISERROR(SEARCH($AN$686,AJ360)))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469" operator="containsText" id="{BA173569-8F4E-4422-B08F-1B1B550662E3}">
            <xm:f>NOT(ISERROR(SEARCH($AN$685,AJ360)))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470" operator="containsText" id="{6C4E9948-8AF7-4E26-B707-FA3B4122534D}">
            <xm:f>NOT(ISERROR(SEARCH($AN$684,AJ360)))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471" operator="containsText" id="{6897730F-868E-40E5-866C-FDF712E69FED}">
            <xm:f>NOT(ISERROR(SEARCH($AN$683,AJ360)))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495" operator="containsText" id="{1C852593-81A1-4094-BA5E-F777B11BBD26}">
            <xm:f>NOT(ISERROR(SEARCH($AN$681,AJ360)))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496" operator="containsText" id="{90FE13EE-A470-468D-8413-FC00B4480434}">
            <xm:f>NOT(ISERROR(SEARCH($AN$680,AJ360)))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497" operator="containsText" id="{51230173-F967-45D1-B629-19B3163469A6}">
            <xm:f>NOT(ISERROR(SEARCH($AN$678,AJ360)))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498" operator="containsText" id="{6592CA66-28C5-4FCA-AE9E-8870AA70CA47}">
            <xm:f>NOT(ISERROR(SEARCH($AN$679,AJ360)))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AJ360:AJ362</xm:sqref>
        </x14:conditionalFormatting>
        <x14:conditionalFormatting xmlns:xm="http://schemas.microsoft.com/office/excel/2006/main">
          <x14:cfRule type="containsText" priority="4477" operator="containsText" id="{053EDE37-1155-48B5-A1DE-F12C47CC0F1C}">
            <xm:f>NOT(ISERROR(SEARCH($AN$682,AJ361)))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491" operator="containsText" id="{FEC99A09-C8D7-4B2E-ABD0-262DBB081133}">
            <xm:f>NOT(ISERROR(SEARCH($AN$681,AJ361)))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492" operator="containsText" id="{0F49103F-36C5-4CAB-B4BE-74D411CCB40F}">
            <xm:f>NOT(ISERROR(SEARCH($AN$680,AJ361)))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493" operator="containsText" id="{4A33E355-D643-48F7-B6AC-8E4A394829A0}">
            <xm:f>NOT(ISERROR(SEARCH($AN$678,AJ361)))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494" operator="containsText" id="{A9A5017C-76B6-4E65-8D0F-5404BE9E504C}">
            <xm:f>NOT(ISERROR(SEARCH($AN$679,AJ361)))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AJ361:AJ362</xm:sqref>
        </x14:conditionalFormatting>
        <x14:conditionalFormatting xmlns:xm="http://schemas.microsoft.com/office/excel/2006/main">
          <x14:cfRule type="containsText" priority="4478" operator="containsText" id="{19AC837C-926B-4045-8CCA-DDB4D12D0316}">
            <xm:f>NOT(ISERROR(SEARCH($AN$690,AJ361)))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479" operator="containsText" id="{152092E0-6E9F-450D-BC79-BB102EF693E8}">
            <xm:f>NOT(ISERROR(SEARCH($AN$704,AJ361)))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480" operator="containsText" id="{1FB0DB39-A37D-4821-8CB2-ACCD2B9961BB}">
            <xm:f>NOT(ISERROR(SEARCH($AN$693,AJ361)))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481" operator="containsText" id="{088C3373-1F9D-458D-857E-7DA0FB5D4BFF}">
            <xm:f>NOT(ISERROR(SEARCH($AN$692,AJ361)))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482" operator="containsText" id="{6A5B9AB3-8CCE-45B0-9B3A-7DEE45923C2C}">
            <xm:f>NOT(ISERROR(SEARCH($AN$691,AJ361)))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483" operator="containsText" id="{94A07962-B80E-48C0-991A-0DA516E5F3FD}">
            <xm:f>NOT(ISERROR(SEARCH($AN$689,AJ361)))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484" operator="containsText" id="{9ABDAEC0-1FB6-476C-BFA2-3EB88A1E3C31}">
            <xm:f>NOT(ISERROR(SEARCH($AN$687,AJ361)))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485" operator="containsText" id="{857A9008-A128-40D3-AE1F-D2EB2694D80A}">
            <xm:f>NOT(ISERROR(SEARCH($AN$688,AJ361)))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486" operator="containsText" id="{27807C30-EA13-4017-A2E5-3BCD9FFA84E3}">
            <xm:f>NOT(ISERROR(SEARCH($AN$686,AJ361)))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487" operator="containsText" id="{92CA54E5-13BD-47E8-B1AB-5441B19402AF}">
            <xm:f>NOT(ISERROR(SEARCH($AN$685,AJ361)))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488" operator="containsText" id="{309E1D4F-2860-4CA3-92CE-B08D0C196761}">
            <xm:f>NOT(ISERROR(SEARCH($AN$684,AJ361)))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489" operator="containsText" id="{342DDC09-079D-4F6C-9421-0026F00220A3}">
            <xm:f>NOT(ISERROR(SEARCH($AN$683,AJ361)))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490" operator="containsText" id="{49663A9D-AD3A-400D-887B-4F04E21DA29A}">
            <xm:f>NOT(ISERROR(SEARCH($AN$682,AJ361)))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AJ361:AJ363</xm:sqref>
        </x14:conditionalFormatting>
        <x14:conditionalFormatting xmlns:xm="http://schemas.microsoft.com/office/excel/2006/main">
          <x14:cfRule type="containsText" priority="4499" operator="containsText" id="{8CDF7FCC-A323-451E-AD9A-1B23C95DE524}">
            <xm:f>NOT(ISERROR(SEARCH($AN$690,AJ363)))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500" operator="containsText" id="{2F2120D6-89C2-4416-93E8-BE3DE75281F3}">
            <xm:f>NOT(ISERROR(SEARCH($AN$704,AJ363)))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501" operator="containsText" id="{358DA45E-8F28-48E6-BF21-0D036E1268F9}">
            <xm:f>NOT(ISERROR(SEARCH($AN$693,AJ363)))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502" operator="containsText" id="{C2ED7AED-492A-4605-8D71-AF50033BF9BD}">
            <xm:f>NOT(ISERROR(SEARCH($AN$692,AJ363)))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503" operator="containsText" id="{01565CCC-47E7-4C79-9E44-C55221F83FA0}">
            <xm:f>NOT(ISERROR(SEARCH($AN$691,AJ363)))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504" operator="containsText" id="{99622D4C-87CB-4644-ABC8-74808C25163D}">
            <xm:f>NOT(ISERROR(SEARCH($AN$689,AJ363)))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505" operator="containsText" id="{483DD925-2E48-4E94-8053-8C0D7B30D10A}">
            <xm:f>NOT(ISERROR(SEARCH($AN$687,AJ363)))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506" operator="containsText" id="{F9546C06-34BD-4491-8369-029B0BB8C707}">
            <xm:f>NOT(ISERROR(SEARCH($AN$688,AJ363)))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507" operator="containsText" id="{28F8F892-30DD-4D60-8EF1-D48E8D011A72}">
            <xm:f>NOT(ISERROR(SEARCH($AN$686,AJ363)))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508" operator="containsText" id="{4EFB6B79-FA4E-44C3-8598-69BB308C678B}">
            <xm:f>NOT(ISERROR(SEARCH($AN$685,AJ363)))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509" operator="containsText" id="{2BC5E9AD-48B3-4B10-B536-6F60ADAD1E82}">
            <xm:f>NOT(ISERROR(SEARCH($AN$684,AJ363)))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510" operator="containsText" id="{3B499AA7-340C-41E6-9FB6-9FC398D84C2E}">
            <xm:f>NOT(ISERROR(SEARCH($AN$683,AJ363)))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511" operator="containsText" id="{B51EE3AA-679C-4A8B-90C5-2F75619E507B}">
            <xm:f>NOT(ISERROR(SEARCH($AN$682,AJ363)))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512" operator="containsText" id="{7E888C1E-6F57-4208-BBAF-A92035AF2CEB}">
            <xm:f>NOT(ISERROR(SEARCH($AN$681,AJ363)))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513" operator="containsText" id="{3B8E3A11-05A0-478D-89D0-BA7B351748D8}">
            <xm:f>NOT(ISERROR(SEARCH($AN$680,AJ363)))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514" operator="containsText" id="{C934D13C-C3D5-4A08-8382-CE7E07024852}">
            <xm:f>NOT(ISERROR(SEARCH($AN$678,AJ363)))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515" operator="containsText" id="{64E271EE-EF53-40DD-8C25-4DAAA4D91847}">
            <xm:f>NOT(ISERROR(SEARCH($AN$679,AJ363)))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516" operator="containsText" id="{702B3A24-A2CB-41AF-838C-C9BACD4D1C7B}">
            <xm:f>NOT(ISERROR(SEARCH($AN$681,AJ363)))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517" operator="containsText" id="{C8A835C8-C8E4-4FB1-B168-D450AD677706}">
            <xm:f>NOT(ISERROR(SEARCH($AN$680,AJ363)))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518" operator="containsText" id="{E7D69A6E-23D8-43C9-B24E-063F77086749}">
            <xm:f>NOT(ISERROR(SEARCH($AN$678,AJ363)))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519" operator="containsText" id="{7AB0C8C7-9489-4EC8-83C7-BE50E47BD4A2}">
            <xm:f>NOT(ISERROR(SEARCH($AN$679,AJ363)))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AJ363</xm:sqref>
        </x14:conditionalFormatting>
        <x14:conditionalFormatting xmlns:xm="http://schemas.microsoft.com/office/excel/2006/main">
          <x14:cfRule type="containsText" priority="11717" operator="containsText" id="{BC72A8D5-4BBF-48DA-8421-B0C364C0F7FB}">
            <xm:f>NOT(ISERROR(SEARCH($AN$688,AJ455)))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718" operator="containsText" id="{721E0335-3654-4464-8483-2EDD35DE9292}">
            <xm:f>NOT(ISERROR(SEARCH($AN$686,AJ455)))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719" operator="containsText" id="{9A4476F9-3A77-41A8-85C5-1559C17AD2FC}">
            <xm:f>NOT(ISERROR(SEARCH($AN$685,AJ455)))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720" operator="containsText" id="{32210336-E9BE-4D02-B81A-A2D8C7542268}">
            <xm:f>NOT(ISERROR(SEARCH($AN$684,AJ455)))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721" operator="containsText" id="{51F80EE0-AEB9-4B16-8F7C-2D20338330DE}">
            <xm:f>NOT(ISERROR(SEARCH($AN$683,AJ455)))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722" operator="containsText" id="{7C8A2310-B350-44D7-B60A-0553E1067BC3}">
            <xm:f>NOT(ISERROR(SEARCH($AN$682,AJ455)))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727" operator="containsText" id="{4179BF2B-1C1A-49DC-950B-9ABCDF51831F}">
            <xm:f>NOT(ISERROR(SEARCH($AN$681,AJ455)))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728" operator="containsText" id="{869B9EF0-CDC4-49CE-BF7D-6B95C3FFED49}">
            <xm:f>NOT(ISERROR(SEARCH($AN$680,AJ455)))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729" operator="containsText" id="{1979CADB-7DA7-4023-A597-3741A93AA472}">
            <xm:f>NOT(ISERROR(SEARCH($AN$678,AJ455)))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730" operator="containsText" id="{0BAA6C7C-B2D4-4BC8-BDC5-A5216B51F57F}">
            <xm:f>NOT(ISERROR(SEARCH($AN$679,AJ455)))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AJ455</xm:sqref>
        </x14:conditionalFormatting>
        <x14:conditionalFormatting xmlns:xm="http://schemas.microsoft.com/office/excel/2006/main">
          <x14:cfRule type="containsText" priority="4078" operator="containsText" id="{BF0C3FBB-3980-4756-8444-2B7BDA20D9BA}">
            <xm:f>NOT(ISERROR(SEARCH($AN$687,AJ456)))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079" operator="containsText" id="{BE7BA774-8CD9-4560-90DD-240D88955F2E}">
            <xm:f>NOT(ISERROR(SEARCH($AN$688,AJ456)))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080" operator="containsText" id="{611F1516-1A0B-448A-8BC4-DE89A9AE83BC}">
            <xm:f>NOT(ISERROR(SEARCH($AN$686,AJ456)))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081" operator="containsText" id="{4F4E4139-6704-4C90-9777-2FD7C2CACB27}">
            <xm:f>NOT(ISERROR(SEARCH($AN$685,AJ456)))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082" operator="containsText" id="{96656962-5CAE-4CA6-B085-8E0A463F0096}">
            <xm:f>NOT(ISERROR(SEARCH($AN$684,AJ456)))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083" operator="containsText" id="{9D7637E4-B7BC-4B04-AA0E-A968467DA1E5}">
            <xm:f>NOT(ISERROR(SEARCH($AN$683,AJ456)))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084" operator="containsText" id="{DC7A59B4-8B48-4F96-AF57-43E711116F1F}">
            <xm:f>NOT(ISERROR(SEARCH($AN$682,AJ456)))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AJ456</xm:sqref>
        </x14:conditionalFormatting>
        <x14:conditionalFormatting xmlns:xm="http://schemas.microsoft.com/office/excel/2006/main">
          <x14:cfRule type="containsText" priority="4155" operator="containsText" id="{D5730BC5-F2BB-4E48-B3C0-93DCFECE8170}">
            <xm:f>NOT(ISERROR(SEARCH($AN$682,AJ456)))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156" operator="containsText" id="{29882DFA-F421-4469-98B4-D4E3FCCDBC52}">
            <xm:f>NOT(ISERROR(SEARCH($AN$681,AJ456)))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157" operator="containsText" id="{82D23F2F-35A1-4B9E-9C29-7126C07F70A6}">
            <xm:f>NOT(ISERROR(SEARCH($AN$680,AJ456)))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158" operator="containsText" id="{AA481EE0-322C-4BB7-B6A4-4609710653D2}">
            <xm:f>NOT(ISERROR(SEARCH($AN$678,AJ456)))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159" operator="containsText" id="{B780D7DF-7331-4F66-839D-3056ACEAF71D}">
            <xm:f>NOT(ISERROR(SEARCH($AN$679,AJ456)))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AJ456:AJ457</xm:sqref>
        </x14:conditionalFormatting>
        <x14:conditionalFormatting xmlns:xm="http://schemas.microsoft.com/office/excel/2006/main">
          <x14:cfRule type="containsText" priority="4149" operator="containsText" id="{8153D79E-C7D8-4B0A-BEFE-C70234CC2596}">
            <xm:f>NOT(ISERROR(SEARCH($AN$687,AJ456)))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150" operator="containsText" id="{B5E34219-9C16-4025-93ED-6B48D7FC04D9}">
            <xm:f>NOT(ISERROR(SEARCH($AN$688,AJ456)))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151" operator="containsText" id="{10D22E67-289D-478C-B406-A76AC82BC3E2}">
            <xm:f>NOT(ISERROR(SEARCH($AN$686,AJ456)))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152" operator="containsText" id="{EBBCC27B-EE17-48AC-AAEF-C7DE6610C03D}">
            <xm:f>NOT(ISERROR(SEARCH($AN$685,AJ456)))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153" operator="containsText" id="{2FEA120A-60A9-4C6C-AC0A-07C5C2A8A97B}">
            <xm:f>NOT(ISERROR(SEARCH($AN$684,AJ456)))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154" operator="containsText" id="{E9CEF5B8-A67D-4EED-A1BF-DE60F1C198E5}">
            <xm:f>NOT(ISERROR(SEARCH($AN$683,AJ456)))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178" operator="containsText" id="{9BC3AD18-7E7C-4359-BD3A-AA7EB2954000}">
            <xm:f>NOT(ISERROR(SEARCH($AN$681,AJ456)))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179" operator="containsText" id="{680EC98B-325B-4986-BA0C-85637E552EBE}">
            <xm:f>NOT(ISERROR(SEARCH($AN$680,AJ456)))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180" operator="containsText" id="{CF3AC211-E760-4C9B-9F9B-B0D960F9C502}">
            <xm:f>NOT(ISERROR(SEARCH($AN$678,AJ456)))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181" operator="containsText" id="{02976B6A-1B67-42E4-BCAC-8A1E8C7099E1}">
            <xm:f>NOT(ISERROR(SEARCH($AN$679,AJ456)))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AJ456:AJ458</xm:sqref>
        </x14:conditionalFormatting>
        <x14:conditionalFormatting xmlns:xm="http://schemas.microsoft.com/office/excel/2006/main">
          <x14:cfRule type="containsText" priority="4160" operator="containsText" id="{5408408E-0934-4409-927F-30E942E7FFAD}">
            <xm:f>NOT(ISERROR(SEARCH($AN$682,AJ457)))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174" operator="containsText" id="{0E5E143C-DAE3-436E-A5F0-A02E826172D7}">
            <xm:f>NOT(ISERROR(SEARCH($AN$681,AJ457)))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175" operator="containsText" id="{63AC5FCF-EF7E-4AF5-8604-F4816A109F3B}">
            <xm:f>NOT(ISERROR(SEARCH($AN$680,AJ457)))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176" operator="containsText" id="{260514B7-C85C-4744-99A6-6201332FF24C}">
            <xm:f>NOT(ISERROR(SEARCH($AN$678,AJ457)))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177" operator="containsText" id="{CC71EF9B-7D02-4620-B0D3-93AFBB8ED9E1}">
            <xm:f>NOT(ISERROR(SEARCH($AN$679,AJ457)))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AJ457:AJ458</xm:sqref>
        </x14:conditionalFormatting>
        <x14:conditionalFormatting xmlns:xm="http://schemas.microsoft.com/office/excel/2006/main">
          <x14:cfRule type="containsText" priority="4161" operator="containsText" id="{E11FB362-9B02-4A61-9237-EF3154651071}">
            <xm:f>NOT(ISERROR(SEARCH($AN$690,AJ457)))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162" operator="containsText" id="{D96B08B3-124C-4264-B1C0-534D01C3BADA}">
            <xm:f>NOT(ISERROR(SEARCH($AN$704,AJ457)))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163" operator="containsText" id="{A43D4B2A-AB8E-405E-9198-8917E0C2F5BC}">
            <xm:f>NOT(ISERROR(SEARCH($AN$693,AJ457)))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164" operator="containsText" id="{00711C42-6730-4D99-85CF-E8120A162A5A}">
            <xm:f>NOT(ISERROR(SEARCH($AN$692,AJ457)))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165" operator="containsText" id="{4F1781ED-47B2-47EF-8061-D1DD96A4A0C3}">
            <xm:f>NOT(ISERROR(SEARCH($AN$691,AJ457)))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166" operator="containsText" id="{D86B5DCE-25BC-4752-B5B4-C6E1E146AD0C}">
            <xm:f>NOT(ISERROR(SEARCH($AN$689,AJ457)))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167" operator="containsText" id="{E26FAD51-C0DD-44AA-BE30-73D4BBE639CC}">
            <xm:f>NOT(ISERROR(SEARCH($AN$687,AJ457)))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168" operator="containsText" id="{317F4CBE-7305-4CD0-B223-343D6A6499F4}">
            <xm:f>NOT(ISERROR(SEARCH($AN$688,AJ457)))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169" operator="containsText" id="{E5CBD8D7-C932-4738-9F90-B5EFEDE3E6CE}">
            <xm:f>NOT(ISERROR(SEARCH($AN$686,AJ457)))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170" operator="containsText" id="{B1E78770-11D0-4ADE-84D0-08F731666630}">
            <xm:f>NOT(ISERROR(SEARCH($AN$685,AJ457)))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171" operator="containsText" id="{1AB638D4-CD52-4694-AF2D-433BE0B6CBA8}">
            <xm:f>NOT(ISERROR(SEARCH($AN$684,AJ457)))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172" operator="containsText" id="{A05B337A-6890-4C92-A5CE-6BF23FB34664}">
            <xm:f>NOT(ISERROR(SEARCH($AN$683,AJ457)))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173" operator="containsText" id="{3CA0BBE2-C1B9-46E5-9F74-BB82A296405E}">
            <xm:f>NOT(ISERROR(SEARCH($AN$682,AJ457)))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AJ457:AJ459</xm:sqref>
        </x14:conditionalFormatting>
        <x14:conditionalFormatting xmlns:xm="http://schemas.microsoft.com/office/excel/2006/main">
          <x14:cfRule type="containsText" priority="4182" operator="containsText" id="{C1A34F44-CF23-4C35-AAE4-BF5CBFA4783E}">
            <xm:f>NOT(ISERROR(SEARCH($AN$690,AJ459)))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183" operator="containsText" id="{9AD9CD96-31D3-45BD-8953-E481E25AF1FC}">
            <xm:f>NOT(ISERROR(SEARCH($AN$704,AJ459)))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184" operator="containsText" id="{7524323A-0166-4C9C-B0CE-A4D3322647A2}">
            <xm:f>NOT(ISERROR(SEARCH($AN$693,AJ459)))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185" operator="containsText" id="{51CB81DB-D02A-401B-9EC8-52EDBBB9964D}">
            <xm:f>NOT(ISERROR(SEARCH($AN$692,AJ459)))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186" operator="containsText" id="{11753784-AEBD-4711-B93A-39A915C5DF39}">
            <xm:f>NOT(ISERROR(SEARCH($AN$691,AJ459)))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187" operator="containsText" id="{EA420A98-C0D8-4C5E-B2A9-53F7E6B1B2D5}">
            <xm:f>NOT(ISERROR(SEARCH($AN$689,AJ459)))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188" operator="containsText" id="{F31FDEA0-7E46-4F19-ADE5-3A1BAD805D63}">
            <xm:f>NOT(ISERROR(SEARCH($AN$687,AJ459)))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189" operator="containsText" id="{A5DD93DD-E7A3-4964-84A6-DC86803749D1}">
            <xm:f>NOT(ISERROR(SEARCH($AN$688,AJ459)))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190" operator="containsText" id="{6C14E5B7-389F-4C82-A8E4-7D2108D1CB48}">
            <xm:f>NOT(ISERROR(SEARCH($AN$686,AJ459)))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191" operator="containsText" id="{F913E7A8-9E22-4C50-9A65-9AAA1195CFDE}">
            <xm:f>NOT(ISERROR(SEARCH($AN$685,AJ459)))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192" operator="containsText" id="{02F4774E-1A4C-4CDC-B3F2-187843B51AFB}">
            <xm:f>NOT(ISERROR(SEARCH($AN$684,AJ459)))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193" operator="containsText" id="{AE6BC941-9360-43C3-8AF4-F187655D960C}">
            <xm:f>NOT(ISERROR(SEARCH($AN$683,AJ459)))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194" operator="containsText" id="{1618EE3E-CD03-4C0B-A8B9-015C17CDA845}">
            <xm:f>NOT(ISERROR(SEARCH($AN$682,AJ459)))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195" operator="containsText" id="{8A79B123-2E06-43BA-B87D-16F3ABAEAE24}">
            <xm:f>NOT(ISERROR(SEARCH($AN$681,AJ459)))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196" operator="containsText" id="{46F14F25-6FC2-4342-B2D2-143012C8B8F6}">
            <xm:f>NOT(ISERROR(SEARCH($AN$680,AJ459)))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197" operator="containsText" id="{CB70F278-75A3-46E3-AC75-5D37A891BCDF}">
            <xm:f>NOT(ISERROR(SEARCH($AN$678,AJ459)))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198" operator="containsText" id="{C03FADA4-7FA8-4757-8953-2B94D9A122A9}">
            <xm:f>NOT(ISERROR(SEARCH($AN$679,AJ459)))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199" operator="containsText" id="{EE4BB320-B33A-407C-B19D-591A244397AF}">
            <xm:f>NOT(ISERROR(SEARCH($AN$681,AJ459)))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200" operator="containsText" id="{8FD183FE-CF81-4EB4-B7AC-B1A131606A38}">
            <xm:f>NOT(ISERROR(SEARCH($AN$680,AJ459)))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201" operator="containsText" id="{87E55F85-E2B8-4D03-8827-FB6789597583}">
            <xm:f>NOT(ISERROR(SEARCH($AN$678,AJ459)))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202" operator="containsText" id="{F0CA35E3-3A69-485A-AF5E-4EBA0E381310}">
            <xm:f>NOT(ISERROR(SEARCH($AN$679,AJ459)))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AJ459</xm:sqref>
        </x14:conditionalFormatting>
        <x14:conditionalFormatting xmlns:xm="http://schemas.microsoft.com/office/excel/2006/main">
          <x14:cfRule type="containsText" priority="11368" operator="containsText" id="{E978D394-0C7D-41D4-AD2D-158188C98E19}">
            <xm:f>NOT(ISERROR(SEARCH($AN$688,AJ551)))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369" operator="containsText" id="{B2F49B73-5F15-4F1C-856F-280EA418947D}">
            <xm:f>NOT(ISERROR(SEARCH($AN$686,AJ551)))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370" operator="containsText" id="{A4629887-5578-44EE-ACE3-A0F203ED9837}">
            <xm:f>NOT(ISERROR(SEARCH($AN$685,AJ551)))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371" operator="containsText" id="{F4E9CD37-2D37-4B5B-9AB1-D9293F5CE74E}">
            <xm:f>NOT(ISERROR(SEARCH($AN$684,AJ551)))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372" operator="containsText" id="{9D8B688D-5131-4E10-BDFA-F70A35A5085B}">
            <xm:f>NOT(ISERROR(SEARCH($AN$683,AJ551)))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373" operator="containsText" id="{874FF419-3233-48CF-B8E0-AD80CE40A26D}">
            <xm:f>NOT(ISERROR(SEARCH($AN$682,AJ551)))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378" operator="containsText" id="{02B9D718-CFE1-41DC-B943-D5F4E74E36F1}">
            <xm:f>NOT(ISERROR(SEARCH($AN$681,AJ551)))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379" operator="containsText" id="{9638FDAD-92AD-4B05-8BE8-6EDD639F2BBF}">
            <xm:f>NOT(ISERROR(SEARCH($AN$680,AJ551)))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380" operator="containsText" id="{5C10ACDA-980F-4345-927B-3EEF871F392C}">
            <xm:f>NOT(ISERROR(SEARCH($AN$678,AJ551)))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381" operator="containsText" id="{1D1C6A9E-2506-4239-AFF9-C2BD804EE226}">
            <xm:f>NOT(ISERROR(SEARCH($AN$679,AJ551)))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AJ551</xm:sqref>
        </x14:conditionalFormatting>
        <x14:conditionalFormatting xmlns:xm="http://schemas.microsoft.com/office/excel/2006/main">
          <x14:cfRule type="containsText" priority="3761" operator="containsText" id="{47392D1E-C87F-4E70-8A3A-13B6C1904715}">
            <xm:f>NOT(ISERROR(SEARCH($AN$687,AJ552)))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762" operator="containsText" id="{26E4249E-E87C-4163-BF20-A1F5F39DB994}">
            <xm:f>NOT(ISERROR(SEARCH($AN$688,AJ552)))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763" operator="containsText" id="{B322E266-C0FC-4F16-ADE4-8DCABD68B992}">
            <xm:f>NOT(ISERROR(SEARCH($AN$686,AJ552)))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764" operator="containsText" id="{AC4C05A0-FFEE-4154-B0BB-A2945111F6C0}">
            <xm:f>NOT(ISERROR(SEARCH($AN$685,AJ552)))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765" operator="containsText" id="{6A92663A-9988-47C1-9372-69B9853BF0B1}">
            <xm:f>NOT(ISERROR(SEARCH($AN$684,AJ552)))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766" operator="containsText" id="{25B11ED9-6CD8-4652-A985-97950CBF7A2E}">
            <xm:f>NOT(ISERROR(SEARCH($AN$683,AJ552)))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767" operator="containsText" id="{C060253E-7FAB-419B-ACBB-3F3200CA8263}">
            <xm:f>NOT(ISERROR(SEARCH($AN$682,AJ552)))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AJ552</xm:sqref>
        </x14:conditionalFormatting>
        <x14:conditionalFormatting xmlns:xm="http://schemas.microsoft.com/office/excel/2006/main">
          <x14:cfRule type="containsText" priority="3838" operator="containsText" id="{BF7A20F1-6269-498C-B4F7-FB5CDE14E68D}">
            <xm:f>NOT(ISERROR(SEARCH($AN$682,AJ552)))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839" operator="containsText" id="{41ED9EA0-197C-451A-81F9-52CB2085814C}">
            <xm:f>NOT(ISERROR(SEARCH($AN$681,AJ552)))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840" operator="containsText" id="{DC5B0B48-7E06-4B51-9803-84E532FE1FD2}">
            <xm:f>NOT(ISERROR(SEARCH($AN$680,AJ552)))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841" operator="containsText" id="{FF3A89CF-7406-4966-9E86-47554B24DA6D}">
            <xm:f>NOT(ISERROR(SEARCH($AN$678,AJ552)))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842" operator="containsText" id="{E39FDF06-1CA9-4C07-8A4D-2856612F252B}">
            <xm:f>NOT(ISERROR(SEARCH($AN$679,AJ552)))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AJ552:AJ553</xm:sqref>
        </x14:conditionalFormatting>
        <x14:conditionalFormatting xmlns:xm="http://schemas.microsoft.com/office/excel/2006/main">
          <x14:cfRule type="containsText" priority="3832" operator="containsText" id="{9905935D-EBCC-4F26-BDA3-37B7B95B8F9B}">
            <xm:f>NOT(ISERROR(SEARCH($AN$687,AJ552)))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833" operator="containsText" id="{62FB7660-5E3A-4F1C-A940-9BC621A967B6}">
            <xm:f>NOT(ISERROR(SEARCH($AN$688,AJ552)))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834" operator="containsText" id="{E04858FB-B332-4915-891B-7DD227DA1068}">
            <xm:f>NOT(ISERROR(SEARCH($AN$686,AJ552)))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835" operator="containsText" id="{27E7422B-6FD6-47ED-AF7B-E3B7FB24236E}">
            <xm:f>NOT(ISERROR(SEARCH($AN$685,AJ552)))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836" operator="containsText" id="{A4002D2A-B6B4-4F29-82C1-B00C677CCA72}">
            <xm:f>NOT(ISERROR(SEARCH($AN$684,AJ552)))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837" operator="containsText" id="{0E403704-9540-43D0-9A42-15A347AA6EDA}">
            <xm:f>NOT(ISERROR(SEARCH($AN$683,AJ552)))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861" operator="containsText" id="{000128BB-B6E2-40D0-99F2-57C9987DE123}">
            <xm:f>NOT(ISERROR(SEARCH($AN$681,AJ552)))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862" operator="containsText" id="{6ACF1F20-182A-4295-B743-60B65682F4EB}">
            <xm:f>NOT(ISERROR(SEARCH($AN$680,AJ552)))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863" operator="containsText" id="{9D4131E5-FC23-427E-9B2B-BE3DE17536EB}">
            <xm:f>NOT(ISERROR(SEARCH($AN$678,AJ552)))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864" operator="containsText" id="{58B231FD-30A6-422A-96F1-8C2534D55D6C}">
            <xm:f>NOT(ISERROR(SEARCH($AN$679,AJ552)))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AJ552:AJ554</xm:sqref>
        </x14:conditionalFormatting>
        <x14:conditionalFormatting xmlns:xm="http://schemas.microsoft.com/office/excel/2006/main">
          <x14:cfRule type="containsText" priority="3843" operator="containsText" id="{8D7AC4E2-E8BC-4599-AB0B-0A5DCE8E12DF}">
            <xm:f>NOT(ISERROR(SEARCH($AN$682,AJ553)))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857" operator="containsText" id="{429C952C-1253-4D42-9377-0BC04D0B12B4}">
            <xm:f>NOT(ISERROR(SEARCH($AN$681,AJ553)))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858" operator="containsText" id="{1F64DEB8-1D1F-4EB4-B819-75CF3225ED46}">
            <xm:f>NOT(ISERROR(SEARCH($AN$680,AJ553)))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859" operator="containsText" id="{47FEACB6-D3F3-48F2-B877-322E3866FC9B}">
            <xm:f>NOT(ISERROR(SEARCH($AN$678,AJ553)))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860" operator="containsText" id="{EC069D9B-6D97-4F72-83B2-52F24FF89F18}">
            <xm:f>NOT(ISERROR(SEARCH($AN$679,AJ553)))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AJ553:AJ554</xm:sqref>
        </x14:conditionalFormatting>
        <x14:conditionalFormatting xmlns:xm="http://schemas.microsoft.com/office/excel/2006/main">
          <x14:cfRule type="containsText" priority="3844" operator="containsText" id="{CED9DEC5-9414-46A6-8672-5ACAACF48A3B}">
            <xm:f>NOT(ISERROR(SEARCH($AN$690,AJ553)))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845" operator="containsText" id="{8A926F50-C718-4B11-A9F4-9561E801B768}">
            <xm:f>NOT(ISERROR(SEARCH($AN$704,AJ553)))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846" operator="containsText" id="{06A9DC48-BC64-42D6-B55F-D6E31D6C73FC}">
            <xm:f>NOT(ISERROR(SEARCH($AN$693,AJ553)))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847" operator="containsText" id="{57C32677-6634-476D-83AB-E11DDBE2893E}">
            <xm:f>NOT(ISERROR(SEARCH($AN$692,AJ553)))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848" operator="containsText" id="{47A95D8B-C18F-4BFE-AD33-9B979B29965D}">
            <xm:f>NOT(ISERROR(SEARCH($AN$691,AJ553)))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849" operator="containsText" id="{A2D8AF94-A842-498F-9AA8-56D05B7A2BB5}">
            <xm:f>NOT(ISERROR(SEARCH($AN$689,AJ553)))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850" operator="containsText" id="{46F4902E-FA5C-45F3-8906-F0C1A0A2F4A1}">
            <xm:f>NOT(ISERROR(SEARCH($AN$687,AJ553)))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851" operator="containsText" id="{7160AEA0-3887-4B80-952C-C5A35BBDA238}">
            <xm:f>NOT(ISERROR(SEARCH($AN$688,AJ553)))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852" operator="containsText" id="{7A43EEC4-76FB-4989-B1DD-47E032F96865}">
            <xm:f>NOT(ISERROR(SEARCH($AN$686,AJ553)))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853" operator="containsText" id="{3B5B2F13-B103-400B-B868-18A20D2BA81D}">
            <xm:f>NOT(ISERROR(SEARCH($AN$685,AJ553)))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854" operator="containsText" id="{FF68BD16-FA1A-41FA-810A-EBEFD7F6A485}">
            <xm:f>NOT(ISERROR(SEARCH($AN$684,AJ553)))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855" operator="containsText" id="{D6381D4B-1F7D-4232-AE61-71167E9DA71E}">
            <xm:f>NOT(ISERROR(SEARCH($AN$683,AJ553)))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856" operator="containsText" id="{148B2093-C1F0-4AD3-941E-F831D7582A6E}">
            <xm:f>NOT(ISERROR(SEARCH($AN$682,AJ553)))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AJ553:AJ555</xm:sqref>
        </x14:conditionalFormatting>
        <x14:conditionalFormatting xmlns:xm="http://schemas.microsoft.com/office/excel/2006/main">
          <x14:cfRule type="containsText" priority="3865" operator="containsText" id="{36FF5F8B-6ECE-4146-A41B-B4ADD6ED6C2A}">
            <xm:f>NOT(ISERROR(SEARCH($AN$690,AJ555)))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866" operator="containsText" id="{4982B151-5C51-4F80-8E7E-4A295B0F0772}">
            <xm:f>NOT(ISERROR(SEARCH($AN$704,AJ555)))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867" operator="containsText" id="{CFC4E611-80C4-43AD-8F7E-7CD53675AD31}">
            <xm:f>NOT(ISERROR(SEARCH($AN$693,AJ555)))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868" operator="containsText" id="{008F675F-F5E6-4F05-B2B1-4466DCA37270}">
            <xm:f>NOT(ISERROR(SEARCH($AN$692,AJ555)))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869" operator="containsText" id="{F4540719-A803-4C39-BA61-A8B845EAAB5E}">
            <xm:f>NOT(ISERROR(SEARCH($AN$691,AJ555)))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870" operator="containsText" id="{94188FB8-D577-47E2-9A10-3A8D78626AF9}">
            <xm:f>NOT(ISERROR(SEARCH($AN$689,AJ555)))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871" operator="containsText" id="{39055563-14D5-4C31-AD52-5072F7B608B4}">
            <xm:f>NOT(ISERROR(SEARCH($AN$687,AJ555)))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872" operator="containsText" id="{6B6B9F7F-6B81-48B6-AEAC-6A1256863E3F}">
            <xm:f>NOT(ISERROR(SEARCH($AN$688,AJ555)))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873" operator="containsText" id="{E0BBD4BA-3B41-4259-925B-480F2FFC4774}">
            <xm:f>NOT(ISERROR(SEARCH($AN$686,AJ555)))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874" operator="containsText" id="{6776EE20-CD36-4E4B-871E-675588FE4BE0}">
            <xm:f>NOT(ISERROR(SEARCH($AN$685,AJ555)))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875" operator="containsText" id="{360E21AB-076D-40A3-A95E-17482B3FBFC5}">
            <xm:f>NOT(ISERROR(SEARCH($AN$684,AJ555)))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876" operator="containsText" id="{E9308B9F-80AB-491C-831A-73AC55311A1F}">
            <xm:f>NOT(ISERROR(SEARCH($AN$683,AJ555)))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877" operator="containsText" id="{C356674D-A986-4364-BE89-A04D14AA4AFE}">
            <xm:f>NOT(ISERROR(SEARCH($AN$682,AJ555)))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878" operator="containsText" id="{DF3CE46B-FFE4-459B-8AB8-85B1DB749A17}">
            <xm:f>NOT(ISERROR(SEARCH($AN$681,AJ555)))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879" operator="containsText" id="{713B15D9-766A-426E-9DAD-B7B4B0496D58}">
            <xm:f>NOT(ISERROR(SEARCH($AN$680,AJ555)))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880" operator="containsText" id="{3AC1401D-F339-4FF7-9529-D535795573C0}">
            <xm:f>NOT(ISERROR(SEARCH($AN$678,AJ555)))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881" operator="containsText" id="{57C7F667-615D-4B59-8306-5E4AD49B9010}">
            <xm:f>NOT(ISERROR(SEARCH($AN$679,AJ555)))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882" operator="containsText" id="{55862179-BE99-4157-95CA-B768AF46DDE1}">
            <xm:f>NOT(ISERROR(SEARCH($AN$681,AJ555)))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883" operator="containsText" id="{43DA96A9-B251-4721-8213-A6DCD68202A7}">
            <xm:f>NOT(ISERROR(SEARCH($AN$680,AJ555)))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884" operator="containsText" id="{D0122B7A-52CF-42B6-953D-C674F7CDAE8D}">
            <xm:f>NOT(ISERROR(SEARCH($AN$678,AJ555)))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885" operator="containsText" id="{32119E25-6E62-420E-AC7E-FBC7114041CF}">
            <xm:f>NOT(ISERROR(SEARCH($AN$679,AJ555)))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AJ555</xm:sqref>
        </x14:conditionalFormatting>
        <x14:conditionalFormatting xmlns:xm="http://schemas.microsoft.com/office/excel/2006/main">
          <x14:cfRule type="containsText" priority="11019" operator="containsText" id="{8D9D3523-E5B7-4160-966B-8F5C599D51C5}">
            <xm:f>NOT(ISERROR(SEARCH($AN$688,AJ647)))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020" operator="containsText" id="{481A9202-F4D6-4903-A539-55A526B576F7}">
            <xm:f>NOT(ISERROR(SEARCH($AN$686,AJ647)))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021" operator="containsText" id="{2F0D644F-1E01-4E2B-B9DB-EA7D975FC1E6}">
            <xm:f>NOT(ISERROR(SEARCH($AN$685,AJ647)))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022" operator="containsText" id="{DF1A0413-034A-4FB6-AD05-11257C053929}">
            <xm:f>NOT(ISERROR(SEARCH($AN$684,AJ647)))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023" operator="containsText" id="{3621F28B-DCA6-4CCB-BC26-A6ADA6966F08}">
            <xm:f>NOT(ISERROR(SEARCH($AN$683,AJ647)))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024" operator="containsText" id="{5C4873F5-F769-483C-ABB6-741F5360ACAB}">
            <xm:f>NOT(ISERROR(SEARCH($AN$682,AJ647)))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029" operator="containsText" id="{6D55B495-FE11-4421-AC5A-53EA91BB7B38}">
            <xm:f>NOT(ISERROR(SEARCH($AN$681,AJ647)))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030" operator="containsText" id="{5596F617-9EAE-4FF7-A9F0-95B8F7921AFF}">
            <xm:f>NOT(ISERROR(SEARCH($AN$680,AJ647)))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031" operator="containsText" id="{CBC943A2-77B4-4FF8-B293-21F423F1A2D0}">
            <xm:f>NOT(ISERROR(SEARCH($AN$678,AJ647)))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032" operator="containsText" id="{438E6EBD-2F26-4A2D-BC50-A19C4DAFD0A2}">
            <xm:f>NOT(ISERROR(SEARCH($AN$679,AJ647)))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AJ647</xm:sqref>
        </x14:conditionalFormatting>
        <x14:conditionalFormatting xmlns:xm="http://schemas.microsoft.com/office/excel/2006/main">
          <x14:cfRule type="containsText" priority="3444" operator="containsText" id="{63FD81B0-1DD5-4E6A-B7E5-52415A071DE6}">
            <xm:f>NOT(ISERROR(SEARCH($AN$687,AJ648)))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445" operator="containsText" id="{EAD8B3A6-70A9-416E-BB2F-93B44C70AE31}">
            <xm:f>NOT(ISERROR(SEARCH($AN$688,AJ648)))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446" operator="containsText" id="{83C24927-C101-48E9-BBA5-EC1EA67EB5B3}">
            <xm:f>NOT(ISERROR(SEARCH($AN$686,AJ648)))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447" operator="containsText" id="{C879BC44-1911-4194-8C85-F39152BE65A6}">
            <xm:f>NOT(ISERROR(SEARCH($AN$685,AJ648)))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448" operator="containsText" id="{A9265AA2-C9FA-4184-8D29-49561310EAEE}">
            <xm:f>NOT(ISERROR(SEARCH($AN$684,AJ648)))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449" operator="containsText" id="{A1DD3CB9-14BD-49CE-8156-939A72D7F37C}">
            <xm:f>NOT(ISERROR(SEARCH($AN$683,AJ648)))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450" operator="containsText" id="{D19136CB-1302-4ACA-B856-39DA233BCA35}">
            <xm:f>NOT(ISERROR(SEARCH($AN$682,AJ648)))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AJ648</xm:sqref>
        </x14:conditionalFormatting>
        <x14:conditionalFormatting xmlns:xm="http://schemas.microsoft.com/office/excel/2006/main">
          <x14:cfRule type="containsText" priority="3521" operator="containsText" id="{58657E76-4A72-4571-B727-934E3BF9B830}">
            <xm:f>NOT(ISERROR(SEARCH($AN$682,AJ648)))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522" operator="containsText" id="{BC88B30D-67A5-4D87-8922-04F79622D567}">
            <xm:f>NOT(ISERROR(SEARCH($AN$681,AJ648)))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523" operator="containsText" id="{1EE57F68-4D17-457C-89B9-F27EB4E3C9DB}">
            <xm:f>NOT(ISERROR(SEARCH($AN$680,AJ648)))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524" operator="containsText" id="{478065DB-1F34-487B-8A61-9100C1F7EB21}">
            <xm:f>NOT(ISERROR(SEARCH($AN$678,AJ648)))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525" operator="containsText" id="{58F3D63F-EB4D-4F80-935D-9A5FDCB62FD0}">
            <xm:f>NOT(ISERROR(SEARCH($AN$679,AJ648)))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AJ648:AJ649</xm:sqref>
        </x14:conditionalFormatting>
        <x14:conditionalFormatting xmlns:xm="http://schemas.microsoft.com/office/excel/2006/main">
          <x14:cfRule type="containsText" priority="3515" operator="containsText" id="{A45158D6-0F06-4A2C-A3C1-38F50EA4EAA5}">
            <xm:f>NOT(ISERROR(SEARCH($AN$687,AJ648)))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516" operator="containsText" id="{4DC78789-8ACB-49D6-A00B-2E358E434EFE}">
            <xm:f>NOT(ISERROR(SEARCH($AN$688,AJ648)))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517" operator="containsText" id="{357A34DA-284E-472F-B025-697CE2294C7E}">
            <xm:f>NOT(ISERROR(SEARCH($AN$686,AJ648)))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518" operator="containsText" id="{C8F49714-F67D-4D78-885E-67E50EC3FF05}">
            <xm:f>NOT(ISERROR(SEARCH($AN$685,AJ648)))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519" operator="containsText" id="{ED5C169F-813D-4E39-AB23-0B177BD518F7}">
            <xm:f>NOT(ISERROR(SEARCH($AN$684,AJ648)))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520" operator="containsText" id="{453D403F-4345-4590-8387-7FD8E95E164A}">
            <xm:f>NOT(ISERROR(SEARCH($AN$683,AJ648)))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544" operator="containsText" id="{F3B4EE5A-286A-4D6C-80B3-69978E607B19}">
            <xm:f>NOT(ISERROR(SEARCH($AN$681,AJ648)))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545" operator="containsText" id="{478ABDB5-8140-49FC-9F6F-57D3704DAD89}">
            <xm:f>NOT(ISERROR(SEARCH($AN$680,AJ648)))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546" operator="containsText" id="{3337CA90-BBCB-4AC9-9462-38B6D6FC31CB}">
            <xm:f>NOT(ISERROR(SEARCH($AN$678,AJ648)))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547" operator="containsText" id="{4437FB21-34A3-4A8F-A539-89B599C3D305}">
            <xm:f>NOT(ISERROR(SEARCH($AN$679,AJ648)))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AJ648:AJ650</xm:sqref>
        </x14:conditionalFormatting>
        <x14:conditionalFormatting xmlns:xm="http://schemas.microsoft.com/office/excel/2006/main">
          <x14:cfRule type="containsText" priority="3526" operator="containsText" id="{AFB40503-FBC9-4340-8528-C05C92B40029}">
            <xm:f>NOT(ISERROR(SEARCH($AN$682,AJ649)))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540" operator="containsText" id="{B5760753-E556-4241-9BFF-DD9CE023D02B}">
            <xm:f>NOT(ISERROR(SEARCH($AN$681,AJ649)))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541" operator="containsText" id="{60E01B21-9032-4EE6-B615-72B5F0A92A8C}">
            <xm:f>NOT(ISERROR(SEARCH($AN$680,AJ649)))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542" operator="containsText" id="{2A08EDF1-F568-4B8A-8325-3F217D890B0A}">
            <xm:f>NOT(ISERROR(SEARCH($AN$678,AJ649)))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543" operator="containsText" id="{8618D3F5-26C7-47CE-A590-458314DD4231}">
            <xm:f>NOT(ISERROR(SEARCH($AN$679,AJ649)))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AJ649:AJ650</xm:sqref>
        </x14:conditionalFormatting>
        <x14:conditionalFormatting xmlns:xm="http://schemas.microsoft.com/office/excel/2006/main">
          <x14:cfRule type="containsText" priority="3527" operator="containsText" id="{2BDE6178-DF7A-4522-AE8B-919E6986948F}">
            <xm:f>NOT(ISERROR(SEARCH($AN$690,AJ649)))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528" operator="containsText" id="{B0C1B847-C13F-4CD6-91B2-A1736DF4A4E5}">
            <xm:f>NOT(ISERROR(SEARCH($AN$704,AJ649)))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529" operator="containsText" id="{2743EF0D-4488-4F6B-8039-9E8FBDC6B6DC}">
            <xm:f>NOT(ISERROR(SEARCH($AN$693,AJ649)))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530" operator="containsText" id="{860624B1-790E-4E77-A98F-954779A2ECD8}">
            <xm:f>NOT(ISERROR(SEARCH($AN$692,AJ649)))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531" operator="containsText" id="{C54310C3-1E37-40B9-B84D-211B7D62329B}">
            <xm:f>NOT(ISERROR(SEARCH($AN$691,AJ649)))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532" operator="containsText" id="{321514DB-BDBB-4F5E-9DB7-9A1BB13BFCF3}">
            <xm:f>NOT(ISERROR(SEARCH($AN$689,AJ649)))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533" operator="containsText" id="{BF6E7295-AE70-47AD-97B6-8A517DD1CBA0}">
            <xm:f>NOT(ISERROR(SEARCH($AN$687,AJ649)))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534" operator="containsText" id="{03BFB59E-B6AF-45D2-A3E9-9A7402339D28}">
            <xm:f>NOT(ISERROR(SEARCH($AN$688,AJ649)))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535" operator="containsText" id="{95C3A512-4474-4C5B-A79B-85652FE28D2C}">
            <xm:f>NOT(ISERROR(SEARCH($AN$686,AJ649)))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536" operator="containsText" id="{2107D89E-D927-45F9-8C0C-F848F20F05EB}">
            <xm:f>NOT(ISERROR(SEARCH($AN$685,AJ649)))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537" operator="containsText" id="{4BAB2277-1C5C-466A-82F1-D4CA18D3DFB2}">
            <xm:f>NOT(ISERROR(SEARCH($AN$684,AJ649)))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538" operator="containsText" id="{5D9C3452-5156-49DE-BC63-DA53B6E0E2D1}">
            <xm:f>NOT(ISERROR(SEARCH($AN$683,AJ649)))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539" operator="containsText" id="{07FF63CC-51B6-470B-9B10-D362126959FE}">
            <xm:f>NOT(ISERROR(SEARCH($AN$682,AJ649)))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AJ649:AJ651</xm:sqref>
        </x14:conditionalFormatting>
        <x14:conditionalFormatting xmlns:xm="http://schemas.microsoft.com/office/excel/2006/main">
          <x14:cfRule type="containsText" priority="3548" operator="containsText" id="{12C0AE98-79C7-4C4C-A12C-0E3C5C8D5F10}">
            <xm:f>NOT(ISERROR(SEARCH($AN$690,AJ651)))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549" operator="containsText" id="{85549503-031C-4035-80AF-15EAF6E57300}">
            <xm:f>NOT(ISERROR(SEARCH($AN$704,AJ651)))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550" operator="containsText" id="{AB339DAB-6F73-41FC-A07F-6E80EDE3332C}">
            <xm:f>NOT(ISERROR(SEARCH($AN$693,AJ651)))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551" operator="containsText" id="{E659615F-8216-431A-A1C6-6BECA1830F63}">
            <xm:f>NOT(ISERROR(SEARCH($AN$692,AJ651)))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552" operator="containsText" id="{06B1BEBD-22AD-42EF-AC56-D797006EE29C}">
            <xm:f>NOT(ISERROR(SEARCH($AN$691,AJ651)))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553" operator="containsText" id="{1DA6DC04-1A40-46AE-82A8-AA0EAFA9C3B9}">
            <xm:f>NOT(ISERROR(SEARCH($AN$689,AJ651)))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554" operator="containsText" id="{8F07DB7C-FECB-4618-BDF9-65346D92AAA5}">
            <xm:f>NOT(ISERROR(SEARCH($AN$687,AJ651)))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555" operator="containsText" id="{D592E4AA-E2AF-4279-A9AF-FD0A3C3F44A7}">
            <xm:f>NOT(ISERROR(SEARCH($AN$688,AJ651)))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556" operator="containsText" id="{488EC803-43C0-4A6A-B985-61F15DE70DDA}">
            <xm:f>NOT(ISERROR(SEARCH($AN$686,AJ651)))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557" operator="containsText" id="{752B4826-9F35-4F14-8B90-24CCDFBD03E5}">
            <xm:f>NOT(ISERROR(SEARCH($AN$685,AJ651)))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558" operator="containsText" id="{72D8E841-1FEC-42BA-8A94-B636CBE8D755}">
            <xm:f>NOT(ISERROR(SEARCH($AN$684,AJ651)))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559" operator="containsText" id="{C7B0AB00-9CB8-4199-A54F-7A2560D5CB59}">
            <xm:f>NOT(ISERROR(SEARCH($AN$683,AJ651)))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560" operator="containsText" id="{BAE0F6B3-ED2F-4321-B3CA-10EB8ACB6A67}">
            <xm:f>NOT(ISERROR(SEARCH($AN$682,AJ651)))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561" operator="containsText" id="{42212B7A-E3FB-450F-9C5E-BDCE87C4B53C}">
            <xm:f>NOT(ISERROR(SEARCH($AN$681,AJ651)))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562" operator="containsText" id="{C9F348AD-4C73-4EF2-A48D-E74148B45C6D}">
            <xm:f>NOT(ISERROR(SEARCH($AN$680,AJ651)))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563" operator="containsText" id="{ABA486AC-2CAB-42D8-83C2-DDECA64B1101}">
            <xm:f>NOT(ISERROR(SEARCH($AN$678,AJ651)))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564" operator="containsText" id="{2ED936DD-5BE5-4099-8E05-ECB6B7AB3AC5}">
            <xm:f>NOT(ISERROR(SEARCH($AN$679,AJ651)))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565" operator="containsText" id="{9F47DED8-61E0-4A07-A901-BA887BE20028}">
            <xm:f>NOT(ISERROR(SEARCH($AN$681,AJ651)))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566" operator="containsText" id="{677255F4-0A27-447E-AB6C-65F24A8FD206}">
            <xm:f>NOT(ISERROR(SEARCH($AN$680,AJ651)))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567" operator="containsText" id="{E158350D-3496-4AF5-8151-4E371A89342E}">
            <xm:f>NOT(ISERROR(SEARCH($AN$678,AJ651)))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568" operator="containsText" id="{D927E60D-A5F4-4D9C-948D-08638DA45F46}">
            <xm:f>NOT(ISERROR(SEARCH($AN$679,AJ651)))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AJ651</xm:sqref>
        </x14:conditionalFormatting>
        <x14:conditionalFormatting xmlns:xm="http://schemas.microsoft.com/office/excel/2006/main">
          <x14:cfRule type="containsText" priority="10670" operator="containsText" id="{EFA9D04A-634D-46A4-A948-96B40D4029BA}">
            <xm:f>NOT(ISERROR(SEARCH($AN$688,AJ743)))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671" operator="containsText" id="{76B7624E-1DE8-4F59-BA63-86F9B809168C}">
            <xm:f>NOT(ISERROR(SEARCH($AN$686,AJ743)))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672" operator="containsText" id="{7AAB63EB-2607-48CE-AB23-3C64F3413721}">
            <xm:f>NOT(ISERROR(SEARCH($AN$685,AJ743)))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673" operator="containsText" id="{6AE46889-E869-4FEA-8A7A-E5A33A793E20}">
            <xm:f>NOT(ISERROR(SEARCH($AN$684,AJ743)))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674" operator="containsText" id="{2CE61FD2-2E00-46E1-A638-4600F3BD9248}">
            <xm:f>NOT(ISERROR(SEARCH($AN$683,AJ743)))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675" operator="containsText" id="{0085365E-6E93-4DDA-90A7-DF74DD0D6963}">
            <xm:f>NOT(ISERROR(SEARCH($AN$682,AJ743)))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AJ743 AJ745:AJ747</xm:sqref>
        </x14:conditionalFormatting>
        <x14:conditionalFormatting xmlns:xm="http://schemas.microsoft.com/office/excel/2006/main">
          <x14:cfRule type="containsText" priority="10680" operator="containsText" id="{AA6F47A1-B3C1-4E0B-9BFF-75A1809DE8FA}">
            <xm:f>NOT(ISERROR(SEARCH($AN$681,AJ743)))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681" operator="containsText" id="{BFFBAA5F-4303-48D4-8217-ABB31079FE12}">
            <xm:f>NOT(ISERROR(SEARCH($AN$680,AJ743)))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682" operator="containsText" id="{D053BEDA-9CED-4602-AC2D-F373EAE07F4D}">
            <xm:f>NOT(ISERROR(SEARCH($AN$678,AJ743)))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683" operator="containsText" id="{96D98AD1-106D-4343-8211-4463C878A7AF}">
            <xm:f>NOT(ISERROR(SEARCH($AN$679,AJ743)))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AJ743:AJ746</xm:sqref>
        </x14:conditionalFormatting>
        <x14:conditionalFormatting xmlns:xm="http://schemas.microsoft.com/office/excel/2006/main">
          <x14:cfRule type="containsText" priority="10566" operator="containsText" id="{06393A43-7DE3-432E-A284-2C8C11335CE7}">
            <xm:f>NOT(ISERROR(SEARCH($AN$687,AJ744)))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567" operator="containsText" id="{688F0058-46DA-4F61-8D20-6A0D7F099E27}">
            <xm:f>NOT(ISERROR(SEARCH($AN$688,AJ744)))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568" operator="containsText" id="{39E4A0B2-8F3A-4FCE-9875-8BF40DF7DCE3}">
            <xm:f>NOT(ISERROR(SEARCH($AN$686,AJ744)))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569" operator="containsText" id="{66732A9C-A4A4-4E8B-AFBA-5D43BC23B8FE}">
            <xm:f>NOT(ISERROR(SEARCH($AN$685,AJ744)))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570" operator="containsText" id="{E21C6969-D97A-4ED1-B344-7A665DA95A41}">
            <xm:f>NOT(ISERROR(SEARCH($AN$684,AJ744)))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571" operator="containsText" id="{165A15F9-40B6-4CAA-9F98-F23D5DAB90B1}">
            <xm:f>NOT(ISERROR(SEARCH($AN$683,AJ744)))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572" operator="containsText" id="{4B6E728F-950A-41BA-AF41-ACFFD529238A}">
            <xm:f>NOT(ISERROR(SEARCH($AN$682,AJ744)))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AJ744</xm:sqref>
        </x14:conditionalFormatting>
        <x14:conditionalFormatting xmlns:xm="http://schemas.microsoft.com/office/excel/2006/main">
          <x14:cfRule type="containsText" priority="10657" operator="containsText" id="{91CFBBF6-0B33-43A0-B037-DE1EFC980B17}">
            <xm:f>NOT(ISERROR(SEARCH($AN$682,AJ744)))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658" operator="containsText" id="{0E15FF65-5DE2-4E8A-BFA1-8F3770D6315B}">
            <xm:f>NOT(ISERROR(SEARCH($AN$681,AJ744)))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659" operator="containsText" id="{355D8447-C855-442F-B7C4-47E407C5D038}">
            <xm:f>NOT(ISERROR(SEARCH($AN$680,AJ744)))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660" operator="containsText" id="{0B8891E7-C45F-453B-8BB0-E132D71FDE04}">
            <xm:f>NOT(ISERROR(SEARCH($AN$678,AJ744)))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661" operator="containsText" id="{36227F53-415F-49F8-87D9-866E0E1C5E58}">
            <xm:f>NOT(ISERROR(SEARCH($AN$679,AJ744)))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AJ744:AJ745</xm:sqref>
        </x14:conditionalFormatting>
        <x14:conditionalFormatting xmlns:xm="http://schemas.microsoft.com/office/excel/2006/main">
          <x14:cfRule type="containsText" priority="10652" operator="containsText" id="{92A9A2B9-E16F-48BB-9232-E2ED353AB976}">
            <xm:f>NOT(ISERROR(SEARCH($AN$688,AJ744)))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653" operator="containsText" id="{5F169481-8DF9-4C16-97D3-4F73567E1A09}">
            <xm:f>NOT(ISERROR(SEARCH($AN$686,AJ744)))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654" operator="containsText" id="{1145201B-FC46-4873-8F9A-EF879921EDFD}">
            <xm:f>NOT(ISERROR(SEARCH($AN$685,AJ744)))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655" operator="containsText" id="{7394DC16-3540-467E-A484-A353BC8C4A43}">
            <xm:f>NOT(ISERROR(SEARCH($AN$684,AJ744)))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656" operator="containsText" id="{3AD25E74-684A-45E3-B172-CA5CD90C4A9B}">
            <xm:f>NOT(ISERROR(SEARCH($AN$683,AJ744)))</xm:f>
            <xm:f>$AN$683</xm:f>
            <x14:dxf>
              <fill>
                <patternFill>
                  <bgColor rgb="FF0070C0"/>
                </patternFill>
              </fill>
            </x14:dxf>
          </x14:cfRule>
          <xm:sqref>AJ744:AJ746</xm:sqref>
        </x14:conditionalFormatting>
        <x14:conditionalFormatting xmlns:xm="http://schemas.microsoft.com/office/excel/2006/main">
          <x14:cfRule type="containsText" priority="10662" operator="containsText" id="{4D9521D3-08C0-491F-8B20-39A1D0A5C5A3}">
            <xm:f>NOT(ISERROR(SEARCH($AN$682,AJ745)))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676" operator="containsText" id="{406512E7-59DE-4B1C-847C-5B9C079AE24A}">
            <xm:f>NOT(ISERROR(SEARCH($AN$681,AJ745)))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677" operator="containsText" id="{443CBB52-D378-4B07-A92E-55749B3BD486}">
            <xm:f>NOT(ISERROR(SEARCH($AN$680,AJ745)))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678" operator="containsText" id="{72FB819C-1AAD-44F2-B412-5A2DC33C5A4E}">
            <xm:f>NOT(ISERROR(SEARCH($AN$678,AJ745)))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679" operator="containsText" id="{9705E210-91DD-43B1-A125-BDEF42CE5C45}">
            <xm:f>NOT(ISERROR(SEARCH($AN$679,AJ745)))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AJ745:AJ746</xm:sqref>
        </x14:conditionalFormatting>
        <x14:conditionalFormatting xmlns:xm="http://schemas.microsoft.com/office/excel/2006/main">
          <x14:cfRule type="containsText" priority="10663" operator="containsText" id="{44B38475-1607-4C6A-BB3F-D41CE00525BE}">
            <xm:f>NOT(ISERROR(SEARCH($AN$690,AJ745)))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0664" operator="containsText" id="{EB55F758-33AE-4194-90BE-EA89041E59DA}">
            <xm:f>NOT(ISERROR(SEARCH($AN$704,AJ745)))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0665" operator="containsText" id="{2E89F703-44DC-41AB-92E9-5188FE659EB1}">
            <xm:f>NOT(ISERROR(SEARCH($AN$693,AJ745)))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0666" operator="containsText" id="{F2243B00-95E8-45A2-9D9E-CBDFDC316597}">
            <xm:f>NOT(ISERROR(SEARCH($AN$692,AJ745)))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667" operator="containsText" id="{66F8E92C-E4D0-41F8-B02F-69CDEA3BADC7}">
            <xm:f>NOT(ISERROR(SEARCH($AN$691,AJ745)))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0668" operator="containsText" id="{8E0823C1-76F8-4D1C-879E-46F57ACD02F4}">
            <xm:f>NOT(ISERROR(SEARCH($AN$689,AJ745)))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0669" operator="containsText" id="{CEDE6DA1-7310-4C29-8760-BB3FDC7A56A6}">
            <xm:f>NOT(ISERROR(SEARCH($AN$687,AJ745)))</xm:f>
            <xm:f>$AN$687</xm:f>
            <x14:dxf>
              <fill>
                <patternFill>
                  <bgColor rgb="FFD0F84E"/>
                </patternFill>
              </fill>
            </x14:dxf>
          </x14:cfRule>
          <xm:sqref>AJ745:AJ747</xm:sqref>
        </x14:conditionalFormatting>
        <x14:conditionalFormatting xmlns:xm="http://schemas.microsoft.com/office/excel/2006/main">
          <x14:cfRule type="containsText" priority="10684" operator="containsText" id="{E0CBBAF1-DC8D-4DDA-9B91-98FC19C1EB83}">
            <xm:f>NOT(ISERROR(SEARCH($AN$690,AJ747)))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0685" operator="containsText" id="{F6BCA77E-335D-4C68-AF5A-3A078D6AFE1C}">
            <xm:f>NOT(ISERROR(SEARCH($AN$704,AJ747)))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0686" operator="containsText" id="{CC9DCAC5-3A6B-427C-BBBA-1597E8F807F2}">
            <xm:f>NOT(ISERROR(SEARCH($AN$693,AJ747)))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0687" operator="containsText" id="{FE739816-9DB3-4EA9-B95F-8495D15BE9B2}">
            <xm:f>NOT(ISERROR(SEARCH($AN$692,AJ747)))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688" operator="containsText" id="{8DF16912-0A72-449F-B1B6-F1F2320ED00C}">
            <xm:f>NOT(ISERROR(SEARCH($AN$691,AJ747)))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0689" operator="containsText" id="{6F6CDD7B-BA55-457B-A2C1-67F07C76057D}">
            <xm:f>NOT(ISERROR(SEARCH($AN$689,AJ747)))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0690" operator="containsText" id="{650A322B-79DC-4028-B9B2-660FAE4AFD4A}">
            <xm:f>NOT(ISERROR(SEARCH($AN$687,AJ747)))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691" operator="containsText" id="{E49F4905-FF6B-469B-80F4-045576C46C5D}">
            <xm:f>NOT(ISERROR(SEARCH($AN$688,AJ747)))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692" operator="containsText" id="{1C80F2B2-12C3-405B-BC64-9958097A0D7E}">
            <xm:f>NOT(ISERROR(SEARCH($AN$686,AJ747)))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693" operator="containsText" id="{16E01910-EBF7-4C2A-B0EF-C5965DE92F1A}">
            <xm:f>NOT(ISERROR(SEARCH($AN$685,AJ747)))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694" operator="containsText" id="{4082C863-5AAD-44F8-A786-9F2984A06112}">
            <xm:f>NOT(ISERROR(SEARCH($AN$684,AJ747)))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695" operator="containsText" id="{11BBFA4F-02F2-42C8-A051-63FBCD6C369E}">
            <xm:f>NOT(ISERROR(SEARCH($AN$683,AJ747)))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696" operator="containsText" id="{9FD915FB-D271-41EE-8DF5-CB727395A30E}">
            <xm:f>NOT(ISERROR(SEARCH($AN$682,AJ747)))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697" operator="containsText" id="{C2DC90AA-FC24-4DA0-92DD-BB9070334B99}">
            <xm:f>NOT(ISERROR(SEARCH($AN$681,AJ747)))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698" operator="containsText" id="{07180A75-CC66-42E6-9DDE-AA54C4FE97FA}">
            <xm:f>NOT(ISERROR(SEARCH($AN$680,AJ747)))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699" operator="containsText" id="{14511649-F9A0-4B2F-A89A-86D48930666D}">
            <xm:f>NOT(ISERROR(SEARCH($AN$678,AJ747)))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700" operator="containsText" id="{AB62B6AB-5AD0-455E-A00A-1CD684EAA88E}">
            <xm:f>NOT(ISERROR(SEARCH($AN$679,AJ747)))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0701" operator="containsText" id="{E3309CEC-DC02-497A-9286-8962AAD40D18}">
            <xm:f>NOT(ISERROR(SEARCH($AN$681,AJ747)))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702" operator="containsText" id="{16CFB904-13B8-4117-8BFD-F1A95CCE95BB}">
            <xm:f>NOT(ISERROR(SEARCH($AN$680,AJ747)))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703" operator="containsText" id="{8D24334E-CA1C-481C-9319-8E9FD90B7708}">
            <xm:f>NOT(ISERROR(SEARCH($AN$678,AJ747)))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704" operator="containsText" id="{9F429E26-294E-4BE6-AE07-639D817B4B2E}">
            <xm:f>NOT(ISERROR(SEARCH($AN$679,AJ747)))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AJ747</xm:sqref>
        </x14:conditionalFormatting>
        <x14:conditionalFormatting xmlns:xm="http://schemas.microsoft.com/office/excel/2006/main">
          <x14:cfRule type="containsText" priority="21390" operator="containsText" id="{74497530-AC96-4B3F-AAC3-AFC13D139A90}">
            <xm:f>NOT(ISERROR(SEARCH($AN$681,AK28)))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391" operator="containsText" id="{9DD16718-5EE7-411A-9D96-146025CC509E}">
            <xm:f>NOT(ISERROR(SEARCH($AN$680,AK28)))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392" operator="containsText" id="{C71C0451-79D0-49C4-B409-7B50850A0900}">
            <xm:f>NOT(ISERROR(SEARCH($AN$678,AK28)))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393" operator="containsText" id="{C738151D-C007-4175-95EA-B085D8C54F15}">
            <xm:f>NOT(ISERROR(SEARCH($AN$679,AK28)))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1394" operator="containsText" id="{73D585F5-A783-4407-88DC-D3A8A1F6EFF6}">
            <xm:f>NOT(ISERROR(SEARCH($AN$686,AK28)))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395" operator="containsText" id="{D7E44445-FE86-4734-831F-59DA1C1C0E56}">
            <xm:f>NOT(ISERROR(SEARCH($AN$685,AK28)))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396" operator="containsText" id="{18081367-6E50-42E7-A8CB-3CA0CEDE27A1}">
            <xm:f>NOT(ISERROR(SEARCH($AN$684,AK28)))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397" operator="containsText" id="{A10A7D90-1920-42DA-848F-3806FCF21BC9}">
            <xm:f>NOT(ISERROR(SEARCH($AN$683,AK28)))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398" operator="containsText" id="{8BE4740F-6F50-43E9-B6CB-8E3DDBFD0241}">
            <xm:f>NOT(ISERROR(SEARCH($AN$682,AK28)))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AK28</xm:sqref>
        </x14:conditionalFormatting>
        <x14:conditionalFormatting xmlns:xm="http://schemas.microsoft.com/office/excel/2006/main">
          <x14:cfRule type="containsText" priority="13027" operator="containsText" id="{354B59BD-046F-4741-BAE6-D92E751BDD3A}">
            <xm:f>NOT(ISERROR(SEARCH($AN$687,AK71)))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3028" operator="containsText" id="{676F0611-1C64-4EDE-89B8-ED82894C90AB}">
            <xm:f>NOT(ISERROR(SEARCH($AN$688,AK71)))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3029" operator="containsText" id="{37D8B03C-767F-42EB-AF23-E070CAFD5235}">
            <xm:f>NOT(ISERROR(SEARCH($AN$686,AK71)))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030" operator="containsText" id="{3BE108EB-99A3-4B31-B806-39B92425DFB0}">
            <xm:f>NOT(ISERROR(SEARCH($AN$685,AK71)))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3031" operator="containsText" id="{7E270C45-6C13-42F7-8657-C72C55C4D3F5}">
            <xm:f>NOT(ISERROR(SEARCH($AN$684,AK71)))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032" operator="containsText" id="{0D2B36A4-2188-4BE1-A3F3-4F1DE0C77805}">
            <xm:f>NOT(ISERROR(SEARCH($AN$683,AK71)))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3033" operator="containsText" id="{B2979CCD-3978-42B5-A08B-6EE0365D9205}">
            <xm:f>NOT(ISERROR(SEARCH($AN$682,AK71)))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3034" operator="containsText" id="{3634669A-0DC9-4AEA-96B4-B77F2352D5AD}">
            <xm:f>NOT(ISERROR(SEARCH($AN$681,AK71)))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035" operator="containsText" id="{C12DE206-1B0B-4076-B389-5D7CDE62DBDC}">
            <xm:f>NOT(ISERROR(SEARCH($AN$680,AK71)))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036" operator="containsText" id="{C7A5AE54-E145-4542-8595-5A56F910FF45}">
            <xm:f>NOT(ISERROR(SEARCH($AN$678,AK71)))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037" operator="containsText" id="{16BCB683-BC72-47E6-85B4-0C1386CDBE94}">
            <xm:f>NOT(ISERROR(SEARCH($AN$679,AK71)))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AK71:AK72</xm:sqref>
        </x14:conditionalFormatting>
        <x14:conditionalFormatting xmlns:xm="http://schemas.microsoft.com/office/excel/2006/main">
          <x14:cfRule type="containsText" priority="13046" operator="containsText" id="{5568B621-F7CA-4E68-AE55-88A73543C1D5}">
            <xm:f>NOT(ISERROR(SEARCH($AN$681,AK72)))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047" operator="containsText" id="{CF97A112-BE42-48C6-9430-FC48A3215A9D}">
            <xm:f>NOT(ISERROR(SEARCH($AN$680,AK72)))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048" operator="containsText" id="{DE95003A-AAEF-4925-852B-FC35935D24C1}">
            <xm:f>NOT(ISERROR(SEARCH($AN$678,AK72)))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049" operator="containsText" id="{7981B6DF-6F10-4C6F-9774-37848FC7E3E9}">
            <xm:f>NOT(ISERROR(SEARCH($AN$679,AK72)))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AK72:AK73</xm:sqref>
        </x14:conditionalFormatting>
        <x14:conditionalFormatting xmlns:xm="http://schemas.microsoft.com/office/excel/2006/main">
          <x14:cfRule type="containsText" priority="13039" operator="containsText" id="{AA254C73-50D1-4780-9B69-6B8AABE4F355}">
            <xm:f>NOT(ISERROR(SEARCH($AN$687,AK72)))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3040" operator="containsText" id="{6481C795-3D22-4AEA-A3B1-C3D73B6382EC}">
            <xm:f>NOT(ISERROR(SEARCH($AN$688,AK72)))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3041" operator="containsText" id="{930BE9BD-04B9-4767-9557-539476D5EA40}">
            <xm:f>NOT(ISERROR(SEARCH($AN$686,AK72)))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042" operator="containsText" id="{7CEB9115-9807-4DF2-8E02-61753E0684D7}">
            <xm:f>NOT(ISERROR(SEARCH($AN$685,AK72)))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3043" operator="containsText" id="{B1A06F4A-60F5-4945-8FCE-B538A89E2198}">
            <xm:f>NOT(ISERROR(SEARCH($AN$684,AK72)))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044" operator="containsText" id="{69950FC7-BCF1-4B15-BFD5-03A53BB2E2C2}">
            <xm:f>NOT(ISERROR(SEARCH($AN$683,AK72)))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3045" operator="containsText" id="{D84E5C59-E7D0-4F14-93DE-DA36D58B9B78}">
            <xm:f>NOT(ISERROR(SEARCH($AN$682,AK72)))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AK72:AK74</xm:sqref>
        </x14:conditionalFormatting>
        <x14:conditionalFormatting xmlns:xm="http://schemas.microsoft.com/office/excel/2006/main">
          <x14:cfRule type="containsText" priority="13063" operator="containsText" id="{068EBABD-6B5B-45DA-AC11-611C2E1A4714}">
            <xm:f>NOT(ISERROR(SEARCH($AN$681,AK73)))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064" operator="containsText" id="{853779B9-99E1-46A4-BCF3-2119F9039523}">
            <xm:f>NOT(ISERROR(SEARCH($AN$680,AK73)))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065" operator="containsText" id="{3847C6B1-CF2E-4532-8D05-7A84A612C2FE}">
            <xm:f>NOT(ISERROR(SEARCH($AN$678,AK73)))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066" operator="containsText" id="{CA472568-A96D-4D1E-B46C-E625ABB82CEC}">
            <xm:f>NOT(ISERROR(SEARCH($AN$679,AK73)))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3067" operator="containsText" id="{653FB09F-560B-455E-9DB6-224049FB4C61}">
            <xm:f>NOT(ISERROR(SEARCH($AN$681,AK73)))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068" operator="containsText" id="{2B8F849F-9E9B-473F-A511-83EAFB199E26}">
            <xm:f>NOT(ISERROR(SEARCH($AN$680,AK73)))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069" operator="containsText" id="{87A24B71-09A9-453B-857C-B11A21DE70B8}">
            <xm:f>NOT(ISERROR(SEARCH($AN$678,AK73)))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070" operator="containsText" id="{6AA6C553-21CA-43AB-8DF2-BE377FE59FF7}">
            <xm:f>NOT(ISERROR(SEARCH($AN$679,AK73)))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AK73:AK74</xm:sqref>
        </x14:conditionalFormatting>
        <x14:conditionalFormatting xmlns:xm="http://schemas.microsoft.com/office/excel/2006/main">
          <x14:cfRule type="containsText" priority="13050" operator="containsText" id="{6325D33B-72A9-40AE-9F98-777CAECC1FFF}">
            <xm:f>NOT(ISERROR(SEARCH($AN$690,AK73)))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3051" operator="containsText" id="{A0751FC7-0E17-475E-9437-81FCE851B83A}">
            <xm:f>NOT(ISERROR(SEARCH($AN$704,AK73)))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3052" operator="containsText" id="{F6C82A4C-5DF1-4EE3-923A-2FD4C7E196C8}">
            <xm:f>NOT(ISERROR(SEARCH($AN$693,AK73)))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3053" operator="containsText" id="{CD5FD829-B00A-4C3B-8D02-7CFC07176BE7}">
            <xm:f>NOT(ISERROR(SEARCH($AN$692,AK73)))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054" operator="containsText" id="{44F6E169-51D6-4EA4-9FB6-52FA0D9C8EA9}">
            <xm:f>NOT(ISERROR(SEARCH($AN$691,AK73)))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3055" operator="containsText" id="{51A989A4-356A-462C-9FE4-E3504928EDC3}">
            <xm:f>NOT(ISERROR(SEARCH($AN$689,AK73)))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3056" operator="containsText" id="{3DA909C3-EFBB-4124-A464-96A0702F3AC7}">
            <xm:f>NOT(ISERROR(SEARCH($AN$687,AK73)))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3057" operator="containsText" id="{72AD03D8-69A4-415C-8487-BBB93E121592}">
            <xm:f>NOT(ISERROR(SEARCH($AN$688,AK73)))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3058" operator="containsText" id="{77AD35B1-8935-4D49-A255-5F513DA1C14F}">
            <xm:f>NOT(ISERROR(SEARCH($AN$686,AK73)))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059" operator="containsText" id="{43C2A505-B495-41DE-90E2-A6F80C9E601F}">
            <xm:f>NOT(ISERROR(SEARCH($AN$685,AK73)))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3060" operator="containsText" id="{D3275C6F-E42C-43ED-8AF7-3A3302806629}">
            <xm:f>NOT(ISERROR(SEARCH($AN$684,AK73)))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061" operator="containsText" id="{1EBAEC7B-E7FF-4451-AE85-A2854B15180F}">
            <xm:f>NOT(ISERROR(SEARCH($AN$683,AK73)))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3062" operator="containsText" id="{81C06600-A459-4916-B046-A81166B998FF}">
            <xm:f>NOT(ISERROR(SEARCH($AN$682,AK73)))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AK73:AK75</xm:sqref>
        </x14:conditionalFormatting>
        <x14:conditionalFormatting xmlns:xm="http://schemas.microsoft.com/office/excel/2006/main">
          <x14:cfRule type="containsText" priority="13071" operator="containsText" id="{3D61135F-781C-48A3-90E2-4D0BC2042965}">
            <xm:f>NOT(ISERROR(SEARCH($AN$690,AK75)))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3072" operator="containsText" id="{51F566E4-DC80-4FB4-8E62-C6B5692507E5}">
            <xm:f>NOT(ISERROR(SEARCH($AN$704,AK75)))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3073" operator="containsText" id="{A4E42F8D-A1A2-468F-BAD1-AB7760EC533E}">
            <xm:f>NOT(ISERROR(SEARCH($AN$693,AK75)))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3074" operator="containsText" id="{9DF6887A-DED8-496C-B86B-7D92D6C2534E}">
            <xm:f>NOT(ISERROR(SEARCH($AN$692,AK75)))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075" operator="containsText" id="{EF14BB98-E888-4D85-99D9-1A56B310D609}">
            <xm:f>NOT(ISERROR(SEARCH($AN$691,AK75)))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3076" operator="containsText" id="{D8B69BE7-6F70-4579-A361-037BE761660A}">
            <xm:f>NOT(ISERROR(SEARCH($AN$689,AK75)))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3077" operator="containsText" id="{D5EC643B-E08A-45EC-A781-0C5E8374A42A}">
            <xm:f>NOT(ISERROR(SEARCH($AN$687,AK75)))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3078" operator="containsText" id="{33D2C157-DB06-4833-9A8F-4852F12D9E52}">
            <xm:f>NOT(ISERROR(SEARCH($AN$688,AK75)))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3079" operator="containsText" id="{9E628582-DFF8-4361-8A60-C0354B18E5B9}">
            <xm:f>NOT(ISERROR(SEARCH($AN$686,AK75)))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080" operator="containsText" id="{D16A0D80-32E6-4860-9041-F4912BCE2995}">
            <xm:f>NOT(ISERROR(SEARCH($AN$685,AK75)))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3081" operator="containsText" id="{80AA2936-B87B-402D-9D3F-DCF29A4F7D26}">
            <xm:f>NOT(ISERROR(SEARCH($AN$684,AK75)))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3082" operator="containsText" id="{97429E72-1D29-4B32-AB9A-51E5B4983767}">
            <xm:f>NOT(ISERROR(SEARCH($AN$683,AK75)))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3083" operator="containsText" id="{EE3A6F21-38FA-4823-818B-E057C0C99256}">
            <xm:f>NOT(ISERROR(SEARCH($AN$682,AK75)))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3084" operator="containsText" id="{5D8B1ED2-8EF8-41FE-9165-AD20BFD6F2B4}">
            <xm:f>NOT(ISERROR(SEARCH($AN$681,AK75)))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085" operator="containsText" id="{48CFEF06-99CA-42DD-9FE9-A70AD6C5BB0A}">
            <xm:f>NOT(ISERROR(SEARCH($AN$680,AK75)))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086" operator="containsText" id="{4BB60254-56EB-49A7-A25F-0A584C129BA7}">
            <xm:f>NOT(ISERROR(SEARCH($AN$678,AK75)))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087" operator="containsText" id="{C7BC08C9-E96B-4107-8F6C-55B716626DCE}">
            <xm:f>NOT(ISERROR(SEARCH($AN$679,AK75)))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3088" operator="containsText" id="{25C2E833-79D8-48FF-820B-CCEF03C7E1CA}">
            <xm:f>NOT(ISERROR(SEARCH($AN$681,AK75)))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3089" operator="containsText" id="{D4633027-0874-4172-90F2-455AE30552CC}">
            <xm:f>NOT(ISERROR(SEARCH($AN$680,AK75)))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090" operator="containsText" id="{D092A622-F2D8-4270-B9DA-B765B338F3AC}">
            <xm:f>NOT(ISERROR(SEARCH($AN$678,AK75)))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3091" operator="containsText" id="{05CE5235-269B-469F-87D1-012B2B901FC8}">
            <xm:f>NOT(ISERROR(SEARCH($AN$679,AK75)))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AK75</xm:sqref>
        </x14:conditionalFormatting>
        <x14:conditionalFormatting xmlns:xm="http://schemas.microsoft.com/office/excel/2006/main">
          <x14:cfRule type="containsText" priority="21339" operator="containsText" id="{A0505722-EC49-4D8A-AAD1-850CD7240A37}">
            <xm:f>NOT(ISERROR(SEARCH($AN$681,AK124)))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340" operator="containsText" id="{1173EDC4-1B36-4190-85B1-33CEB75F70CC}">
            <xm:f>NOT(ISERROR(SEARCH($AN$680,AK124)))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341" operator="containsText" id="{2734C781-6AC9-4842-850D-FF88A007D46C}">
            <xm:f>NOT(ISERROR(SEARCH($AN$678,AK124)))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342" operator="containsText" id="{2BB33CD3-09AD-4F92-A155-80AFC2B32DEC}">
            <xm:f>NOT(ISERROR(SEARCH($AN$679,AK124)))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1343" operator="containsText" id="{062CD1B7-A461-4064-AEAA-36688DC2F6FC}">
            <xm:f>NOT(ISERROR(SEARCH($AN$686,AK124)))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344" operator="containsText" id="{39FA6ECE-0C8B-41C7-9598-B06A419A6E98}">
            <xm:f>NOT(ISERROR(SEARCH($AN$685,AK124)))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345" operator="containsText" id="{65E13388-CBD9-45DD-B6DF-8EB7DC2D1A41}">
            <xm:f>NOT(ISERROR(SEARCH($AN$684,AK124)))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346" operator="containsText" id="{ECE482B8-2453-4B00-ADDD-AF0DFE0F6935}">
            <xm:f>NOT(ISERROR(SEARCH($AN$683,AK124)))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347" operator="containsText" id="{41577A74-FEED-4C52-AFE8-6D342842D06F}">
            <xm:f>NOT(ISERROR(SEARCH($AN$682,AK124)))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AK124</xm:sqref>
        </x14:conditionalFormatting>
        <x14:conditionalFormatting xmlns:xm="http://schemas.microsoft.com/office/excel/2006/main">
          <x14:cfRule type="containsText" priority="12679" operator="containsText" id="{1E634652-9674-43A9-B655-84B5BBC0683E}">
            <xm:f>NOT(ISERROR(SEARCH($AN$688,AK167)))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680" operator="containsText" id="{69B449E7-9F55-404A-9DD7-2730AB0753DE}">
            <xm:f>NOT(ISERROR(SEARCH($AN$686,AK167)))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681" operator="containsText" id="{EE711514-E688-4D0F-999B-000CDC9717A4}">
            <xm:f>NOT(ISERROR(SEARCH($AN$685,AK167)))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682" operator="containsText" id="{92EE91CC-88BE-4F83-BBD9-BB5A54437760}">
            <xm:f>NOT(ISERROR(SEARCH($AN$684,AK167)))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683" operator="containsText" id="{E82A6117-B014-444E-9781-6579AD5B357D}">
            <xm:f>NOT(ISERROR(SEARCH($AN$683,AK167)))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684" operator="containsText" id="{D7DF32F7-95CE-4102-9DD7-67800EB37083}">
            <xm:f>NOT(ISERROR(SEARCH($AN$682,AK167)))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685" operator="containsText" id="{05F64607-D9BF-45F1-A59C-74748C72E967}">
            <xm:f>NOT(ISERROR(SEARCH($AN$681,AK167)))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686" operator="containsText" id="{0DB9160F-D57E-4227-B2CC-8589AA87DE78}">
            <xm:f>NOT(ISERROR(SEARCH($AN$680,AK167)))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687" operator="containsText" id="{980AF4ED-74A9-488C-95C9-E41BE8D9F49A}">
            <xm:f>NOT(ISERROR(SEARCH($AN$678,AK167)))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688" operator="containsText" id="{D55BE382-82CD-4E5A-81F6-475DAE9CC110}">
            <xm:f>NOT(ISERROR(SEARCH($AN$679,AK167)))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AK167</xm:sqref>
        </x14:conditionalFormatting>
        <x14:conditionalFormatting xmlns:xm="http://schemas.microsoft.com/office/excel/2006/main">
          <x14:cfRule type="containsText" priority="5036" operator="containsText" id="{1A9C0A86-6797-453D-8C48-55BDFB93D407}">
            <xm:f>NOT(ISERROR(SEARCH($AN$687,AK168)))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037" operator="containsText" id="{79854D38-742B-453B-A763-B3D081E51FD7}">
            <xm:f>NOT(ISERROR(SEARCH($AN$688,AK168)))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038" operator="containsText" id="{0FDFA1F0-131F-4705-9D73-5A6494216AF3}">
            <xm:f>NOT(ISERROR(SEARCH($AN$686,AK168)))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039" operator="containsText" id="{7288BA7B-DC14-41AF-B3CC-25DCD269BB8D}">
            <xm:f>NOT(ISERROR(SEARCH($AN$685,AK168)))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040" operator="containsText" id="{6220B5CD-AE37-4300-AAE4-9693EC3E9A16}">
            <xm:f>NOT(ISERROR(SEARCH($AN$684,AK168)))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041" operator="containsText" id="{229776C5-50AD-49AA-B3F2-B85247E888E0}">
            <xm:f>NOT(ISERROR(SEARCH($AN$683,AK168)))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042" operator="containsText" id="{197A1F38-9015-4F22-805C-EA09D7ABD75D}">
            <xm:f>NOT(ISERROR(SEARCH($AN$682,AK168)))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043" operator="containsText" id="{C49593E8-FD06-47CC-8ABF-28D6BA722577}">
            <xm:f>NOT(ISERROR(SEARCH($AN$681,AK168)))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044" operator="containsText" id="{6D0400C2-297C-4339-BDF4-6AEA974B2D0A}">
            <xm:f>NOT(ISERROR(SEARCH($AN$680,AK168)))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045" operator="containsText" id="{92E995FF-9AB5-47D2-9C83-2F78A628BC78}">
            <xm:f>NOT(ISERROR(SEARCH($AN$678,AK168)))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046" operator="containsText" id="{91D70C04-E2DC-4322-9A0F-0424FDB45B74}">
            <xm:f>NOT(ISERROR(SEARCH($AN$679,AK168)))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AK168</xm:sqref>
        </x14:conditionalFormatting>
        <x14:conditionalFormatting xmlns:xm="http://schemas.microsoft.com/office/excel/2006/main">
          <x14:cfRule type="containsText" priority="5054" operator="containsText" id="{33EC7CBB-5617-4968-9B16-F57F0EDB8596}">
            <xm:f>NOT(ISERROR(SEARCH($AN$681,AK168)))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055" operator="containsText" id="{68EE825B-A112-488D-8F97-E036F8DC06E4}">
            <xm:f>NOT(ISERROR(SEARCH($AN$680,AK168)))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056" operator="containsText" id="{691F31BF-0226-4CBC-9AF6-429AB860DD71}">
            <xm:f>NOT(ISERROR(SEARCH($AN$678,AK168)))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057" operator="containsText" id="{31E86866-BC82-4968-BA3B-9D88A8253DDB}">
            <xm:f>NOT(ISERROR(SEARCH($AN$679,AK168)))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AK168:AK169</xm:sqref>
        </x14:conditionalFormatting>
        <x14:conditionalFormatting xmlns:xm="http://schemas.microsoft.com/office/excel/2006/main">
          <x14:cfRule type="containsText" priority="5047" operator="containsText" id="{0F59ABF1-2928-4C97-9581-D8C28459BBA5}">
            <xm:f>NOT(ISERROR(SEARCH($AN$687,AK168)))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048" operator="containsText" id="{9DE090CD-F7D4-421D-9FAE-39EE31839001}">
            <xm:f>NOT(ISERROR(SEARCH($AN$688,AK168)))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049" operator="containsText" id="{191247CA-3C9D-4F42-8142-BBDACD91A376}">
            <xm:f>NOT(ISERROR(SEARCH($AN$686,AK168)))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050" operator="containsText" id="{CA6C0A82-DE9A-42FE-B10C-90D4050CFBD6}">
            <xm:f>NOT(ISERROR(SEARCH($AN$685,AK168)))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051" operator="containsText" id="{D682D0FA-31FE-4876-890A-DCE7381116BD}">
            <xm:f>NOT(ISERROR(SEARCH($AN$684,AK168)))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052" operator="containsText" id="{9408D905-DC7F-448D-8065-54419BAC9953}">
            <xm:f>NOT(ISERROR(SEARCH($AN$683,AK168)))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053" operator="containsText" id="{95625FE2-96FA-48B7-A1D4-A6F974985D1A}">
            <xm:f>NOT(ISERROR(SEARCH($AN$682,AK168)))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AK168:AK170</xm:sqref>
        </x14:conditionalFormatting>
        <x14:conditionalFormatting xmlns:xm="http://schemas.microsoft.com/office/excel/2006/main">
          <x14:cfRule type="containsText" priority="5071" operator="containsText" id="{C9F42609-0385-4BDF-8E58-73405D03E6D5}">
            <xm:f>NOT(ISERROR(SEARCH($AN$681,AK169)))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072" operator="containsText" id="{181C85C1-0728-4767-86B6-25168176605B}">
            <xm:f>NOT(ISERROR(SEARCH($AN$680,AK169)))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073" operator="containsText" id="{B966E311-8E89-45CE-83A9-B3C8761FDAD7}">
            <xm:f>NOT(ISERROR(SEARCH($AN$678,AK169)))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074" operator="containsText" id="{CA9E1B36-0BD3-410D-BD29-0263B503839E}">
            <xm:f>NOT(ISERROR(SEARCH($AN$679,AK169)))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075" operator="containsText" id="{EB57EB06-6E0B-4C21-8EB2-3F7D47F2BE6F}">
            <xm:f>NOT(ISERROR(SEARCH($AN$681,AK169)))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076" operator="containsText" id="{CB4CAF6B-3FCC-47DA-BF0B-5A2C5589CCFC}">
            <xm:f>NOT(ISERROR(SEARCH($AN$680,AK169)))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077" operator="containsText" id="{7F0284FE-67C8-40BD-A334-3A00ADA26D06}">
            <xm:f>NOT(ISERROR(SEARCH($AN$678,AK169)))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078" operator="containsText" id="{7D29CE82-3B8F-455F-801A-38F616C2CDE7}">
            <xm:f>NOT(ISERROR(SEARCH($AN$679,AK169)))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AK169:AK170</xm:sqref>
        </x14:conditionalFormatting>
        <x14:conditionalFormatting xmlns:xm="http://schemas.microsoft.com/office/excel/2006/main">
          <x14:cfRule type="containsText" priority="5058" operator="containsText" id="{1E53BE0C-F092-461E-83B3-E6F3FBA9BE4F}">
            <xm:f>NOT(ISERROR(SEARCH($AN$690,AK169)))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059" operator="containsText" id="{FE3807BF-4C13-47F1-B339-655D7937B05B}">
            <xm:f>NOT(ISERROR(SEARCH($AN$704,AK169)))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060" operator="containsText" id="{1ABD3A89-7CB2-49A9-981D-61E69A24848C}">
            <xm:f>NOT(ISERROR(SEARCH($AN$693,AK169)))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061" operator="containsText" id="{D7A6BB5F-D626-414A-8E02-C5B7A2FBBF0D}">
            <xm:f>NOT(ISERROR(SEARCH($AN$692,AK169)))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062" operator="containsText" id="{6C8A4BC2-C0F4-466C-B069-C426910680AB}">
            <xm:f>NOT(ISERROR(SEARCH($AN$691,AK169)))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063" operator="containsText" id="{25EFEAEE-1D06-4AB1-93BA-FF89961799E5}">
            <xm:f>NOT(ISERROR(SEARCH($AN$689,AK169)))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064" operator="containsText" id="{BB73DEE6-87B3-4550-80A2-9326F475EB27}">
            <xm:f>NOT(ISERROR(SEARCH($AN$687,AK169)))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065" operator="containsText" id="{95B812AF-D00B-4AF9-97EE-BD2D43576443}">
            <xm:f>NOT(ISERROR(SEARCH($AN$688,AK169)))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066" operator="containsText" id="{F99B9C8B-1AC8-46B0-B530-A4392A09E22E}">
            <xm:f>NOT(ISERROR(SEARCH($AN$686,AK169)))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067" operator="containsText" id="{A5223DC5-CCC7-4EAB-9E27-EB7DD3A71C07}">
            <xm:f>NOT(ISERROR(SEARCH($AN$685,AK169)))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068" operator="containsText" id="{724465F1-9A6F-4F57-B563-B153FC751616}">
            <xm:f>NOT(ISERROR(SEARCH($AN$684,AK169)))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069" operator="containsText" id="{5B8F9A47-B1B2-4E46-AE7A-8B467519D26A}">
            <xm:f>NOT(ISERROR(SEARCH($AN$683,AK169)))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070" operator="containsText" id="{97E21B92-11CC-4F9E-85C4-82C29ECE8954}">
            <xm:f>NOT(ISERROR(SEARCH($AN$682,AK169)))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AK169:AK171</xm:sqref>
        </x14:conditionalFormatting>
        <x14:conditionalFormatting xmlns:xm="http://schemas.microsoft.com/office/excel/2006/main">
          <x14:cfRule type="containsText" priority="5079" operator="containsText" id="{8F4F355C-F73E-427D-B53B-5E886AA742AC}">
            <xm:f>NOT(ISERROR(SEARCH($AN$690,AK171)))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080" operator="containsText" id="{395EF02A-9654-45F9-BED1-C4374912E378}">
            <xm:f>NOT(ISERROR(SEARCH($AN$704,AK171)))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081" operator="containsText" id="{565F8C91-7372-41ED-9D84-8D156200A2E0}">
            <xm:f>NOT(ISERROR(SEARCH($AN$693,AK171)))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082" operator="containsText" id="{7C1CCA1A-15D1-4C2A-96A5-55869038D953}">
            <xm:f>NOT(ISERROR(SEARCH($AN$692,AK171)))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083" operator="containsText" id="{D14E1E53-4249-472D-8C17-DB34A4088431}">
            <xm:f>NOT(ISERROR(SEARCH($AN$691,AK171)))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084" operator="containsText" id="{8C9DE9BE-13CF-4F8F-B5AE-4405A942A4F4}">
            <xm:f>NOT(ISERROR(SEARCH($AN$689,AK171)))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085" operator="containsText" id="{8BB58A67-EDF1-4453-88E5-C5CC71C62C25}">
            <xm:f>NOT(ISERROR(SEARCH($AN$687,AK171)))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086" operator="containsText" id="{42579FAF-E762-45CF-B81B-D84A971423FB}">
            <xm:f>NOT(ISERROR(SEARCH($AN$688,AK171)))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087" operator="containsText" id="{F6BFEFC0-9C7A-41F9-8304-74AF1CA0AFBD}">
            <xm:f>NOT(ISERROR(SEARCH($AN$686,AK171)))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088" operator="containsText" id="{E2A65E1C-A627-4563-8F60-F38C232E9A2A}">
            <xm:f>NOT(ISERROR(SEARCH($AN$685,AK171)))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089" operator="containsText" id="{D441189C-511A-4709-9D2D-7DE000309B4C}">
            <xm:f>NOT(ISERROR(SEARCH($AN$684,AK171)))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090" operator="containsText" id="{AEB1C580-D3BF-40F8-BFF8-078A0EBA56D1}">
            <xm:f>NOT(ISERROR(SEARCH($AN$683,AK171)))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091" operator="containsText" id="{8C3E690D-AEBE-40EF-9C9A-FC988D0320D3}">
            <xm:f>NOT(ISERROR(SEARCH($AN$682,AK171)))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092" operator="containsText" id="{F98883E4-5EB7-42C8-8841-2E08A1B9743A}">
            <xm:f>NOT(ISERROR(SEARCH($AN$681,AK171)))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093" operator="containsText" id="{E5555B41-2384-4906-9340-8D108F6F507D}">
            <xm:f>NOT(ISERROR(SEARCH($AN$680,AK171)))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094" operator="containsText" id="{69607EF9-1A51-4628-BE67-B75A39794FE9}">
            <xm:f>NOT(ISERROR(SEARCH($AN$678,AK171)))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095" operator="containsText" id="{7FAB22BD-C380-4717-B318-3E2B178C9C4A}">
            <xm:f>NOT(ISERROR(SEARCH($AN$679,AK171)))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096" operator="containsText" id="{3156B151-42A0-4040-9119-36B233B3B436}">
            <xm:f>NOT(ISERROR(SEARCH($AN$681,AK171)))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097" operator="containsText" id="{7EBDE023-91ED-4A9D-B888-DD836D44D10A}">
            <xm:f>NOT(ISERROR(SEARCH($AN$680,AK171)))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098" operator="containsText" id="{BADC49B3-A252-4832-8F75-51F1A8236C37}">
            <xm:f>NOT(ISERROR(SEARCH($AN$678,AK171)))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099" operator="containsText" id="{653F5C3C-C6CF-405E-8906-6BD288D46E30}">
            <xm:f>NOT(ISERROR(SEARCH($AN$679,AK171)))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AK171</xm:sqref>
        </x14:conditionalFormatting>
        <x14:conditionalFormatting xmlns:xm="http://schemas.microsoft.com/office/excel/2006/main">
          <x14:cfRule type="containsText" priority="21288" operator="containsText" id="{26F3E413-1A47-42E4-A89F-C12973DE9D62}">
            <xm:f>NOT(ISERROR(SEARCH($AN$681,AK220)))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21289" operator="containsText" id="{2B975295-3AD2-412F-812D-E9C3600F4BF6}">
            <xm:f>NOT(ISERROR(SEARCH($AN$680,AK220)))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21290" operator="containsText" id="{D60F0E57-9995-4182-B1D1-A94328B6870A}">
            <xm:f>NOT(ISERROR(SEARCH($AN$678,AK220)))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21291" operator="containsText" id="{CCCDD0AF-75E0-43D3-BCF2-EEA6C091378B}">
            <xm:f>NOT(ISERROR(SEARCH($AN$679,AK220)))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1292" operator="containsText" id="{D0212A51-2762-4C1F-89E6-A353F66CBCD9}">
            <xm:f>NOT(ISERROR(SEARCH($AN$686,AK220)))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293" operator="containsText" id="{98778DF2-2C40-4AC9-B552-8A09354983F3}">
            <xm:f>NOT(ISERROR(SEARCH($AN$685,AK220)))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21294" operator="containsText" id="{62637E19-E92B-4999-9D3B-DCED55AA035B}">
            <xm:f>NOT(ISERROR(SEARCH($AN$684,AK220)))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21295" operator="containsText" id="{1B2EE2CC-A3C8-46DE-8570-182EEA5104A2}">
            <xm:f>NOT(ISERROR(SEARCH($AN$683,AK220)))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21296" operator="containsText" id="{D7152089-4B86-404E-86D1-1083D253F303}">
            <xm:f>NOT(ISERROR(SEARCH($AN$682,AK220)))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AK220</xm:sqref>
        </x14:conditionalFormatting>
        <x14:conditionalFormatting xmlns:xm="http://schemas.microsoft.com/office/excel/2006/main">
          <x14:cfRule type="containsText" priority="12330" operator="containsText" id="{557985B4-557F-468D-9321-AC98C7AA8DBE}">
            <xm:f>NOT(ISERROR(SEARCH($AN$688,AK263)))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331" operator="containsText" id="{8DC73A5B-CCFF-45A8-9F24-D485BFFBE9D3}">
            <xm:f>NOT(ISERROR(SEARCH($AN$686,AK263)))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332" operator="containsText" id="{FCF80FE2-F3FF-43C1-99A5-9099FE65ADC2}">
            <xm:f>NOT(ISERROR(SEARCH($AN$685,AK263)))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2333" operator="containsText" id="{A789D10E-3329-4F4B-AD12-5B2D347659A7}">
            <xm:f>NOT(ISERROR(SEARCH($AN$684,AK263)))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2334" operator="containsText" id="{7AC377EF-B607-4DE3-AC62-879EA0E85B49}">
            <xm:f>NOT(ISERROR(SEARCH($AN$683,AK263)))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2335" operator="containsText" id="{D764367B-271F-4641-A0EC-921FE5D52651}">
            <xm:f>NOT(ISERROR(SEARCH($AN$682,AK263)))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2336" operator="containsText" id="{99920321-944E-4C0E-A846-C2EA54B3D10E}">
            <xm:f>NOT(ISERROR(SEARCH($AN$681,AK263)))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2337" operator="containsText" id="{03278307-4E7A-4130-B76D-9BF7158F9A9E}">
            <xm:f>NOT(ISERROR(SEARCH($AN$680,AK263)))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338" operator="containsText" id="{77BB7F8A-8FCE-4C87-9C6E-8266AA3424F9}">
            <xm:f>NOT(ISERROR(SEARCH($AN$678,AK263)))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2339" operator="containsText" id="{4FC79C38-E2D3-4A31-83D3-701F17D76AF0}">
            <xm:f>NOT(ISERROR(SEARCH($AN$679,AK263)))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AK263</xm:sqref>
        </x14:conditionalFormatting>
        <x14:conditionalFormatting xmlns:xm="http://schemas.microsoft.com/office/excel/2006/main">
          <x14:cfRule type="containsText" priority="4719" operator="containsText" id="{5569A0BE-D265-439F-AD85-567E53B89381}">
            <xm:f>NOT(ISERROR(SEARCH($AN$687,AK264)))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720" operator="containsText" id="{0C434998-4BF8-486D-B239-DFAC2B1BCC01}">
            <xm:f>NOT(ISERROR(SEARCH($AN$688,AK264)))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721" operator="containsText" id="{7F90733F-F0B6-45B1-BC59-E115B7B89B22}">
            <xm:f>NOT(ISERROR(SEARCH($AN$686,AK264)))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722" operator="containsText" id="{8D44CC85-139F-4C23-8BC5-648E7CF73078}">
            <xm:f>NOT(ISERROR(SEARCH($AN$685,AK264)))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723" operator="containsText" id="{C1751ED9-770F-45B1-87EE-D82197C50E3D}">
            <xm:f>NOT(ISERROR(SEARCH($AN$684,AK264)))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724" operator="containsText" id="{ADA0CCA6-E691-4EC5-AE0C-FDF76D754514}">
            <xm:f>NOT(ISERROR(SEARCH($AN$683,AK264)))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725" operator="containsText" id="{C2566E7C-BFF1-4E57-BB15-3E898735654A}">
            <xm:f>NOT(ISERROR(SEARCH($AN$682,AK264)))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726" operator="containsText" id="{B9FFDDD3-648B-4293-AACE-987AC010D5AD}">
            <xm:f>NOT(ISERROR(SEARCH($AN$681,AK264)))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727" operator="containsText" id="{CD62C81B-FF98-4F42-83A1-E80A2454A4EC}">
            <xm:f>NOT(ISERROR(SEARCH($AN$680,AK264)))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728" operator="containsText" id="{5066033D-E8B5-4467-A547-193E3B6DDB5C}">
            <xm:f>NOT(ISERROR(SEARCH($AN$678,AK264)))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729" operator="containsText" id="{B0691ACE-7504-4D1B-9347-DEFF2B3AC889}">
            <xm:f>NOT(ISERROR(SEARCH($AN$679,AK264)))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AK264</xm:sqref>
        </x14:conditionalFormatting>
        <x14:conditionalFormatting xmlns:xm="http://schemas.microsoft.com/office/excel/2006/main">
          <x14:cfRule type="containsText" priority="4737" operator="containsText" id="{BCBB9633-F356-456E-AB35-6707390D7DFD}">
            <xm:f>NOT(ISERROR(SEARCH($AN$681,AK264)))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738" operator="containsText" id="{889A8795-B4BD-4D87-8251-144FD8F728A5}">
            <xm:f>NOT(ISERROR(SEARCH($AN$680,AK264)))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739" operator="containsText" id="{58AD82CF-805E-4F75-A9CD-BFA10FDF3F36}">
            <xm:f>NOT(ISERROR(SEARCH($AN$678,AK264)))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740" operator="containsText" id="{34A01A5E-F439-4AE6-99F4-6411972CC84A}">
            <xm:f>NOT(ISERROR(SEARCH($AN$679,AK264)))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AK264:AK265</xm:sqref>
        </x14:conditionalFormatting>
        <x14:conditionalFormatting xmlns:xm="http://schemas.microsoft.com/office/excel/2006/main">
          <x14:cfRule type="containsText" priority="4730" operator="containsText" id="{9BD08E92-EAFB-4552-8DA6-85B865670239}">
            <xm:f>NOT(ISERROR(SEARCH($AN$687,AK264)))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731" operator="containsText" id="{156C9EFA-0A3E-467D-A675-05563D5D8401}">
            <xm:f>NOT(ISERROR(SEARCH($AN$688,AK264)))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732" operator="containsText" id="{A05DCE17-D431-4CBE-B05E-05AC29B01F5C}">
            <xm:f>NOT(ISERROR(SEARCH($AN$686,AK264)))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733" operator="containsText" id="{567EC6E8-FF50-4A23-9374-E3D683549344}">
            <xm:f>NOT(ISERROR(SEARCH($AN$685,AK264)))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734" operator="containsText" id="{B16B5011-D7B9-46C6-95DF-D28CA2D5E167}">
            <xm:f>NOT(ISERROR(SEARCH($AN$684,AK264)))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735" operator="containsText" id="{D1AA2563-7A03-48DB-9F5E-2DE1BAC9E92D}">
            <xm:f>NOT(ISERROR(SEARCH($AN$683,AK264)))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736" operator="containsText" id="{8B080075-FE97-43CB-925E-AD0F1F3863E5}">
            <xm:f>NOT(ISERROR(SEARCH($AN$682,AK264)))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AK264:AK266</xm:sqref>
        </x14:conditionalFormatting>
        <x14:conditionalFormatting xmlns:xm="http://schemas.microsoft.com/office/excel/2006/main">
          <x14:cfRule type="containsText" priority="4754" operator="containsText" id="{D1B078BE-5115-4E88-B5FA-1ADAB47169D9}">
            <xm:f>NOT(ISERROR(SEARCH($AN$681,AK265)))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755" operator="containsText" id="{47676F53-BA66-47F6-BBE8-5C198C0EC3CA}">
            <xm:f>NOT(ISERROR(SEARCH($AN$680,AK265)))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756" operator="containsText" id="{86ADDC8A-DA78-4CF3-864F-94B5901FC565}">
            <xm:f>NOT(ISERROR(SEARCH($AN$678,AK265)))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757" operator="containsText" id="{83FD0017-02F9-4036-8E05-E2EA47128AA8}">
            <xm:f>NOT(ISERROR(SEARCH($AN$679,AK265)))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758" operator="containsText" id="{D677E7B7-FED2-423F-9DFA-14DC247C52DA}">
            <xm:f>NOT(ISERROR(SEARCH($AN$681,AK265)))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759" operator="containsText" id="{3B89675A-C6DB-4A6B-ACE0-82819EE63303}">
            <xm:f>NOT(ISERROR(SEARCH($AN$680,AK265)))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760" operator="containsText" id="{C3B72CF2-1661-400D-AEBD-3051FD92FEC9}">
            <xm:f>NOT(ISERROR(SEARCH($AN$678,AK265)))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761" operator="containsText" id="{5E8B7E35-DDFF-4FE8-8E9A-DE5F91E7AF3C}">
            <xm:f>NOT(ISERROR(SEARCH($AN$679,AK265)))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AK265:AK266</xm:sqref>
        </x14:conditionalFormatting>
        <x14:conditionalFormatting xmlns:xm="http://schemas.microsoft.com/office/excel/2006/main">
          <x14:cfRule type="containsText" priority="4741" operator="containsText" id="{27FC8181-98DE-4450-A45D-3B637FB3ECA5}">
            <xm:f>NOT(ISERROR(SEARCH($AN$690,AK265)))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742" operator="containsText" id="{813A13B5-9C0E-46FC-A02D-DDAD43F14882}">
            <xm:f>NOT(ISERROR(SEARCH($AN$704,AK265)))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743" operator="containsText" id="{A097E12D-C297-4093-B8BB-03B05303AF8E}">
            <xm:f>NOT(ISERROR(SEARCH($AN$693,AK265)))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744" operator="containsText" id="{EBBAE047-69EC-474A-A0DC-F8935D7E6C96}">
            <xm:f>NOT(ISERROR(SEARCH($AN$692,AK265)))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745" operator="containsText" id="{ADC6A1EA-61D6-4E7C-82AC-27AB0317FF82}">
            <xm:f>NOT(ISERROR(SEARCH($AN$691,AK265)))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746" operator="containsText" id="{CA0262EA-3CB8-45FF-B096-FDC6E8C50994}">
            <xm:f>NOT(ISERROR(SEARCH($AN$689,AK265)))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747" operator="containsText" id="{514F4C50-BF88-406E-BE24-DA2D0911577D}">
            <xm:f>NOT(ISERROR(SEARCH($AN$687,AK265)))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748" operator="containsText" id="{5ECECCDC-D1E3-4B28-8777-FD6390AB495B}">
            <xm:f>NOT(ISERROR(SEARCH($AN$688,AK265)))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749" operator="containsText" id="{383D1DD3-261C-4FBF-A344-7519B026FC6E}">
            <xm:f>NOT(ISERROR(SEARCH($AN$686,AK265)))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750" operator="containsText" id="{9CCA6F48-1186-4C11-87C4-1EABC70399B8}">
            <xm:f>NOT(ISERROR(SEARCH($AN$685,AK265)))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751" operator="containsText" id="{8ADB775E-E59B-4694-B55F-08186A1746EF}">
            <xm:f>NOT(ISERROR(SEARCH($AN$684,AK265)))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752" operator="containsText" id="{99D4A8EE-31A4-4D25-BDF4-7B4048E11B1E}">
            <xm:f>NOT(ISERROR(SEARCH($AN$683,AK265)))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753" operator="containsText" id="{A9FDEDDD-AEF8-40F4-A8DB-2ED952911C98}">
            <xm:f>NOT(ISERROR(SEARCH($AN$682,AK265)))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AK265:AK267</xm:sqref>
        </x14:conditionalFormatting>
        <x14:conditionalFormatting xmlns:xm="http://schemas.microsoft.com/office/excel/2006/main">
          <x14:cfRule type="containsText" priority="4762" operator="containsText" id="{872EF49C-2B3B-4A12-A1DD-EFA24D774BBB}">
            <xm:f>NOT(ISERROR(SEARCH($AN$690,AK267)))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763" operator="containsText" id="{0886618F-D977-4733-8504-1A3054B8DDBA}">
            <xm:f>NOT(ISERROR(SEARCH($AN$704,AK267)))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764" operator="containsText" id="{AC80C675-8B9F-4ACB-AD81-8B1D58D9BA5C}">
            <xm:f>NOT(ISERROR(SEARCH($AN$693,AK267)))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765" operator="containsText" id="{50BA8004-588D-4AFE-BB28-320F92C72583}">
            <xm:f>NOT(ISERROR(SEARCH($AN$692,AK267)))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766" operator="containsText" id="{25735D28-FBF3-4F71-874E-5A403A41A375}">
            <xm:f>NOT(ISERROR(SEARCH($AN$691,AK267)))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767" operator="containsText" id="{7CEF959B-EB9B-475C-907A-B52C3587E789}">
            <xm:f>NOT(ISERROR(SEARCH($AN$689,AK267)))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768" operator="containsText" id="{A20F81E8-0548-4464-9D55-9C99EFE65D06}">
            <xm:f>NOT(ISERROR(SEARCH($AN$687,AK267)))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769" operator="containsText" id="{C594F869-5136-4F69-AF99-7A92F62EF980}">
            <xm:f>NOT(ISERROR(SEARCH($AN$688,AK267)))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770" operator="containsText" id="{3B1A74B1-A495-4320-87AB-D1817B6D1368}">
            <xm:f>NOT(ISERROR(SEARCH($AN$686,AK267)))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771" operator="containsText" id="{ED2623DE-F6CD-4F54-8548-930A60D85E35}">
            <xm:f>NOT(ISERROR(SEARCH($AN$685,AK267)))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772" operator="containsText" id="{74C42AD9-F399-4E7D-95EA-45E2138D0F6A}">
            <xm:f>NOT(ISERROR(SEARCH($AN$684,AK267)))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773" operator="containsText" id="{4C5EE558-F0CD-46D8-B89B-003B70715D25}">
            <xm:f>NOT(ISERROR(SEARCH($AN$683,AK267)))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774" operator="containsText" id="{8B34386C-B0F8-4A42-A9BE-D9246909A8C3}">
            <xm:f>NOT(ISERROR(SEARCH($AN$682,AK267)))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775" operator="containsText" id="{06E2DCAC-8081-49E1-8526-F22A72AB0454}">
            <xm:f>NOT(ISERROR(SEARCH($AN$681,AK267)))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776" operator="containsText" id="{5D2A83BC-3512-44DB-96B2-109401A76341}">
            <xm:f>NOT(ISERROR(SEARCH($AN$680,AK267)))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777" operator="containsText" id="{485C64A8-1F27-41B7-B21A-3E91CBE8AEC6}">
            <xm:f>NOT(ISERROR(SEARCH($AN$678,AK267)))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778" operator="containsText" id="{87925062-E8B9-4ACA-9397-1AF8BF0A7DD9}">
            <xm:f>NOT(ISERROR(SEARCH($AN$679,AK267)))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779" operator="containsText" id="{851BFBC5-06B8-4D8C-845A-A37763E2BE62}">
            <xm:f>NOT(ISERROR(SEARCH($AN$681,AK267)))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780" operator="containsText" id="{070ADB73-A488-4E41-A67D-7070540AB415}">
            <xm:f>NOT(ISERROR(SEARCH($AN$680,AK267)))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781" operator="containsText" id="{DA567064-BCFD-43C6-831E-B7A515DD203A}">
            <xm:f>NOT(ISERROR(SEARCH($AN$678,AK267)))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782" operator="containsText" id="{74070887-3CF9-4A5A-981E-460ED7C661A1}">
            <xm:f>NOT(ISERROR(SEARCH($AN$679,AK267)))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AK267</xm:sqref>
        </x14:conditionalFormatting>
        <x14:conditionalFormatting xmlns:xm="http://schemas.microsoft.com/office/excel/2006/main">
          <x14:cfRule type="containsText" priority="11981" operator="containsText" id="{07709992-E31E-4F1D-8568-80C8E4BF7058}">
            <xm:f>NOT(ISERROR(SEARCH($AN$688,AK359)))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982" operator="containsText" id="{A8879D0F-41D6-4194-BE04-B1E684E617B8}">
            <xm:f>NOT(ISERROR(SEARCH($AN$686,AK359)))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983" operator="containsText" id="{6B03AA9E-6AB3-4FB1-BF8B-1A86653995D7}">
            <xm:f>NOT(ISERROR(SEARCH($AN$685,AK359)))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984" operator="containsText" id="{19495C30-C97F-426B-9DC9-6024D45B26CF}">
            <xm:f>NOT(ISERROR(SEARCH($AN$684,AK359)))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985" operator="containsText" id="{964DBB10-1A6A-41E5-97D5-324AEBE987CD}">
            <xm:f>NOT(ISERROR(SEARCH($AN$683,AK359)))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986" operator="containsText" id="{34C69BFC-415E-4EE9-A942-B780FB507278}">
            <xm:f>NOT(ISERROR(SEARCH($AN$682,AK359)))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987" operator="containsText" id="{82C39185-8F97-47A7-BB72-E979DD4E9397}">
            <xm:f>NOT(ISERROR(SEARCH($AN$681,AK359)))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988" operator="containsText" id="{D07A9E7B-A950-41FF-91BD-84DB8A9CBEDB}">
            <xm:f>NOT(ISERROR(SEARCH($AN$680,AK359)))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989" operator="containsText" id="{FE489BA3-69C1-49F5-8F58-E2C37F0367CA}">
            <xm:f>NOT(ISERROR(SEARCH($AN$678,AK359)))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990" operator="containsText" id="{D6E64EE6-1B91-44A3-A5F5-6C759200C7B8}">
            <xm:f>NOT(ISERROR(SEARCH($AN$679,AK359)))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AK359</xm:sqref>
        </x14:conditionalFormatting>
        <x14:conditionalFormatting xmlns:xm="http://schemas.microsoft.com/office/excel/2006/main">
          <x14:cfRule type="containsText" priority="4402" operator="containsText" id="{C6F8CB89-63FC-4820-8F17-BDB08C620DAA}">
            <xm:f>NOT(ISERROR(SEARCH($AN$687,AK360)))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403" operator="containsText" id="{4C83AFCF-7162-40DE-8756-5851B4224B43}">
            <xm:f>NOT(ISERROR(SEARCH($AN$688,AK360)))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404" operator="containsText" id="{49AA03BC-2B6D-48A9-A405-EFE271B84988}">
            <xm:f>NOT(ISERROR(SEARCH($AN$686,AK360)))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405" operator="containsText" id="{06655D8A-6493-4AE7-B333-39BC8A35A7B1}">
            <xm:f>NOT(ISERROR(SEARCH($AN$685,AK360)))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406" operator="containsText" id="{E9F9862D-7451-4E44-94FF-3E06823C7AB9}">
            <xm:f>NOT(ISERROR(SEARCH($AN$684,AK360)))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407" operator="containsText" id="{A751F2F2-F016-43A4-8168-5EA984C43E9C}">
            <xm:f>NOT(ISERROR(SEARCH($AN$683,AK360)))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408" operator="containsText" id="{9D9468FC-DE69-42AE-87F8-0054BE133E87}">
            <xm:f>NOT(ISERROR(SEARCH($AN$682,AK360)))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409" operator="containsText" id="{06D61D15-0AF0-45C1-B150-F1F73CF9F76B}">
            <xm:f>NOT(ISERROR(SEARCH($AN$681,AK360)))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410" operator="containsText" id="{560813CB-0314-4728-9AF4-20B8BC8A254F}">
            <xm:f>NOT(ISERROR(SEARCH($AN$680,AK360)))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411" operator="containsText" id="{B04D18CB-AB55-4B43-869A-5AF8C712EEF8}">
            <xm:f>NOT(ISERROR(SEARCH($AN$678,AK360)))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412" operator="containsText" id="{118CF783-869F-43C3-91B7-16B125919998}">
            <xm:f>NOT(ISERROR(SEARCH($AN$679,AK360)))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AK360</xm:sqref>
        </x14:conditionalFormatting>
        <x14:conditionalFormatting xmlns:xm="http://schemas.microsoft.com/office/excel/2006/main">
          <x14:cfRule type="containsText" priority="4420" operator="containsText" id="{60554772-17CD-42F1-A8FE-2B59A13DE266}">
            <xm:f>NOT(ISERROR(SEARCH($AN$681,AK360)))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421" operator="containsText" id="{1A10593A-A6A5-4F1F-B1AE-19AC84EA7680}">
            <xm:f>NOT(ISERROR(SEARCH($AN$680,AK360)))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422" operator="containsText" id="{D077A65B-2539-4296-8344-0864F4A4A424}">
            <xm:f>NOT(ISERROR(SEARCH($AN$678,AK360)))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423" operator="containsText" id="{1F997C30-2267-4705-8822-C863C6BA7D94}">
            <xm:f>NOT(ISERROR(SEARCH($AN$679,AK360)))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AK360:AK361</xm:sqref>
        </x14:conditionalFormatting>
        <x14:conditionalFormatting xmlns:xm="http://schemas.microsoft.com/office/excel/2006/main">
          <x14:cfRule type="containsText" priority="4413" operator="containsText" id="{3E15FC4E-6BA5-4F35-B5C5-018A29E793C0}">
            <xm:f>NOT(ISERROR(SEARCH($AN$687,AK360)))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414" operator="containsText" id="{A47FB536-E50A-4BB6-B567-574A0AC3FA94}">
            <xm:f>NOT(ISERROR(SEARCH($AN$688,AK360)))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415" operator="containsText" id="{B8C6383B-F176-4734-9A2D-861EE82644B0}">
            <xm:f>NOT(ISERROR(SEARCH($AN$686,AK360)))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416" operator="containsText" id="{448F3F7C-3E7B-4A88-88CE-138C6EF1F5FF}">
            <xm:f>NOT(ISERROR(SEARCH($AN$685,AK360)))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417" operator="containsText" id="{64F565BC-427A-4FED-8AAB-4E52A1B3C8A9}">
            <xm:f>NOT(ISERROR(SEARCH($AN$684,AK360)))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418" operator="containsText" id="{143F7970-873B-4B8A-8C69-C155EF70B53F}">
            <xm:f>NOT(ISERROR(SEARCH($AN$683,AK360)))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419" operator="containsText" id="{1E5419D9-F6FA-4C67-9328-0D1277AFDCD6}">
            <xm:f>NOT(ISERROR(SEARCH($AN$682,AK360)))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AK360:AK362</xm:sqref>
        </x14:conditionalFormatting>
        <x14:conditionalFormatting xmlns:xm="http://schemas.microsoft.com/office/excel/2006/main">
          <x14:cfRule type="containsText" priority="4437" operator="containsText" id="{6850B71D-5674-47E8-B3A6-65E0178F8401}">
            <xm:f>NOT(ISERROR(SEARCH($AN$681,AK361)))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438" operator="containsText" id="{8414CA32-D64A-4124-9245-AFB9BDA7352D}">
            <xm:f>NOT(ISERROR(SEARCH($AN$680,AK361)))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439" operator="containsText" id="{221C64D2-41E9-4826-89BF-E288088A1E50}">
            <xm:f>NOT(ISERROR(SEARCH($AN$678,AK361)))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440" operator="containsText" id="{BE895B4B-B055-4288-A7E8-BD0259A97EE8}">
            <xm:f>NOT(ISERROR(SEARCH($AN$679,AK361)))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441" operator="containsText" id="{83DD3E38-851D-4CC0-B9F0-8A1F77332C27}">
            <xm:f>NOT(ISERROR(SEARCH($AN$681,AK361)))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442" operator="containsText" id="{4F50F24B-AAC6-410E-9A95-642B0446DF77}">
            <xm:f>NOT(ISERROR(SEARCH($AN$680,AK361)))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443" operator="containsText" id="{89F9D7E7-9FC8-4BFB-99C1-24DB0505FA1A}">
            <xm:f>NOT(ISERROR(SEARCH($AN$678,AK361)))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444" operator="containsText" id="{32A4DB40-A3C6-46A8-9C49-AFAB32652C71}">
            <xm:f>NOT(ISERROR(SEARCH($AN$679,AK361)))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AK361:AK362</xm:sqref>
        </x14:conditionalFormatting>
        <x14:conditionalFormatting xmlns:xm="http://schemas.microsoft.com/office/excel/2006/main">
          <x14:cfRule type="containsText" priority="4424" operator="containsText" id="{59E33C39-58A3-43AE-A9BF-F904F7DA06A8}">
            <xm:f>NOT(ISERROR(SEARCH($AN$690,AK361)))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425" operator="containsText" id="{FE9E6F33-E0DC-4419-8BA3-7BEDEC4C754A}">
            <xm:f>NOT(ISERROR(SEARCH($AN$704,AK361)))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426" operator="containsText" id="{1547FA8E-FEEF-4398-895D-7BBBDCBABD58}">
            <xm:f>NOT(ISERROR(SEARCH($AN$693,AK361)))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427" operator="containsText" id="{69E7F106-886A-4AB0-9E22-47CC5BC68E32}">
            <xm:f>NOT(ISERROR(SEARCH($AN$692,AK361)))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428" operator="containsText" id="{4741DD10-4392-44F7-B5FF-2B4E685B2926}">
            <xm:f>NOT(ISERROR(SEARCH($AN$691,AK361)))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429" operator="containsText" id="{FAA2638B-4F17-41E5-BC93-5E7E026C31EA}">
            <xm:f>NOT(ISERROR(SEARCH($AN$689,AK361)))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430" operator="containsText" id="{0F027A35-61C3-4759-A0B0-DEF3E663665E}">
            <xm:f>NOT(ISERROR(SEARCH($AN$687,AK361)))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431" operator="containsText" id="{EE10076C-F357-4C6E-9653-11736EACD8B2}">
            <xm:f>NOT(ISERROR(SEARCH($AN$688,AK361)))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432" operator="containsText" id="{D58E4CBD-6BB7-4716-ACBF-E373ED6991E7}">
            <xm:f>NOT(ISERROR(SEARCH($AN$686,AK361)))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433" operator="containsText" id="{B3E0EDF6-4E38-42CC-A912-76AAADCF9CCC}">
            <xm:f>NOT(ISERROR(SEARCH($AN$685,AK361)))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434" operator="containsText" id="{556FFD24-223C-4466-94E7-3E6CAEEFE8B4}">
            <xm:f>NOT(ISERROR(SEARCH($AN$684,AK361)))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435" operator="containsText" id="{CA9A5E44-86E8-4E03-8CF4-31618177638C}">
            <xm:f>NOT(ISERROR(SEARCH($AN$683,AK361)))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436" operator="containsText" id="{7E6199B8-66F0-430E-B496-EB95051092E9}">
            <xm:f>NOT(ISERROR(SEARCH($AN$682,AK361)))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AK361:AK363</xm:sqref>
        </x14:conditionalFormatting>
        <x14:conditionalFormatting xmlns:xm="http://schemas.microsoft.com/office/excel/2006/main">
          <x14:cfRule type="containsText" priority="4445" operator="containsText" id="{BD589C9B-8090-4C45-B138-548EA3C73630}">
            <xm:f>NOT(ISERROR(SEARCH($AN$690,AK363)))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446" operator="containsText" id="{74A48FC7-6628-4DF7-8A78-5D5D48A7AD38}">
            <xm:f>NOT(ISERROR(SEARCH($AN$704,AK363)))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447" operator="containsText" id="{4E3C2A69-8FA0-4F49-91C9-98917AA02F7A}">
            <xm:f>NOT(ISERROR(SEARCH($AN$693,AK363)))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448" operator="containsText" id="{F5A13159-54F5-4030-9DE8-CBE6FDC4C610}">
            <xm:f>NOT(ISERROR(SEARCH($AN$692,AK363)))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449" operator="containsText" id="{33623DE4-6E97-496C-9029-1AD3B60863FE}">
            <xm:f>NOT(ISERROR(SEARCH($AN$691,AK363)))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450" operator="containsText" id="{9A501618-5A29-4095-8DA0-028463D6EA8A}">
            <xm:f>NOT(ISERROR(SEARCH($AN$689,AK363)))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451" operator="containsText" id="{4C781613-9A9D-4DFC-9BE2-53E94ECCE06D}">
            <xm:f>NOT(ISERROR(SEARCH($AN$687,AK363)))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452" operator="containsText" id="{51D8A98F-C2DE-48B7-9C7F-7B13906B04DE}">
            <xm:f>NOT(ISERROR(SEARCH($AN$688,AK363)))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453" operator="containsText" id="{75C32697-FA30-461B-AB40-102D30758C46}">
            <xm:f>NOT(ISERROR(SEARCH($AN$686,AK363)))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454" operator="containsText" id="{AFB09AE9-F501-47BE-9496-51F38B6710FD}">
            <xm:f>NOT(ISERROR(SEARCH($AN$685,AK363)))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455" operator="containsText" id="{B55ADDBE-DBA2-4A95-AF94-44538E3BD46C}">
            <xm:f>NOT(ISERROR(SEARCH($AN$684,AK363)))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456" operator="containsText" id="{134FC581-452D-4AF8-AF19-089DF19EEFF1}">
            <xm:f>NOT(ISERROR(SEARCH($AN$683,AK363)))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457" operator="containsText" id="{20628403-CA87-4CF0-8865-EA162171DF8E}">
            <xm:f>NOT(ISERROR(SEARCH($AN$682,AK363)))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458" operator="containsText" id="{F1A0FFD6-6799-40B3-858A-74D99BB44210}">
            <xm:f>NOT(ISERROR(SEARCH($AN$681,AK363)))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459" operator="containsText" id="{27A38044-CED7-41B5-B495-DFD1F7F2357B}">
            <xm:f>NOT(ISERROR(SEARCH($AN$680,AK363)))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460" operator="containsText" id="{8AD25AB9-0A7B-42B3-892B-59D97A02C173}">
            <xm:f>NOT(ISERROR(SEARCH($AN$678,AK363)))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461" operator="containsText" id="{C912DA68-5608-48CD-A2A5-D8375D6B7F3E}">
            <xm:f>NOT(ISERROR(SEARCH($AN$679,AK363)))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462" operator="containsText" id="{17D8C422-B58C-49F4-B965-E1A78DEA975D}">
            <xm:f>NOT(ISERROR(SEARCH($AN$681,AK363)))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463" operator="containsText" id="{9AE88F77-8808-409C-AF50-294A59E76F2C}">
            <xm:f>NOT(ISERROR(SEARCH($AN$680,AK363)))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464" operator="containsText" id="{8C64B832-37ED-407A-9DBA-A39DDEE4DF4E}">
            <xm:f>NOT(ISERROR(SEARCH($AN$678,AK363)))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465" operator="containsText" id="{C273B593-1075-46D7-BFC9-C12DE01194D1}">
            <xm:f>NOT(ISERROR(SEARCH($AN$679,AK363)))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AK363</xm:sqref>
        </x14:conditionalFormatting>
        <x14:conditionalFormatting xmlns:xm="http://schemas.microsoft.com/office/excel/2006/main">
          <x14:cfRule type="containsText" priority="11632" operator="containsText" id="{EB0BD033-A7FC-46A2-A7C2-97EE4EBC7D6E}">
            <xm:f>NOT(ISERROR(SEARCH($AN$688,AK455)))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633" operator="containsText" id="{D1A30307-BBF9-48D7-8CA1-2142C725D241}">
            <xm:f>NOT(ISERROR(SEARCH($AN$686,AK455)))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634" operator="containsText" id="{97154239-478B-4282-B27C-AD13BD2FE54B}">
            <xm:f>NOT(ISERROR(SEARCH($AN$685,AK455)))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635" operator="containsText" id="{21029FC4-0554-4C12-8A09-C528A082174A}">
            <xm:f>NOT(ISERROR(SEARCH($AN$684,AK455)))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636" operator="containsText" id="{2230AF04-6659-4630-9060-C0156B6E4F61}">
            <xm:f>NOT(ISERROR(SEARCH($AN$683,AK455)))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637" operator="containsText" id="{2C8B4B09-C731-41B1-967D-3C979D607923}">
            <xm:f>NOT(ISERROR(SEARCH($AN$682,AK455)))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638" operator="containsText" id="{DA2DA86C-9266-47EC-8ED1-5923C7F3E298}">
            <xm:f>NOT(ISERROR(SEARCH($AN$681,AK455)))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639" operator="containsText" id="{4DC9A145-5D5D-4263-BC07-AB14B4EA8ECB}">
            <xm:f>NOT(ISERROR(SEARCH($AN$680,AK455)))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640" operator="containsText" id="{0E61811C-DF51-4898-96DF-953932DBAC18}">
            <xm:f>NOT(ISERROR(SEARCH($AN$678,AK455)))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641" operator="containsText" id="{FE9E2163-38F3-4FFD-A703-F02B5ECDA954}">
            <xm:f>NOT(ISERROR(SEARCH($AN$679,AK455)))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AK455</xm:sqref>
        </x14:conditionalFormatting>
        <x14:conditionalFormatting xmlns:xm="http://schemas.microsoft.com/office/excel/2006/main">
          <x14:cfRule type="containsText" priority="4085" operator="containsText" id="{C6AF769E-104D-48CD-867D-45164A23E529}">
            <xm:f>NOT(ISERROR(SEARCH($AN$687,AK456)))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086" operator="containsText" id="{37FCCD0D-0555-406F-BD04-EF6C9FC6F140}">
            <xm:f>NOT(ISERROR(SEARCH($AN$688,AK456)))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087" operator="containsText" id="{2F8D5CEB-E95D-40A2-B07E-976338DB32BE}">
            <xm:f>NOT(ISERROR(SEARCH($AN$686,AK456)))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088" operator="containsText" id="{390D5789-7314-4233-BDA3-6E00858DFF0D}">
            <xm:f>NOT(ISERROR(SEARCH($AN$685,AK456)))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089" operator="containsText" id="{36196C69-AD18-41D8-881B-02C0E44C6D2C}">
            <xm:f>NOT(ISERROR(SEARCH($AN$684,AK456)))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090" operator="containsText" id="{87A27ECA-55C3-40F6-A101-3314BB3ECC24}">
            <xm:f>NOT(ISERROR(SEARCH($AN$683,AK456)))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091" operator="containsText" id="{A1195F0D-C6E4-4354-9FB2-B831995A8E92}">
            <xm:f>NOT(ISERROR(SEARCH($AN$682,AK456)))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092" operator="containsText" id="{E2F155F1-28EF-4EB4-A758-E502982D2C33}">
            <xm:f>NOT(ISERROR(SEARCH($AN$681,AK456)))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093" operator="containsText" id="{3811A608-A45A-40DF-82C8-1BC77B974EDE}">
            <xm:f>NOT(ISERROR(SEARCH($AN$680,AK456)))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094" operator="containsText" id="{7984D435-E765-4F69-A13A-EF1DF9713FA4}">
            <xm:f>NOT(ISERROR(SEARCH($AN$678,AK456)))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095" operator="containsText" id="{A7117D8C-F398-4BBC-90CA-83E5CC18B27D}">
            <xm:f>NOT(ISERROR(SEARCH($AN$679,AK456)))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AK456</xm:sqref>
        </x14:conditionalFormatting>
        <x14:conditionalFormatting xmlns:xm="http://schemas.microsoft.com/office/excel/2006/main">
          <x14:cfRule type="containsText" priority="4103" operator="containsText" id="{A366593C-E0A3-491B-B56C-BE876F3AF88D}">
            <xm:f>NOT(ISERROR(SEARCH($AN$681,AK456)))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104" operator="containsText" id="{E01C9F74-6807-4003-B1B7-21AC0D05808F}">
            <xm:f>NOT(ISERROR(SEARCH($AN$680,AK456)))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105" operator="containsText" id="{17520CEE-164F-40E2-BA9F-CE7B14D6523D}">
            <xm:f>NOT(ISERROR(SEARCH($AN$678,AK456)))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106" operator="containsText" id="{9C12F54F-D1E3-4E9A-AC26-78CBE050B058}">
            <xm:f>NOT(ISERROR(SEARCH($AN$679,AK456)))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AK456:AK457</xm:sqref>
        </x14:conditionalFormatting>
        <x14:conditionalFormatting xmlns:xm="http://schemas.microsoft.com/office/excel/2006/main">
          <x14:cfRule type="containsText" priority="4096" operator="containsText" id="{B8E2C7C3-8654-4F3B-A9D3-BC7A83BD770E}">
            <xm:f>NOT(ISERROR(SEARCH($AN$687,AK456)))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097" operator="containsText" id="{DA12030F-E451-47C8-A246-CD0E8D508C1D}">
            <xm:f>NOT(ISERROR(SEARCH($AN$688,AK456)))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098" operator="containsText" id="{9D6C78AF-6F48-42B5-B393-68F1B93ABD70}">
            <xm:f>NOT(ISERROR(SEARCH($AN$686,AK456)))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099" operator="containsText" id="{3708FAD1-A514-4257-BAB6-61C612D66DD7}">
            <xm:f>NOT(ISERROR(SEARCH($AN$685,AK456)))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100" operator="containsText" id="{32190CD7-A3EB-4F75-9A0F-C2C122DC590D}">
            <xm:f>NOT(ISERROR(SEARCH($AN$684,AK456)))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101" operator="containsText" id="{69ED1E73-F8DD-4997-8C72-A703CB5CA638}">
            <xm:f>NOT(ISERROR(SEARCH($AN$683,AK456)))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102" operator="containsText" id="{D277763E-1994-4290-BDD1-A3AB4C6915CA}">
            <xm:f>NOT(ISERROR(SEARCH($AN$682,AK456)))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AK456:AK458</xm:sqref>
        </x14:conditionalFormatting>
        <x14:conditionalFormatting xmlns:xm="http://schemas.microsoft.com/office/excel/2006/main">
          <x14:cfRule type="containsText" priority="4120" operator="containsText" id="{4B98C781-2A0F-4CA7-A5B9-F40B89E3EF43}">
            <xm:f>NOT(ISERROR(SEARCH($AN$681,AK457)))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121" operator="containsText" id="{6F40F5D7-17C4-491C-81EA-40BD7803BEE2}">
            <xm:f>NOT(ISERROR(SEARCH($AN$680,AK457)))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122" operator="containsText" id="{75F31AF3-EFC3-4CC3-A55F-412287000861}">
            <xm:f>NOT(ISERROR(SEARCH($AN$678,AK457)))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123" operator="containsText" id="{C95997D8-B943-4FE6-A088-61083FDB7BC7}">
            <xm:f>NOT(ISERROR(SEARCH($AN$679,AK457)))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124" operator="containsText" id="{AA607B16-1800-4F88-97CE-A571F29FAA6C}">
            <xm:f>NOT(ISERROR(SEARCH($AN$681,AK457)))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125" operator="containsText" id="{E01C9F49-BEFD-406C-9AC4-3AB7FEF75D5F}">
            <xm:f>NOT(ISERROR(SEARCH($AN$680,AK457)))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126" operator="containsText" id="{DF2EBF71-A82B-43B9-AB7A-77B3F7A86FD0}">
            <xm:f>NOT(ISERROR(SEARCH($AN$678,AK457)))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127" operator="containsText" id="{D6A31BC8-2045-46E6-A53B-16F869D68A0B}">
            <xm:f>NOT(ISERROR(SEARCH($AN$679,AK457)))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AK457:AK458</xm:sqref>
        </x14:conditionalFormatting>
        <x14:conditionalFormatting xmlns:xm="http://schemas.microsoft.com/office/excel/2006/main">
          <x14:cfRule type="containsText" priority="4107" operator="containsText" id="{C3A4A30F-EE04-499A-BB3D-F412D5BBC3BB}">
            <xm:f>NOT(ISERROR(SEARCH($AN$690,AK457)))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108" operator="containsText" id="{06D377AB-759D-4E57-A9BD-76E0106A2B45}">
            <xm:f>NOT(ISERROR(SEARCH($AN$704,AK457)))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109" operator="containsText" id="{0179DFCD-2C49-4BA2-B616-B56E8B0196E9}">
            <xm:f>NOT(ISERROR(SEARCH($AN$693,AK457)))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110" operator="containsText" id="{78596615-0A2E-49CF-935A-D1A7759986CC}">
            <xm:f>NOT(ISERROR(SEARCH($AN$692,AK457)))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111" operator="containsText" id="{43AC4CD9-C6C7-43F2-9359-A17F04A44C13}">
            <xm:f>NOT(ISERROR(SEARCH($AN$691,AK457)))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112" operator="containsText" id="{9A21BEB0-F19B-425B-A5F1-32A113255B15}">
            <xm:f>NOT(ISERROR(SEARCH($AN$689,AK457)))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113" operator="containsText" id="{AACE5640-716A-4E2D-BFCB-34D18EDC66DB}">
            <xm:f>NOT(ISERROR(SEARCH($AN$687,AK457)))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114" operator="containsText" id="{B1B554B0-2FFF-4731-92E6-6C599EE60B00}">
            <xm:f>NOT(ISERROR(SEARCH($AN$688,AK457)))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115" operator="containsText" id="{2A2F8755-6D20-4F8E-9666-44BC80E2F145}">
            <xm:f>NOT(ISERROR(SEARCH($AN$686,AK457)))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116" operator="containsText" id="{639F9D0C-D117-4B4D-81EF-5852C5F1AC85}">
            <xm:f>NOT(ISERROR(SEARCH($AN$685,AK457)))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117" operator="containsText" id="{C501796E-D89D-46F0-8F6D-6FF97E3FA049}">
            <xm:f>NOT(ISERROR(SEARCH($AN$684,AK457)))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118" operator="containsText" id="{EDC916A0-2779-4D93-9917-18906E3599D9}">
            <xm:f>NOT(ISERROR(SEARCH($AN$683,AK457)))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119" operator="containsText" id="{D871BED6-5ACD-4C37-B2A9-B041AC959EE7}">
            <xm:f>NOT(ISERROR(SEARCH($AN$682,AK457)))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AK457:AK459</xm:sqref>
        </x14:conditionalFormatting>
        <x14:conditionalFormatting xmlns:xm="http://schemas.microsoft.com/office/excel/2006/main">
          <x14:cfRule type="containsText" priority="4128" operator="containsText" id="{984EBCCD-9AB5-4B3A-9EB1-1049CDE964A9}">
            <xm:f>NOT(ISERROR(SEARCH($AN$690,AK459)))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4129" operator="containsText" id="{DD356F29-A07D-4694-8BEA-24B639A38CC4}">
            <xm:f>NOT(ISERROR(SEARCH($AN$704,AK459)))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4130" operator="containsText" id="{F441B399-A1E9-4B21-BFE4-DA57BFCD340F}">
            <xm:f>NOT(ISERROR(SEARCH($AN$693,AK459)))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4131" operator="containsText" id="{279686A8-737F-43F0-85B6-4DAFE191EDE5}">
            <xm:f>NOT(ISERROR(SEARCH($AN$692,AK459)))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132" operator="containsText" id="{92A0DAEF-6456-489A-917B-53C23AE8072C}">
            <xm:f>NOT(ISERROR(SEARCH($AN$691,AK459)))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4133" operator="containsText" id="{BA0ED5FE-DF0F-4277-9D08-8E5ACFE365F3}">
            <xm:f>NOT(ISERROR(SEARCH($AN$689,AK459)))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134" operator="containsText" id="{CB42765A-57C5-4875-80E9-3BCFA584C08C}">
            <xm:f>NOT(ISERROR(SEARCH($AN$687,AK459)))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4135" operator="containsText" id="{3E8F786F-9D12-46F3-992A-CEFD35987565}">
            <xm:f>NOT(ISERROR(SEARCH($AN$688,AK459)))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136" operator="containsText" id="{F01DF16D-1F49-4AEF-9BE4-75BBFAFC5EEF}">
            <xm:f>NOT(ISERROR(SEARCH($AN$686,AK459)))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137" operator="containsText" id="{C144D1FD-AFF0-45C8-8F14-2F8959D72404}">
            <xm:f>NOT(ISERROR(SEARCH($AN$685,AK459)))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4138" operator="containsText" id="{898A0BEA-F550-4782-ADFF-EA90ED9058D8}">
            <xm:f>NOT(ISERROR(SEARCH($AN$684,AK459)))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4139" operator="containsText" id="{309C5316-22A6-4A5F-9FC5-C9299D86EB68}">
            <xm:f>NOT(ISERROR(SEARCH($AN$683,AK459)))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4140" operator="containsText" id="{84C54809-A12E-4EAC-B407-842CB4D1DAF7}">
            <xm:f>NOT(ISERROR(SEARCH($AN$682,AK459)))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4141" operator="containsText" id="{F8D298FB-8266-47BA-9DB5-EBB335D24E55}">
            <xm:f>NOT(ISERROR(SEARCH($AN$681,AK459)))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142" operator="containsText" id="{A15FCFB5-8CBC-4D1E-AEFE-4C462A444EA8}">
            <xm:f>NOT(ISERROR(SEARCH($AN$680,AK459)))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143" operator="containsText" id="{8A94B4A1-49F0-465E-BA47-F72BB28D3C6D}">
            <xm:f>NOT(ISERROR(SEARCH($AN$678,AK459)))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144" operator="containsText" id="{17B0F504-898D-446C-B384-2B14C0FAE2AB}">
            <xm:f>NOT(ISERROR(SEARCH($AN$679,AK459)))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145" operator="containsText" id="{DCF2C72B-71F6-4476-8656-14B5B23E5E67}">
            <xm:f>NOT(ISERROR(SEARCH($AN$681,AK459)))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4146" operator="containsText" id="{B514A090-D229-4C93-B24B-D7798EF338A1}">
            <xm:f>NOT(ISERROR(SEARCH($AN$680,AK459)))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4147" operator="containsText" id="{59B47AF8-D99A-46F3-88D6-2AC3E2240A27}">
            <xm:f>NOT(ISERROR(SEARCH($AN$678,AK459)))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4148" operator="containsText" id="{0B1A3EA3-7246-48D8-9BF7-44CE4D55319F}">
            <xm:f>NOT(ISERROR(SEARCH($AN$679,AK459)))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AK459</xm:sqref>
        </x14:conditionalFormatting>
        <x14:conditionalFormatting xmlns:xm="http://schemas.microsoft.com/office/excel/2006/main">
          <x14:cfRule type="containsText" priority="11283" operator="containsText" id="{87763246-881C-4BC3-91D1-28EF679E8640}">
            <xm:f>NOT(ISERROR(SEARCH($AN$688,AK551)))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1284" operator="containsText" id="{1D5C1BE2-7213-4FF6-AB7C-177B13DE87EA}">
            <xm:f>NOT(ISERROR(SEARCH($AN$686,AK551)))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285" operator="containsText" id="{333BB7C3-DDA0-4A0B-8718-A4628DD3DCE7}">
            <xm:f>NOT(ISERROR(SEARCH($AN$685,AK551)))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1286" operator="containsText" id="{1D20FD04-5D09-48FD-816D-743860EDB5BE}">
            <xm:f>NOT(ISERROR(SEARCH($AN$684,AK551)))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1287" operator="containsText" id="{E66D9121-CC45-4FC4-BD49-B84D0AD99F74}">
            <xm:f>NOT(ISERROR(SEARCH($AN$683,AK551)))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1288" operator="containsText" id="{7720A9E8-F2FF-41A6-825D-56C12DCDA7FE}">
            <xm:f>NOT(ISERROR(SEARCH($AN$682,AK551)))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1289" operator="containsText" id="{F749AFE2-4EBF-495C-8D4E-2B3536BF1C1C}">
            <xm:f>NOT(ISERROR(SEARCH($AN$681,AK551)))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1290" operator="containsText" id="{0E7E93D2-679C-4DE4-8FB6-9DD85534B6A6}">
            <xm:f>NOT(ISERROR(SEARCH($AN$680,AK551)))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1291" operator="containsText" id="{33C84EBD-FAA2-47D1-99BB-C212752F4DCC}">
            <xm:f>NOT(ISERROR(SEARCH($AN$678,AK551)))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1292" operator="containsText" id="{B69D699D-BBEF-4F82-AD6F-44F9C3F24C2D}">
            <xm:f>NOT(ISERROR(SEARCH($AN$679,AK551)))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AK551</xm:sqref>
        </x14:conditionalFormatting>
        <x14:conditionalFormatting xmlns:xm="http://schemas.microsoft.com/office/excel/2006/main">
          <x14:cfRule type="containsText" priority="3768" operator="containsText" id="{3167AEE1-6720-4611-B2D2-A2322B0B43D1}">
            <xm:f>NOT(ISERROR(SEARCH($AN$687,AK552)))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769" operator="containsText" id="{409E36F3-BCC1-413C-B233-2833597C6E43}">
            <xm:f>NOT(ISERROR(SEARCH($AN$688,AK552)))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770" operator="containsText" id="{624714CD-BA01-40BC-BF35-35A42CB5DDB5}">
            <xm:f>NOT(ISERROR(SEARCH($AN$686,AK552)))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771" operator="containsText" id="{B0E97846-6D82-42E7-B3B4-3B7CB9E6A476}">
            <xm:f>NOT(ISERROR(SEARCH($AN$685,AK552)))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772" operator="containsText" id="{E4DA8070-4817-4F0F-B418-0FC7701A70BF}">
            <xm:f>NOT(ISERROR(SEARCH($AN$684,AK552)))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773" operator="containsText" id="{31A33780-7AF9-40F1-9650-AD1A1FBBA4ED}">
            <xm:f>NOT(ISERROR(SEARCH($AN$683,AK552)))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774" operator="containsText" id="{1CD6DF8C-9A23-4002-863F-C2AE80325B5D}">
            <xm:f>NOT(ISERROR(SEARCH($AN$682,AK552)))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775" operator="containsText" id="{765294D7-690C-411F-BFF2-8A415EFEB0DA}">
            <xm:f>NOT(ISERROR(SEARCH($AN$681,AK552)))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776" operator="containsText" id="{67ABABF3-363D-4925-80CE-3049D0F1961F}">
            <xm:f>NOT(ISERROR(SEARCH($AN$680,AK552)))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777" operator="containsText" id="{D6760E3C-E816-4DF3-99B2-13723E6E5BFE}">
            <xm:f>NOT(ISERROR(SEARCH($AN$678,AK552)))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778" operator="containsText" id="{13214952-C927-49DD-834F-F23A84790701}">
            <xm:f>NOT(ISERROR(SEARCH($AN$679,AK552)))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AK552</xm:sqref>
        </x14:conditionalFormatting>
        <x14:conditionalFormatting xmlns:xm="http://schemas.microsoft.com/office/excel/2006/main">
          <x14:cfRule type="containsText" priority="3786" operator="containsText" id="{7946898A-7610-4B85-982A-A9417C81928A}">
            <xm:f>NOT(ISERROR(SEARCH($AN$681,AK552)))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787" operator="containsText" id="{D3B35A64-9A25-4099-816D-61F36314CE86}">
            <xm:f>NOT(ISERROR(SEARCH($AN$680,AK552)))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788" operator="containsText" id="{03D8045B-D68C-4E61-9B8E-30509B1709FB}">
            <xm:f>NOT(ISERROR(SEARCH($AN$678,AK552)))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789" operator="containsText" id="{AE76D189-7A5D-47D3-9022-90A3E77689C2}">
            <xm:f>NOT(ISERROR(SEARCH($AN$679,AK552)))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AK552:AK553</xm:sqref>
        </x14:conditionalFormatting>
        <x14:conditionalFormatting xmlns:xm="http://schemas.microsoft.com/office/excel/2006/main">
          <x14:cfRule type="containsText" priority="3779" operator="containsText" id="{BE0E04D8-FB00-4288-A5B6-E6D276157966}">
            <xm:f>NOT(ISERROR(SEARCH($AN$687,AK552)))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780" operator="containsText" id="{C2A64489-E937-46F2-8BF1-0151E1C5D06A}">
            <xm:f>NOT(ISERROR(SEARCH($AN$688,AK552)))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781" operator="containsText" id="{7ABB18CA-C8E6-4535-B672-FA15630C6DBB}">
            <xm:f>NOT(ISERROR(SEARCH($AN$686,AK552)))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782" operator="containsText" id="{16BEC880-2D3C-44B2-9366-01EC17A73938}">
            <xm:f>NOT(ISERROR(SEARCH($AN$685,AK552)))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783" operator="containsText" id="{3CF52E91-B678-4F5A-BF28-B4AC2EDE974A}">
            <xm:f>NOT(ISERROR(SEARCH($AN$684,AK552)))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784" operator="containsText" id="{FA047E5F-FBB8-4784-9EC5-8A26F4FB0E2E}">
            <xm:f>NOT(ISERROR(SEARCH($AN$683,AK552)))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785" operator="containsText" id="{1F542030-E3BE-4EC7-B0A3-711AC1EBC721}">
            <xm:f>NOT(ISERROR(SEARCH($AN$682,AK552)))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AK552:AK554</xm:sqref>
        </x14:conditionalFormatting>
        <x14:conditionalFormatting xmlns:xm="http://schemas.microsoft.com/office/excel/2006/main">
          <x14:cfRule type="containsText" priority="3803" operator="containsText" id="{770B620F-7DAB-46DD-BB55-3A219EC4005F}">
            <xm:f>NOT(ISERROR(SEARCH($AN$681,AK553)))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804" operator="containsText" id="{44ECC956-7C1B-40F6-AFE2-D51AF9D4E74B}">
            <xm:f>NOT(ISERROR(SEARCH($AN$680,AK553)))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805" operator="containsText" id="{6739A5BE-F41A-457C-8D05-B836A5B23695}">
            <xm:f>NOT(ISERROR(SEARCH($AN$678,AK553)))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806" operator="containsText" id="{737FEA07-5B25-47D7-83C4-54ED28381A99}">
            <xm:f>NOT(ISERROR(SEARCH($AN$679,AK553)))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807" operator="containsText" id="{5DF7A5D1-DE2F-4525-939E-1F6F7DBF52BC}">
            <xm:f>NOT(ISERROR(SEARCH($AN$681,AK553)))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808" operator="containsText" id="{5FDFCED4-1D2D-491D-AD9F-6C0780F052E9}">
            <xm:f>NOT(ISERROR(SEARCH($AN$680,AK553)))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809" operator="containsText" id="{0986AB81-0E0C-496E-9DD2-08E2CFCDC5D9}">
            <xm:f>NOT(ISERROR(SEARCH($AN$678,AK553)))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810" operator="containsText" id="{A5091A66-E682-4A80-A9FC-08A3F58EFC8D}">
            <xm:f>NOT(ISERROR(SEARCH($AN$679,AK553)))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AK553:AK554</xm:sqref>
        </x14:conditionalFormatting>
        <x14:conditionalFormatting xmlns:xm="http://schemas.microsoft.com/office/excel/2006/main">
          <x14:cfRule type="containsText" priority="3790" operator="containsText" id="{68CFC3A0-74D7-4317-B112-0BB1257C627E}">
            <xm:f>NOT(ISERROR(SEARCH($AN$690,AK553)))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791" operator="containsText" id="{6A6A11ED-F936-4078-90BA-70C3E48B4897}">
            <xm:f>NOT(ISERROR(SEARCH($AN$704,AK553)))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792" operator="containsText" id="{39F6314C-54CF-45AB-BDCF-3D02AF28A955}">
            <xm:f>NOT(ISERROR(SEARCH($AN$693,AK553)))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793" operator="containsText" id="{6CA44B07-CF79-44CE-93F2-E2ACE346066B}">
            <xm:f>NOT(ISERROR(SEARCH($AN$692,AK553)))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794" operator="containsText" id="{0A68997B-7033-4F1C-AFD6-A69438FCEAB7}">
            <xm:f>NOT(ISERROR(SEARCH($AN$691,AK553)))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795" operator="containsText" id="{55D28F9F-F4A0-42DF-8E2A-7C5DC0E81C33}">
            <xm:f>NOT(ISERROR(SEARCH($AN$689,AK553)))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796" operator="containsText" id="{79F966A6-77EA-4F52-B95F-323E77022B94}">
            <xm:f>NOT(ISERROR(SEARCH($AN$687,AK553)))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797" operator="containsText" id="{4084E077-B6EF-4DC4-8EED-8A628624CC01}">
            <xm:f>NOT(ISERROR(SEARCH($AN$688,AK553)))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798" operator="containsText" id="{48D9D838-CF6C-467C-8165-BA398C9B76FA}">
            <xm:f>NOT(ISERROR(SEARCH($AN$686,AK553)))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799" operator="containsText" id="{2BDD27AF-9F80-48B6-A852-195F2FF0857E}">
            <xm:f>NOT(ISERROR(SEARCH($AN$685,AK553)))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800" operator="containsText" id="{5E713B8D-821A-49B0-A7D1-85EFE7AA7C1F}">
            <xm:f>NOT(ISERROR(SEARCH($AN$684,AK553)))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801" operator="containsText" id="{6E7810DC-28DE-4189-9F88-66167650859E}">
            <xm:f>NOT(ISERROR(SEARCH($AN$683,AK553)))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802" operator="containsText" id="{8742BF1A-A0CF-4DD2-896C-CF868147589E}">
            <xm:f>NOT(ISERROR(SEARCH($AN$682,AK553)))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AK553:AK555</xm:sqref>
        </x14:conditionalFormatting>
        <x14:conditionalFormatting xmlns:xm="http://schemas.microsoft.com/office/excel/2006/main">
          <x14:cfRule type="containsText" priority="3811" operator="containsText" id="{34D7426B-9BB5-4BB5-A6F3-1CB5165F2DE8}">
            <xm:f>NOT(ISERROR(SEARCH($AN$690,AK555)))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812" operator="containsText" id="{3BA0952B-69F8-4B36-BC60-7FEDF12399ED}">
            <xm:f>NOT(ISERROR(SEARCH($AN$704,AK555)))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813" operator="containsText" id="{82C3382A-4347-4084-8C35-F846991B8FB7}">
            <xm:f>NOT(ISERROR(SEARCH($AN$693,AK555)))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814" operator="containsText" id="{49B6B34E-0281-43D6-A51E-113449D9050E}">
            <xm:f>NOT(ISERROR(SEARCH($AN$692,AK555)))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815" operator="containsText" id="{1BAD9D96-98E7-4E59-831F-E947533FB131}">
            <xm:f>NOT(ISERROR(SEARCH($AN$691,AK555)))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816" operator="containsText" id="{79484399-1977-43FF-9396-56EFE10173CD}">
            <xm:f>NOT(ISERROR(SEARCH($AN$689,AK555)))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817" operator="containsText" id="{3CE1B0C8-9477-4373-B58A-C808552DBB1A}">
            <xm:f>NOT(ISERROR(SEARCH($AN$687,AK555)))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818" operator="containsText" id="{D6168DFC-A71E-49E3-9953-8F1EFBFB2CA8}">
            <xm:f>NOT(ISERROR(SEARCH($AN$688,AK555)))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819" operator="containsText" id="{34898730-D39F-437E-A64F-B7DAF4C08BD8}">
            <xm:f>NOT(ISERROR(SEARCH($AN$686,AK555)))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820" operator="containsText" id="{CF08BBBB-A918-494A-BEE4-B49BC6B7B265}">
            <xm:f>NOT(ISERROR(SEARCH($AN$685,AK555)))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821" operator="containsText" id="{E4268D82-7F7C-4CF7-8E66-E8061C51E999}">
            <xm:f>NOT(ISERROR(SEARCH($AN$684,AK555)))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822" operator="containsText" id="{6DD906AC-149A-4AEB-A052-3D1F2B3B85F3}">
            <xm:f>NOT(ISERROR(SEARCH($AN$683,AK555)))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823" operator="containsText" id="{D974022F-77BD-4A2D-96ED-8A0CCDD1E259}">
            <xm:f>NOT(ISERROR(SEARCH($AN$682,AK555)))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824" operator="containsText" id="{9FDE713E-6309-4E37-9608-9098146F96F9}">
            <xm:f>NOT(ISERROR(SEARCH($AN$681,AK555)))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825" operator="containsText" id="{3F137F64-E9AF-434C-AD62-00F2AFB0E7EE}">
            <xm:f>NOT(ISERROR(SEARCH($AN$680,AK555)))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826" operator="containsText" id="{CE0E9A82-8A4F-4497-86CC-E58AE35591C5}">
            <xm:f>NOT(ISERROR(SEARCH($AN$678,AK555)))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827" operator="containsText" id="{ECB6AFBD-1D45-4369-BAB1-905DD94DC2B5}">
            <xm:f>NOT(ISERROR(SEARCH($AN$679,AK555)))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828" operator="containsText" id="{DB6F345C-06B9-48FC-BDF3-52362D06911D}">
            <xm:f>NOT(ISERROR(SEARCH($AN$681,AK555)))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829" operator="containsText" id="{63462B7E-341C-410D-B0BB-B825342F2A1C}">
            <xm:f>NOT(ISERROR(SEARCH($AN$680,AK555)))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830" operator="containsText" id="{0801537E-C1FF-42BF-A8DD-52B4D6788DC7}">
            <xm:f>NOT(ISERROR(SEARCH($AN$678,AK555)))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831" operator="containsText" id="{4533DA09-41D1-4F87-AC2C-FC163767AFE0}">
            <xm:f>NOT(ISERROR(SEARCH($AN$679,AK555)))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AK555</xm:sqref>
        </x14:conditionalFormatting>
        <x14:conditionalFormatting xmlns:xm="http://schemas.microsoft.com/office/excel/2006/main">
          <x14:cfRule type="containsText" priority="10934" operator="containsText" id="{C6DA67F6-E8E6-419F-AED3-98D721CF7F4E}">
            <xm:f>NOT(ISERROR(SEARCH($AN$688,AK647)))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935" operator="containsText" id="{9B4314FD-D2B8-400D-9043-F10BF883CFBA}">
            <xm:f>NOT(ISERROR(SEARCH($AN$686,AK647)))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936" operator="containsText" id="{04E1E7AD-2C57-4E73-B1C0-93FE2982DD55}">
            <xm:f>NOT(ISERROR(SEARCH($AN$685,AK647)))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937" operator="containsText" id="{DB327015-067C-421E-BD9F-4AF07A77FDFD}">
            <xm:f>NOT(ISERROR(SEARCH($AN$684,AK647)))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938" operator="containsText" id="{24D2A511-C935-45D0-8731-2473DD0B9958}">
            <xm:f>NOT(ISERROR(SEARCH($AN$683,AK647)))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939" operator="containsText" id="{53583BCA-442B-4189-87AA-153E173B80C9}">
            <xm:f>NOT(ISERROR(SEARCH($AN$682,AK647)))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940" operator="containsText" id="{96E3381E-1F4A-4780-8E3E-CB35FD277563}">
            <xm:f>NOT(ISERROR(SEARCH($AN$681,AK647)))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941" operator="containsText" id="{059F4110-7409-46D3-8314-D1B5D4FE5D72}">
            <xm:f>NOT(ISERROR(SEARCH($AN$680,AK647)))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942" operator="containsText" id="{F504BB93-238C-4EB1-A72A-B83002D37827}">
            <xm:f>NOT(ISERROR(SEARCH($AN$678,AK647)))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943" operator="containsText" id="{9F8BAFF0-1CB0-4943-9655-1497FF4E949E}">
            <xm:f>NOT(ISERROR(SEARCH($AN$679,AK647)))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AK647</xm:sqref>
        </x14:conditionalFormatting>
        <x14:conditionalFormatting xmlns:xm="http://schemas.microsoft.com/office/excel/2006/main">
          <x14:cfRule type="containsText" priority="3451" operator="containsText" id="{0D75F998-EBD6-476B-A106-B483AF84183E}">
            <xm:f>NOT(ISERROR(SEARCH($AN$687,AK648)))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452" operator="containsText" id="{283C5708-8DD8-4F67-82F0-1B976D3D7816}">
            <xm:f>NOT(ISERROR(SEARCH($AN$688,AK648)))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453" operator="containsText" id="{7703C616-F2E7-4EAA-A9C3-A974669CE2B0}">
            <xm:f>NOT(ISERROR(SEARCH($AN$686,AK648)))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454" operator="containsText" id="{A43253E0-F7E7-4D02-9473-9CA9CBC9A65C}">
            <xm:f>NOT(ISERROR(SEARCH($AN$685,AK648)))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455" operator="containsText" id="{9562C394-9EC2-414C-8F45-212F643C79DB}">
            <xm:f>NOT(ISERROR(SEARCH($AN$684,AK648)))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456" operator="containsText" id="{8E7D41A6-EAFF-4C32-B1B5-FF0239FB8723}">
            <xm:f>NOT(ISERROR(SEARCH($AN$683,AK648)))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457" operator="containsText" id="{B5FED465-C348-441E-B868-23AF91BB9A9D}">
            <xm:f>NOT(ISERROR(SEARCH($AN$682,AK648)))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458" operator="containsText" id="{F43645B5-B8FF-48BB-B45C-8EDA136DEA26}">
            <xm:f>NOT(ISERROR(SEARCH($AN$681,AK648)))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459" operator="containsText" id="{7138C31F-899B-4898-A1CA-C84DCD0A76E4}">
            <xm:f>NOT(ISERROR(SEARCH($AN$680,AK648)))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460" operator="containsText" id="{959EC488-BA3B-46E1-B2FE-26589D7B8932}">
            <xm:f>NOT(ISERROR(SEARCH($AN$678,AK648)))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461" operator="containsText" id="{6FD24DC8-463C-4BE6-A48C-6232F0214625}">
            <xm:f>NOT(ISERROR(SEARCH($AN$679,AK648)))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AK648</xm:sqref>
        </x14:conditionalFormatting>
        <x14:conditionalFormatting xmlns:xm="http://schemas.microsoft.com/office/excel/2006/main">
          <x14:cfRule type="containsText" priority="3469" operator="containsText" id="{DA3B0627-73D5-4B5E-820D-7B1D4C56EF03}">
            <xm:f>NOT(ISERROR(SEARCH($AN$681,AK648)))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470" operator="containsText" id="{3B386165-1BD3-46D1-AFE2-DF77AF7AE04D}">
            <xm:f>NOT(ISERROR(SEARCH($AN$680,AK648)))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471" operator="containsText" id="{5555933C-A81A-4740-B1B2-B0454B48DD00}">
            <xm:f>NOT(ISERROR(SEARCH($AN$678,AK648)))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472" operator="containsText" id="{47CF22A4-6411-4E88-A0BE-34101CB1B855}">
            <xm:f>NOT(ISERROR(SEARCH($AN$679,AK648)))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AK648:AK649</xm:sqref>
        </x14:conditionalFormatting>
        <x14:conditionalFormatting xmlns:xm="http://schemas.microsoft.com/office/excel/2006/main">
          <x14:cfRule type="containsText" priority="3462" operator="containsText" id="{65EEB6CA-804F-4C1B-AF22-9E41346A81A3}">
            <xm:f>NOT(ISERROR(SEARCH($AN$687,AK648)))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463" operator="containsText" id="{49949963-A4CB-4683-A415-E840ECD6A13F}">
            <xm:f>NOT(ISERROR(SEARCH($AN$688,AK648)))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464" operator="containsText" id="{1D97A452-D022-458A-905F-C718A336A5C5}">
            <xm:f>NOT(ISERROR(SEARCH($AN$686,AK648)))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465" operator="containsText" id="{9FA2FAAD-DDF2-4408-BA60-99EFBB6BFB4D}">
            <xm:f>NOT(ISERROR(SEARCH($AN$685,AK648)))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466" operator="containsText" id="{BADE0819-9B01-4120-9F2E-13ACB960BB31}">
            <xm:f>NOT(ISERROR(SEARCH($AN$684,AK648)))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467" operator="containsText" id="{C7D10C89-6EA9-42DC-A875-6A244F294C05}">
            <xm:f>NOT(ISERROR(SEARCH($AN$683,AK648)))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468" operator="containsText" id="{1686C706-95B5-4640-982B-7BEEA3073344}">
            <xm:f>NOT(ISERROR(SEARCH($AN$682,AK648)))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AK648:AK650</xm:sqref>
        </x14:conditionalFormatting>
        <x14:conditionalFormatting xmlns:xm="http://schemas.microsoft.com/office/excel/2006/main">
          <x14:cfRule type="containsText" priority="3486" operator="containsText" id="{A77AE539-1181-4767-8892-E4FE07CEF273}">
            <xm:f>NOT(ISERROR(SEARCH($AN$681,AK649)))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487" operator="containsText" id="{C4CFBD21-6076-48EA-926B-174FBD7EF72C}">
            <xm:f>NOT(ISERROR(SEARCH($AN$680,AK649)))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488" operator="containsText" id="{40969659-CFDA-43F7-9CD7-35D2D7BACC17}">
            <xm:f>NOT(ISERROR(SEARCH($AN$678,AK649)))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489" operator="containsText" id="{CF6D895F-F23C-4BE9-9C41-16C0381DAB7F}">
            <xm:f>NOT(ISERROR(SEARCH($AN$679,AK649)))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490" operator="containsText" id="{6D1656FB-8110-499C-912B-D60C08DF0F3D}">
            <xm:f>NOT(ISERROR(SEARCH($AN$681,AK649)))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491" operator="containsText" id="{CC03E8F2-4AAC-4D8D-A897-D812727E8063}">
            <xm:f>NOT(ISERROR(SEARCH($AN$680,AK649)))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492" operator="containsText" id="{5FB7FC70-8F00-46B2-8FE8-1BF4B24A692F}">
            <xm:f>NOT(ISERROR(SEARCH($AN$678,AK649)))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493" operator="containsText" id="{D3E4642F-3C48-474B-BC25-FFBB4AA3E751}">
            <xm:f>NOT(ISERROR(SEARCH($AN$679,AK649)))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AK649:AK650</xm:sqref>
        </x14:conditionalFormatting>
        <x14:conditionalFormatting xmlns:xm="http://schemas.microsoft.com/office/excel/2006/main">
          <x14:cfRule type="containsText" priority="3473" operator="containsText" id="{D955E2A5-D15B-4659-BBEF-00F8C828BE1C}">
            <xm:f>NOT(ISERROR(SEARCH($AN$690,AK649)))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474" operator="containsText" id="{56D3069B-4F1B-4931-A7D7-4E271744B0F4}">
            <xm:f>NOT(ISERROR(SEARCH($AN$704,AK649)))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475" operator="containsText" id="{8EDCB947-34D6-4052-ADD8-7B83C9B7A091}">
            <xm:f>NOT(ISERROR(SEARCH($AN$693,AK649)))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476" operator="containsText" id="{DE9A57BE-6B5B-4E99-98E1-7D927F0E3F41}">
            <xm:f>NOT(ISERROR(SEARCH($AN$692,AK649)))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477" operator="containsText" id="{046D825C-1334-49EA-BC1A-341DD5E38C7B}">
            <xm:f>NOT(ISERROR(SEARCH($AN$691,AK649)))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478" operator="containsText" id="{71B89D2C-6825-4F8A-A973-0E06F957D5B0}">
            <xm:f>NOT(ISERROR(SEARCH($AN$689,AK649)))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479" operator="containsText" id="{9FF6B5A2-701B-4B56-A02F-0123C47897A1}">
            <xm:f>NOT(ISERROR(SEARCH($AN$687,AK649)))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480" operator="containsText" id="{BCF32B73-403F-4EEF-9ED8-99C8593EC545}">
            <xm:f>NOT(ISERROR(SEARCH($AN$688,AK649)))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481" operator="containsText" id="{8F4E4B1C-E00E-4F87-9453-20CB41899443}">
            <xm:f>NOT(ISERROR(SEARCH($AN$686,AK649)))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482" operator="containsText" id="{8B6F64E3-F79A-4D85-88C9-48565287874A}">
            <xm:f>NOT(ISERROR(SEARCH($AN$685,AK649)))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483" operator="containsText" id="{708EB765-C23F-4235-BD29-3DF943710162}">
            <xm:f>NOT(ISERROR(SEARCH($AN$684,AK649)))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484" operator="containsText" id="{E6AA4246-E812-4BE1-A747-02AAEB365DE6}">
            <xm:f>NOT(ISERROR(SEARCH($AN$683,AK649)))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485" operator="containsText" id="{CB124441-561E-4C04-8CF9-1B500E3FEE09}">
            <xm:f>NOT(ISERROR(SEARCH($AN$682,AK649)))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AK649:AK651</xm:sqref>
        </x14:conditionalFormatting>
        <x14:conditionalFormatting xmlns:xm="http://schemas.microsoft.com/office/excel/2006/main">
          <x14:cfRule type="containsText" priority="3494" operator="containsText" id="{F96A7FEF-50D7-4006-B87D-5B44059DA099}">
            <xm:f>NOT(ISERROR(SEARCH($AN$690,AK651)))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3495" operator="containsText" id="{51A7116E-3315-4FDF-957B-97406B763F56}">
            <xm:f>NOT(ISERROR(SEARCH($AN$704,AK651)))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496" operator="containsText" id="{652CFB53-89FA-4BED-BBEC-B901B779B5E9}">
            <xm:f>NOT(ISERROR(SEARCH($AN$693,AK651)))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3497" operator="containsText" id="{0F0C7900-61CF-4B1E-A6FC-428DDC913BF4}">
            <xm:f>NOT(ISERROR(SEARCH($AN$692,AK651)))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498" operator="containsText" id="{921EC35D-8731-417E-9D16-11BE22BFDF67}">
            <xm:f>NOT(ISERROR(SEARCH($AN$691,AK651)))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3499" operator="containsText" id="{14E9A0FF-C202-49E9-9CE7-4E8F778A8D00}">
            <xm:f>NOT(ISERROR(SEARCH($AN$689,AK651)))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500" operator="containsText" id="{3BC143E2-D481-4DA7-A614-32C9C2F10F30}">
            <xm:f>NOT(ISERROR(SEARCH($AN$687,AK651)))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3501" operator="containsText" id="{10215093-9A7E-47D7-9CBF-38A628913208}">
            <xm:f>NOT(ISERROR(SEARCH($AN$688,AK651)))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502" operator="containsText" id="{418E38C3-835B-4AC6-93AB-A6092948E9BB}">
            <xm:f>NOT(ISERROR(SEARCH($AN$686,AK651)))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503" operator="containsText" id="{1849F34A-263D-4F52-896E-DD974F5EB335}">
            <xm:f>NOT(ISERROR(SEARCH($AN$685,AK651)))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3504" operator="containsText" id="{B57D76FB-D17A-40BA-9022-31380DDB1DD8}">
            <xm:f>NOT(ISERROR(SEARCH($AN$684,AK651)))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3505" operator="containsText" id="{5CFF2B38-E92E-4027-B814-579552F3A863}">
            <xm:f>NOT(ISERROR(SEARCH($AN$683,AK651)))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3506" operator="containsText" id="{4379DA3F-CB2D-4677-A41B-6013B0CD9D4E}">
            <xm:f>NOT(ISERROR(SEARCH($AN$682,AK651)))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3507" operator="containsText" id="{B3F2D81C-DC82-434A-B9D4-2B7437A27984}">
            <xm:f>NOT(ISERROR(SEARCH($AN$681,AK651)))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508" operator="containsText" id="{867AE2CA-05F3-40C1-A5C3-0536E0368F9B}">
            <xm:f>NOT(ISERROR(SEARCH($AN$680,AK651)))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509" operator="containsText" id="{0C16D656-F3EE-40F7-A99E-2EB11A43E5CC}">
            <xm:f>NOT(ISERROR(SEARCH($AN$678,AK651)))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510" operator="containsText" id="{F8F5C1DC-A3FF-4A4D-B143-C462C8D2F485}">
            <xm:f>NOT(ISERROR(SEARCH($AN$679,AK651)))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511" operator="containsText" id="{DC10F356-14FD-4E52-A980-7B35E529C337}">
            <xm:f>NOT(ISERROR(SEARCH($AN$681,AK651)))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3512" operator="containsText" id="{50119C81-0F09-48C3-91DE-88F517961C22}">
            <xm:f>NOT(ISERROR(SEARCH($AN$680,AK651)))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3513" operator="containsText" id="{A9128A5A-D2F5-46D6-871B-1BFFC8325B16}">
            <xm:f>NOT(ISERROR(SEARCH($AN$678,AK651)))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3514" operator="containsText" id="{115C4B31-F016-4C58-BC20-83778CE17675}">
            <xm:f>NOT(ISERROR(SEARCH($AN$679,AK651)))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AK651</xm:sqref>
        </x14:conditionalFormatting>
        <x14:conditionalFormatting xmlns:xm="http://schemas.microsoft.com/office/excel/2006/main">
          <x14:cfRule type="containsText" priority="10584" operator="containsText" id="{AC966B05-5BFD-444B-B62E-C445D9C34CAD}">
            <xm:f>NOT(ISERROR(SEARCH($AN$687,AK743)))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585" operator="containsText" id="{7C75C5DA-989B-492B-A969-DB73F718133A}">
            <xm:f>NOT(ISERROR(SEARCH($AN$688,AK743)))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586" operator="containsText" id="{376DD6E7-EC7B-4BA8-9E7A-3A621A5AD86B}">
            <xm:f>NOT(ISERROR(SEARCH($AN$686,AK743)))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587" operator="containsText" id="{8BE2EF47-F8AA-4E76-BA70-375D797998CD}">
            <xm:f>NOT(ISERROR(SEARCH($AN$685,AK743)))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588" operator="containsText" id="{2EE4691B-3F65-410E-B3C7-280ABFF161AA}">
            <xm:f>NOT(ISERROR(SEARCH($AN$684,AK743)))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589" operator="containsText" id="{8E7FB4DA-4FDE-475D-995D-47D82497004B}">
            <xm:f>NOT(ISERROR(SEARCH($AN$683,AK743)))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590" operator="containsText" id="{12F36E8F-9E2C-4AC1-A063-2DBB67732FFD}">
            <xm:f>NOT(ISERROR(SEARCH($AN$682,AK743)))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591" operator="containsText" id="{D2D6F7AF-107E-49F6-924F-77C6E80A5656}">
            <xm:f>NOT(ISERROR(SEARCH($AN$681,AK743)))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592" operator="containsText" id="{B8100D05-0E7E-43C8-9941-347305E9A710}">
            <xm:f>NOT(ISERROR(SEARCH($AN$680,AK743)))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593" operator="containsText" id="{B85A04BB-41BD-41D8-8FDA-878431F829BF}">
            <xm:f>NOT(ISERROR(SEARCH($AN$678,AK743)))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594" operator="containsText" id="{ABE2BE73-34A0-412C-8C62-C130104868AF}">
            <xm:f>NOT(ISERROR(SEARCH($AN$679,AK743)))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AK743:AK744</xm:sqref>
        </x14:conditionalFormatting>
        <x14:conditionalFormatting xmlns:xm="http://schemas.microsoft.com/office/excel/2006/main">
          <x14:cfRule type="containsText" priority="10603" operator="containsText" id="{B43C42DD-D4C0-4DDD-9442-27BE300D882D}">
            <xm:f>NOT(ISERROR(SEARCH($AN$681,AK744)))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604" operator="containsText" id="{F3362D5D-025C-4D08-B6C7-41A98B77B5EF}">
            <xm:f>NOT(ISERROR(SEARCH($AN$680,AK744)))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605" operator="containsText" id="{45759FC1-FAC5-46C1-8FBB-A08C7774C29D}">
            <xm:f>NOT(ISERROR(SEARCH($AN$678,AK744)))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606" operator="containsText" id="{9F4CC58B-76E7-48A3-A33F-4A390D7B680A}">
            <xm:f>NOT(ISERROR(SEARCH($AN$679,AK744)))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AK744:AK745</xm:sqref>
        </x14:conditionalFormatting>
        <x14:conditionalFormatting xmlns:xm="http://schemas.microsoft.com/office/excel/2006/main">
          <x14:cfRule type="containsText" priority="10596" operator="containsText" id="{4227D831-B412-4A1E-9A38-4CB7967771A3}">
            <xm:f>NOT(ISERROR(SEARCH($AN$687,AK744)))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597" operator="containsText" id="{729BF4F9-6936-44DC-85FA-A53B9EFD8642}">
            <xm:f>NOT(ISERROR(SEARCH($AN$688,AK744)))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598" operator="containsText" id="{A683570B-09AE-45C1-8D08-6199A160100B}">
            <xm:f>NOT(ISERROR(SEARCH($AN$686,AK744)))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599" operator="containsText" id="{2D8E829E-E461-4EF4-8A87-F02982EA92D7}">
            <xm:f>NOT(ISERROR(SEARCH($AN$685,AK744)))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600" operator="containsText" id="{4BD50892-9CFB-427B-8056-0C6E03AE0AFA}">
            <xm:f>NOT(ISERROR(SEARCH($AN$684,AK744)))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601" operator="containsText" id="{24582CAF-595E-44A8-86B4-93CCC50211FA}">
            <xm:f>NOT(ISERROR(SEARCH($AN$683,AK744)))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602" operator="containsText" id="{F14FE1DE-270C-4949-B914-DDE23B0ABF4E}">
            <xm:f>NOT(ISERROR(SEARCH($AN$682,AK744)))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AK744:AK746</xm:sqref>
        </x14:conditionalFormatting>
        <x14:conditionalFormatting xmlns:xm="http://schemas.microsoft.com/office/excel/2006/main">
          <x14:cfRule type="containsText" priority="10620" operator="containsText" id="{BF675B8D-B9C6-46F3-99C9-E9128F122BA8}">
            <xm:f>NOT(ISERROR(SEARCH($AN$681,AK745)))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621" operator="containsText" id="{FEC50F54-AAF3-4F41-BB38-4DB7697E54FD}">
            <xm:f>NOT(ISERROR(SEARCH($AN$680,AK745)))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622" operator="containsText" id="{30A1DCAF-81C8-418D-AC09-F2B4E51C0ACD}">
            <xm:f>NOT(ISERROR(SEARCH($AN$678,AK745)))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623" operator="containsText" id="{C239C793-8A46-41E7-AE19-2855715449B5}">
            <xm:f>NOT(ISERROR(SEARCH($AN$679,AK745)))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0624" operator="containsText" id="{DA1C149F-FB2E-47EB-944B-2991F1AD150E}">
            <xm:f>NOT(ISERROR(SEARCH($AN$681,AK745)))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625" operator="containsText" id="{A9859224-A7C5-41FA-84AE-2D8D4678292C}">
            <xm:f>NOT(ISERROR(SEARCH($AN$680,AK745)))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626" operator="containsText" id="{0DD3171E-12C1-4E73-B25C-99EB3121D38A}">
            <xm:f>NOT(ISERROR(SEARCH($AN$678,AK745)))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627" operator="containsText" id="{FE36DA2A-1A6F-409B-B8C4-002B3904F3F1}">
            <xm:f>NOT(ISERROR(SEARCH($AN$679,AK745)))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AK745:AK746</xm:sqref>
        </x14:conditionalFormatting>
        <x14:conditionalFormatting xmlns:xm="http://schemas.microsoft.com/office/excel/2006/main">
          <x14:cfRule type="containsText" priority="10607" operator="containsText" id="{4AA3B21E-5DE4-4C44-A564-B4AD12640C01}">
            <xm:f>NOT(ISERROR(SEARCH($AN$690,AK745)))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0608" operator="containsText" id="{64004BDC-769A-4BC8-9481-57476E3A71D5}">
            <xm:f>NOT(ISERROR(SEARCH($AN$704,AK745)))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0609" operator="containsText" id="{AC921CF0-E59C-4FB2-9686-F5B0118A986A}">
            <xm:f>NOT(ISERROR(SEARCH($AN$693,AK745)))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0610" operator="containsText" id="{06DCB030-5E13-46F5-A46E-A5874EE8935B}">
            <xm:f>NOT(ISERROR(SEARCH($AN$692,AK745)))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611" operator="containsText" id="{D53B7BE9-94C6-4291-B01A-7B00FF4D130F}">
            <xm:f>NOT(ISERROR(SEARCH($AN$691,AK745)))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0612" operator="containsText" id="{DDF378C7-6240-42CE-919B-790CD7FD2982}">
            <xm:f>NOT(ISERROR(SEARCH($AN$689,AK745)))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0613" operator="containsText" id="{21C0571F-0D18-42B6-A80C-B8710C626DD6}">
            <xm:f>NOT(ISERROR(SEARCH($AN$687,AK745)))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614" operator="containsText" id="{81CA26B4-41B3-4EE6-953F-B3D6B2050487}">
            <xm:f>NOT(ISERROR(SEARCH($AN$688,AK745)))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615" operator="containsText" id="{984B3E28-BE42-432B-8B5D-FE04B197780A}">
            <xm:f>NOT(ISERROR(SEARCH($AN$686,AK745)))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616" operator="containsText" id="{DB155A92-9709-480E-A199-300EE857E2C2}">
            <xm:f>NOT(ISERROR(SEARCH($AN$685,AK745)))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617" operator="containsText" id="{AA3AB00E-D4D7-4C55-94B1-B22E11223D75}">
            <xm:f>NOT(ISERROR(SEARCH($AN$684,AK745)))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618" operator="containsText" id="{906A89FC-3CA1-4032-B6A5-17EBFD1ABD23}">
            <xm:f>NOT(ISERROR(SEARCH($AN$683,AK745)))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619" operator="containsText" id="{8DF888DF-84F4-44D1-9D5E-5724CF660062}">
            <xm:f>NOT(ISERROR(SEARCH($AN$682,AK745)))</xm:f>
            <xm:f>$AN$682</xm:f>
            <x14:dxf>
              <fill>
                <patternFill>
                  <bgColor rgb="FFFAE6E2"/>
                </patternFill>
              </fill>
            </x14:dxf>
          </x14:cfRule>
          <xm:sqref>AK745:AK747</xm:sqref>
        </x14:conditionalFormatting>
        <x14:conditionalFormatting xmlns:xm="http://schemas.microsoft.com/office/excel/2006/main">
          <x14:cfRule type="containsText" priority="10628" operator="containsText" id="{EED9F716-A2A1-4376-999A-83215AA8857E}">
            <xm:f>NOT(ISERROR(SEARCH($AN$690,AK747)))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10629" operator="containsText" id="{D699C07F-5352-42EC-9570-DD73368C5ABD}">
            <xm:f>NOT(ISERROR(SEARCH($AN$704,AK747)))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10630" operator="containsText" id="{108ADA81-C25F-4A9B-A372-923D760CC9E8}">
            <xm:f>NOT(ISERROR(SEARCH($AN$693,AK747)))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10631" operator="containsText" id="{D607A443-5DBA-440D-A6EF-FEC6DE0A4119}">
            <xm:f>NOT(ISERROR(SEARCH($AN$692,AK747)))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632" operator="containsText" id="{0C9EDD69-94C7-4DE6-BE71-1DEE634EA93B}">
            <xm:f>NOT(ISERROR(SEARCH($AN$691,AK747)))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10633" operator="containsText" id="{3D368D42-8FF6-4DE9-84FC-54E962522D0F}">
            <xm:f>NOT(ISERROR(SEARCH($AN$689,AK747)))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0634" operator="containsText" id="{2F84C708-23F3-4494-8D29-2B1C17B9B83B}">
            <xm:f>NOT(ISERROR(SEARCH($AN$687,AK747)))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10635" operator="containsText" id="{1AFB1D6A-7448-4339-A0B7-EBF3BFD07A01}">
            <xm:f>NOT(ISERROR(SEARCH($AN$688,AK747)))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636" operator="containsText" id="{170A182C-D8A4-4B42-86BB-6BBFD7B0FADA}">
            <xm:f>NOT(ISERROR(SEARCH($AN$686,AK747)))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637" operator="containsText" id="{84E26FA1-1C54-49FB-A82F-5B0D667C1C42}">
            <xm:f>NOT(ISERROR(SEARCH($AN$685,AK747)))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10638" operator="containsText" id="{6575C398-1B43-4CA3-8B64-6F89147C04FA}">
            <xm:f>NOT(ISERROR(SEARCH($AN$684,AK747)))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0639" operator="containsText" id="{E21E1034-0CC5-46DD-A486-D99189AC4DCF}">
            <xm:f>NOT(ISERROR(SEARCH($AN$683,AK747)))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10640" operator="containsText" id="{AB8DF5A0-2FFB-4BA5-8FC0-F3C6C12A6FF9}">
            <xm:f>NOT(ISERROR(SEARCH($AN$682,AK747)))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10641" operator="containsText" id="{F3E06F09-D0A5-42EB-96D6-AFE46757562F}">
            <xm:f>NOT(ISERROR(SEARCH($AN$681,AK747)))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642" operator="containsText" id="{D779C827-208B-45AB-AA42-E0AA48FD4CF0}">
            <xm:f>NOT(ISERROR(SEARCH($AN$680,AK747)))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643" operator="containsText" id="{32D7311E-7837-4348-806A-6DA9DF00A8D6}">
            <xm:f>NOT(ISERROR(SEARCH($AN$678,AK747)))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644" operator="containsText" id="{5F30C36A-EE56-4B68-A84A-11FA7E56ECC3}">
            <xm:f>NOT(ISERROR(SEARCH($AN$679,AK747)))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0645" operator="containsText" id="{0419719F-B9D1-4470-9595-B831D5876E52}">
            <xm:f>NOT(ISERROR(SEARCH($AN$681,AK747)))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10646" operator="containsText" id="{41C538D8-B1F0-4224-89A4-096325C9CF92}">
            <xm:f>NOT(ISERROR(SEARCH($AN$680,AK747)))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0647" operator="containsText" id="{8C2ACCA8-0001-4959-BC51-B3E92746ABEE}">
            <xm:f>NOT(ISERROR(SEARCH($AN$678,AK747)))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10648" operator="containsText" id="{5A3F0516-FBC1-456E-A0FF-1C64C4EB36F5}">
            <xm:f>NOT(ISERROR(SEARCH($AN$679,AK747)))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AK747</xm:sqref>
        </x14:conditionalFormatting>
        <x14:conditionalFormatting xmlns:xm="http://schemas.microsoft.com/office/excel/2006/main">
          <x14:cfRule type="containsText" priority="55244" operator="containsText" id="{361B831D-EF65-453E-8BBF-86230C5D1148}">
            <xm:f>NOT(ISERROR(SEARCH($AN$690,H3)))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5245" operator="containsText" id="{9AD0B269-801F-489C-B18A-BE2385327E43}">
            <xm:f>NOT(ISERROR(SEARCH($AN$704,H3)))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5246" operator="containsText" id="{6D654CF1-D671-4625-B5C3-679214159A8C}">
            <xm:f>NOT(ISERROR(SEARCH($AN$693,H3)))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5247" operator="containsText" id="{564402A7-73EB-47EC-839F-9FB2490BA774}">
            <xm:f>NOT(ISERROR(SEARCH($AN$692,H3)))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5248" operator="containsText" id="{C6553A9F-1C13-4BD2-9102-705E33A56484}">
            <xm:f>NOT(ISERROR(SEARCH($AN$691,H3)))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5249" operator="containsText" id="{6DA83FE6-BA2A-422D-BC39-93128BB22191}">
            <xm:f>NOT(ISERROR(SEARCH($AN$689,H3)))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5250" operator="containsText" id="{614E1EAE-76A8-42D0-9E8B-FED1B09C91AD}">
            <xm:f>NOT(ISERROR(SEARCH($AN$687,H3)))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5251" operator="containsText" id="{D124B656-BAC2-45BE-8F66-CB299CFA9ED5}">
            <xm:f>NOT(ISERROR(SEARCH($AN$688,H3)))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5252" operator="containsText" id="{B5E85864-5542-4B55-BF97-95797E0B58F7}">
            <xm:f>NOT(ISERROR(SEARCH($AN$686,H3)))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253" operator="containsText" id="{77885BB4-4630-4CAA-A284-FD5789F4ED1C}">
            <xm:f>NOT(ISERROR(SEARCH($AN$685,H3)))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5254" operator="containsText" id="{F971F531-046C-46BC-B2C5-BA8734A83236}">
            <xm:f>NOT(ISERROR(SEARCH($AN$684,H3)))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5255" operator="containsText" id="{434C2CB2-1796-4019-B667-A98324D47813}">
            <xm:f>NOT(ISERROR(SEARCH($AN$683,H3)))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5256" operator="containsText" id="{351D7963-0D28-4D39-92E7-A2F0D4591ADB}">
            <xm:f>NOT(ISERROR(SEARCH($AN$682,H3)))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5257" operator="containsText" id="{AF59DE43-619B-4D42-BA87-211DE495F687}">
            <xm:f>NOT(ISERROR(SEARCH($AN$681,H3)))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5258" operator="containsText" id="{88D4B111-89F6-4259-A461-11B214C284D9}">
            <xm:f>NOT(ISERROR(SEARCH($AN$680,H3)))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5259" operator="containsText" id="{F812D4A8-25A1-42E4-BFD2-8FF73D853F71}">
            <xm:f>NOT(ISERROR(SEARCH($AN$678,H3)))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5260" operator="containsText" id="{C2CAA0F2-C64E-44EE-93AF-8E2423F0E464}">
            <xm:f>NOT(ISERROR(SEARCH($AN$679,H3)))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AL3:AL93 AM3:AR96 H94:AL96 H97:AR98 AL99:AL189 AM99:AR192 H190:AL192 H193:AR194 AL195:AL285 AM195:AR288 H286:AL288 H289:AR290 AL291:AR381 H382:AR386 AL387:AR477 H574:AR578 AL579:AL669 AM579:AR672 H670:AL672 H673:AR674 AL675:AL765 AM675:AR768 H766:AL768 H769:AK769</xm:sqref>
        </x14:conditionalFormatting>
        <x14:conditionalFormatting xmlns:xm="http://schemas.microsoft.com/office/excel/2006/main">
          <x14:cfRule type="containsText" priority="51113" operator="containsText" id="{DC86170C-C010-444E-9CBB-8B9A1E0F528A}">
            <xm:f>NOT(ISERROR(SEARCH($AN$690,AL483)))</xm:f>
            <xm:f>$AN$690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51114" operator="containsText" id="{69DD9D67-92CB-40E2-91E2-FB25724DD05A}">
            <xm:f>NOT(ISERROR(SEARCH($AN$704,AL483)))</xm:f>
            <xm:f>$AN$704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51115" operator="containsText" id="{85318301-71E1-47FA-AFA4-76C79E07D58A}">
            <xm:f>NOT(ISERROR(SEARCH($AN$693,AL483)))</xm:f>
            <xm:f>$AN$693</xm:f>
            <x14:dxf>
              <fill>
                <patternFill>
                  <bgColor rgb="FFE4F0BA"/>
                </patternFill>
              </fill>
            </x14:dxf>
          </x14:cfRule>
          <x14:cfRule type="containsText" priority="51116" operator="containsText" id="{1B7B8B5C-70BA-44C4-A934-DE191270A822}">
            <xm:f>NOT(ISERROR(SEARCH($AN$692,AL483)))</xm:f>
            <xm:f>$AN$692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1117" operator="containsText" id="{C65EE380-C7E6-4744-AE02-F65EFECBCA33}">
            <xm:f>NOT(ISERROR(SEARCH($AN$691,AL483)))</xm:f>
            <xm:f>$AN$691</xm:f>
            <x14:dxf>
              <fill>
                <patternFill>
                  <bgColor theme="2" tint="-9.9948118533890809E-2"/>
                </patternFill>
              </fill>
            </x14:dxf>
          </x14:cfRule>
          <x14:cfRule type="containsText" priority="51118" operator="containsText" id="{961DFEC7-E828-44D8-8AF4-C3E010D75611}">
            <xm:f>NOT(ISERROR(SEARCH($AN$689,AL483)))</xm:f>
            <xm:f>$AN$689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1119" operator="containsText" id="{A8F7EFA0-9155-47A6-B059-11C00DC63FDC}">
            <xm:f>NOT(ISERROR(SEARCH($AN$687,AL483)))</xm:f>
            <xm:f>$AN$687</xm:f>
            <x14:dxf>
              <fill>
                <patternFill>
                  <bgColor rgb="FFD0F84E"/>
                </patternFill>
              </fill>
            </x14:dxf>
          </x14:cfRule>
          <x14:cfRule type="containsText" priority="51120" operator="containsText" id="{EB64A526-0D05-45F5-BC23-1A4C1FAC1AAC}">
            <xm:f>NOT(ISERROR(SEARCH($AN$688,AL483)))</xm:f>
            <xm:f>$AN$688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51121" operator="containsText" id="{453BF776-F2E3-44D7-B6FA-C5ADC154E035}">
            <xm:f>NOT(ISERROR(SEARCH($AN$686,AL483)))</xm:f>
            <xm:f>$AN$686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1122" operator="containsText" id="{36E501F6-4A86-4002-AB10-C04D693B86C1}">
            <xm:f>NOT(ISERROR(SEARCH($AN$685,AL483)))</xm:f>
            <xm:f>$AN$685</xm:f>
            <x14:dxf>
              <fill>
                <patternFill>
                  <bgColor theme="3" tint="0.499984740745262"/>
                </patternFill>
              </fill>
            </x14:dxf>
          </x14:cfRule>
          <x14:cfRule type="containsText" priority="51123" operator="containsText" id="{18CC0C78-FD59-4888-A04A-9B03D5677AF3}">
            <xm:f>NOT(ISERROR(SEARCH($AN$684,AL483)))</xm:f>
            <xm:f>$AN$684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51124" operator="containsText" id="{E9489521-747A-4F29-BF51-881B8C1A9E8A}">
            <xm:f>NOT(ISERROR(SEARCH($AN$683,AL483)))</xm:f>
            <xm:f>$AN$683</xm:f>
            <x14:dxf>
              <fill>
                <patternFill>
                  <bgColor rgb="FF0070C0"/>
                </patternFill>
              </fill>
            </x14:dxf>
          </x14:cfRule>
          <x14:cfRule type="containsText" priority="51125" operator="containsText" id="{2C8A4C29-C545-42F7-B839-F707AAC09C26}">
            <xm:f>NOT(ISERROR(SEARCH($AN$682,AL483)))</xm:f>
            <xm:f>$AN$682</xm:f>
            <x14:dxf>
              <fill>
                <patternFill>
                  <bgColor rgb="FFFAE6E2"/>
                </patternFill>
              </fill>
            </x14:dxf>
          </x14:cfRule>
          <x14:cfRule type="containsText" priority="51126" operator="containsText" id="{58AD71E6-C89E-4022-91F1-A246CABF08D1}">
            <xm:f>NOT(ISERROR(SEARCH($AN$681,AL483)))</xm:f>
            <xm:f>$AN$681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51127" operator="containsText" id="{8A7FA9E6-4E39-4EBD-BDDC-D80A2947B63C}">
            <xm:f>NOT(ISERROR(SEARCH($AN$680,AL483)))</xm:f>
            <xm:f>$AN$680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1128" operator="containsText" id="{DF06A012-98F1-40E4-84DB-561A049137FB}">
            <xm:f>NOT(ISERROR(SEARCH($AN$678,AL483)))</xm:f>
            <xm:f>$AN$678</xm:f>
            <x14:dxf>
              <fill>
                <patternFill>
                  <bgColor theme="9"/>
                </patternFill>
              </fill>
            </x14:dxf>
          </x14:cfRule>
          <x14:cfRule type="containsText" priority="51129" operator="containsText" id="{45B6F25F-D520-4216-9F1B-64FF7EAE4F16}">
            <xm:f>NOT(ISERROR(SEARCH($AN$679,AL483)))</xm:f>
            <xm:f>$AN$679</xm:f>
            <x14:dxf>
              <fill>
                <patternFill>
                  <bgColor theme="9" tint="0.39994506668294322"/>
                </patternFill>
              </fill>
            </x14:dxf>
          </x14:cfRule>
          <xm:sqref>AL483:AR573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744B-7FC9-4D25-BFE8-F3CB2EE8FCB1}">
  <dimension ref="A1:Q41"/>
  <sheetViews>
    <sheetView showGridLines="0" tabSelected="1" zoomScale="85" zoomScaleNormal="85" workbookViewId="0">
      <pane xSplit="2" topLeftCell="C1" activePane="topRight" state="frozen"/>
      <selection pane="topRight" activeCell="K18" sqref="K18"/>
    </sheetView>
  </sheetViews>
  <sheetFormatPr defaultColWidth="28.5703125" defaultRowHeight="15" customHeight="1" x14ac:dyDescent="0.25"/>
  <cols>
    <col min="1" max="1" width="7.5703125" customWidth="1"/>
    <col min="2" max="2" width="4.5703125" customWidth="1"/>
    <col min="4" max="4" width="1.42578125" customWidth="1"/>
    <col min="6" max="6" width="4" customWidth="1"/>
    <col min="8" max="8" width="1.42578125" customWidth="1"/>
    <col min="10" max="10" width="1.42578125" customWidth="1"/>
    <col min="11" max="11" width="36" bestFit="1" customWidth="1"/>
    <col min="12" max="12" width="1.42578125" customWidth="1"/>
    <col min="14" max="14" width="1.42578125" customWidth="1"/>
    <col min="16" max="16" width="1.42578125" customWidth="1"/>
    <col min="18" max="18" width="6.5703125" customWidth="1"/>
  </cols>
  <sheetData>
    <row r="1" spans="1:17" s="38" customFormat="1" ht="13.35" customHeight="1" x14ac:dyDescent="0.2">
      <c r="C1" s="142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43"/>
    </row>
    <row r="2" spans="1:17" s="38" customFormat="1" ht="13.35" customHeight="1" x14ac:dyDescent="0.2">
      <c r="C2" s="144" t="s">
        <v>95</v>
      </c>
      <c r="D2" s="145"/>
      <c r="E2" s="146"/>
      <c r="G2" s="147" t="s">
        <v>96</v>
      </c>
      <c r="H2" s="145"/>
      <c r="I2" s="145"/>
      <c r="J2" s="145"/>
      <c r="K2" s="145"/>
      <c r="L2" s="145"/>
      <c r="M2" s="145"/>
      <c r="N2" s="145"/>
      <c r="O2" s="145"/>
      <c r="P2" s="145"/>
      <c r="Q2" s="148"/>
    </row>
    <row r="3" spans="1:17" s="38" customFormat="1" ht="13.35" customHeight="1" x14ac:dyDescent="0.2">
      <c r="A3" s="39" t="s">
        <v>99</v>
      </c>
      <c r="B3" s="39"/>
      <c r="C3" s="40" t="s">
        <v>100</v>
      </c>
      <c r="D3" s="127"/>
      <c r="E3" s="41" t="s">
        <v>101</v>
      </c>
      <c r="G3" s="42" t="s">
        <v>100</v>
      </c>
      <c r="H3" s="126"/>
      <c r="I3" s="67" t="s">
        <v>102</v>
      </c>
      <c r="J3" s="126"/>
      <c r="K3" s="41" t="s">
        <v>103</v>
      </c>
      <c r="L3" s="126"/>
      <c r="M3" s="41" t="s">
        <v>104</v>
      </c>
      <c r="N3" s="126"/>
      <c r="O3" s="43" t="s">
        <v>105</v>
      </c>
      <c r="P3" s="126"/>
      <c r="Q3" s="40" t="s">
        <v>106</v>
      </c>
    </row>
    <row r="4" spans="1:17" s="38" customFormat="1" ht="17.25" customHeight="1" x14ac:dyDescent="0.2">
      <c r="A4" s="44">
        <v>601</v>
      </c>
      <c r="B4" s="44"/>
      <c r="C4" s="45" t="s">
        <v>107</v>
      </c>
      <c r="D4" s="127"/>
      <c r="E4" s="45" t="s">
        <v>107</v>
      </c>
      <c r="G4" s="59" t="s">
        <v>108</v>
      </c>
      <c r="H4" s="126"/>
      <c r="I4" s="59" t="s">
        <v>108</v>
      </c>
      <c r="J4" s="126"/>
      <c r="K4" s="59" t="s">
        <v>109</v>
      </c>
      <c r="L4" s="126"/>
      <c r="M4" s="71" t="s">
        <v>110</v>
      </c>
      <c r="N4" s="126"/>
      <c r="O4" s="48" t="s">
        <v>111</v>
      </c>
      <c r="P4" s="126"/>
      <c r="Q4" s="48" t="s">
        <v>111</v>
      </c>
    </row>
    <row r="5" spans="1:17" s="38" customFormat="1" ht="17.25" customHeight="1" x14ac:dyDescent="0.2">
      <c r="A5" s="44">
        <v>501</v>
      </c>
      <c r="B5" s="44"/>
      <c r="C5" s="45" t="s">
        <v>107</v>
      </c>
      <c r="D5" s="127"/>
      <c r="E5" s="45" t="s">
        <v>107</v>
      </c>
      <c r="G5" s="59" t="s">
        <v>108</v>
      </c>
      <c r="H5" s="126"/>
      <c r="I5" s="59" t="s">
        <v>108</v>
      </c>
      <c r="J5" s="126"/>
      <c r="K5" s="59" t="s">
        <v>112</v>
      </c>
      <c r="L5" s="126"/>
      <c r="M5" s="123" t="s">
        <v>113</v>
      </c>
      <c r="N5" s="126"/>
      <c r="O5" s="48" t="s">
        <v>111</v>
      </c>
      <c r="P5" s="126"/>
      <c r="Q5" s="48" t="s">
        <v>111</v>
      </c>
    </row>
    <row r="6" spans="1:17" s="38" customFormat="1" ht="17.25" customHeight="1" x14ac:dyDescent="0.2">
      <c r="A6" s="44">
        <v>401</v>
      </c>
      <c r="B6" s="44"/>
      <c r="C6" s="45" t="s">
        <v>107</v>
      </c>
      <c r="D6" s="127"/>
      <c r="E6" s="51" t="s">
        <v>107</v>
      </c>
      <c r="G6" s="59" t="s">
        <v>108</v>
      </c>
      <c r="H6" s="126"/>
      <c r="I6" s="59" t="s">
        <v>112</v>
      </c>
      <c r="J6" s="126"/>
      <c r="K6" s="59" t="s">
        <v>112</v>
      </c>
      <c r="L6" s="126"/>
      <c r="M6" s="120" t="s">
        <v>115</v>
      </c>
      <c r="N6" s="126"/>
      <c r="O6" s="48" t="s">
        <v>111</v>
      </c>
      <c r="P6" s="126"/>
      <c r="Q6" s="48" t="s">
        <v>111</v>
      </c>
    </row>
    <row r="7" spans="1:17" s="38" customFormat="1" ht="17.25" customHeight="1" x14ac:dyDescent="0.2">
      <c r="A7" s="44">
        <v>301</v>
      </c>
      <c r="B7" s="44"/>
      <c r="C7" s="45" t="s">
        <v>107</v>
      </c>
      <c r="D7" s="127"/>
      <c r="E7" s="51" t="s">
        <v>107</v>
      </c>
      <c r="G7" s="59" t="s">
        <v>108</v>
      </c>
      <c r="H7" s="126"/>
      <c r="I7" s="59" t="s">
        <v>108</v>
      </c>
      <c r="J7" s="126"/>
      <c r="K7" s="69" t="s">
        <v>112</v>
      </c>
      <c r="L7" s="126"/>
      <c r="M7" s="72" t="s">
        <v>116</v>
      </c>
      <c r="N7" s="126"/>
      <c r="O7" s="48" t="s">
        <v>111</v>
      </c>
      <c r="P7" s="126"/>
      <c r="Q7" s="123" t="s">
        <v>113</v>
      </c>
    </row>
    <row r="8" spans="1:17" s="38" customFormat="1" ht="17.25" customHeight="1" x14ac:dyDescent="0.2">
      <c r="A8" s="44">
        <v>201</v>
      </c>
      <c r="B8" s="44"/>
      <c r="C8" s="45" t="s">
        <v>107</v>
      </c>
      <c r="D8" s="127"/>
      <c r="E8" s="51" t="s">
        <v>107</v>
      </c>
      <c r="G8" s="59" t="s">
        <v>117</v>
      </c>
      <c r="H8" s="126"/>
      <c r="I8" s="59" t="s">
        <v>108</v>
      </c>
      <c r="J8" s="126"/>
      <c r="K8" s="48" t="s">
        <v>118</v>
      </c>
      <c r="L8" s="126"/>
      <c r="M8" s="73" t="s">
        <v>119</v>
      </c>
      <c r="N8" s="126"/>
      <c r="O8" s="48" t="s">
        <v>111</v>
      </c>
      <c r="P8" s="126"/>
      <c r="Q8" s="123" t="s">
        <v>113</v>
      </c>
    </row>
    <row r="9" spans="1:17" s="38" customFormat="1" ht="17.25" customHeight="1" x14ac:dyDescent="0.2">
      <c r="A9" s="44">
        <v>101</v>
      </c>
      <c r="B9" s="44"/>
      <c r="C9" s="74" t="s">
        <v>114</v>
      </c>
      <c r="D9" s="127"/>
      <c r="E9" s="52" t="s">
        <v>120</v>
      </c>
      <c r="G9" s="59" t="s">
        <v>117</v>
      </c>
      <c r="H9" s="126"/>
      <c r="I9" s="59" t="s">
        <v>108</v>
      </c>
      <c r="J9" s="126"/>
      <c r="K9" s="50" t="s">
        <v>118</v>
      </c>
      <c r="L9" s="126"/>
      <c r="M9" s="48" t="s">
        <v>121</v>
      </c>
      <c r="N9" s="126"/>
      <c r="O9" s="48" t="s">
        <v>111</v>
      </c>
      <c r="P9" s="126"/>
      <c r="Q9" s="71" t="s">
        <v>122</v>
      </c>
    </row>
    <row r="10" spans="1:17" s="38" customFormat="1" ht="13.35" customHeight="1" x14ac:dyDescent="0.2">
      <c r="A10" s="44"/>
      <c r="B10" s="44"/>
      <c r="C10" s="55"/>
      <c r="D10" s="127"/>
      <c r="H10" s="126"/>
      <c r="J10" s="126"/>
      <c r="L10" s="126"/>
      <c r="N10" s="126"/>
      <c r="P10" s="126"/>
      <c r="Q10" s="56"/>
    </row>
    <row r="11" spans="1:17" s="38" customFormat="1" ht="13.35" customHeight="1" x14ac:dyDescent="0.2">
      <c r="A11" s="44"/>
      <c r="B11" s="44"/>
      <c r="C11" s="57" t="s">
        <v>123</v>
      </c>
      <c r="D11" s="127"/>
      <c r="E11" s="57" t="s">
        <v>124</v>
      </c>
      <c r="H11" s="126"/>
      <c r="J11" s="126"/>
      <c r="L11" s="126"/>
      <c r="P11" s="126"/>
      <c r="Q11" s="56"/>
    </row>
    <row r="12" spans="1:17" s="38" customFormat="1" ht="13.35" customHeight="1" x14ac:dyDescent="0.2">
      <c r="A12" s="39" t="s">
        <v>99</v>
      </c>
      <c r="B12" s="39"/>
      <c r="C12" s="58" t="s">
        <v>125</v>
      </c>
      <c r="D12" s="127"/>
      <c r="E12" s="58" t="s">
        <v>125</v>
      </c>
      <c r="H12" s="126"/>
      <c r="J12" s="126"/>
      <c r="Q12" s="56"/>
    </row>
    <row r="13" spans="1:17" s="38" customFormat="1" ht="12.6" customHeight="1" x14ac:dyDescent="0.2">
      <c r="A13" s="44">
        <v>201</v>
      </c>
      <c r="B13" s="44"/>
      <c r="C13" s="54" t="s">
        <v>126</v>
      </c>
      <c r="D13" s="127"/>
      <c r="E13" s="59" t="s">
        <v>112</v>
      </c>
      <c r="Q13" s="56"/>
    </row>
    <row r="14" spans="1:17" s="38" customFormat="1" ht="13.35" customHeight="1" x14ac:dyDescent="0.2">
      <c r="A14" s="44">
        <v>101</v>
      </c>
      <c r="B14" s="44"/>
      <c r="C14" s="71" t="s">
        <v>122</v>
      </c>
      <c r="D14" s="128"/>
      <c r="E14" s="60" t="s">
        <v>127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2"/>
    </row>
    <row r="20" spans="3:17" ht="15" hidden="1" customHeight="1" x14ac:dyDescent="0.25"/>
    <row r="21" spans="3:17" ht="14.85" hidden="1" customHeight="1" x14ac:dyDescent="0.25"/>
    <row r="22" spans="3:17" ht="14.85" hidden="1" customHeight="1" x14ac:dyDescent="0.25"/>
    <row r="23" spans="3:17" ht="14.85" hidden="1" customHeight="1" x14ac:dyDescent="0.25"/>
    <row r="24" spans="3:17" ht="14.85" hidden="1" customHeight="1" x14ac:dyDescent="0.25">
      <c r="C24" s="129" t="s">
        <v>95</v>
      </c>
      <c r="D24" s="130"/>
      <c r="E24" s="131"/>
      <c r="F24" s="38"/>
      <c r="G24" s="132" t="s">
        <v>96</v>
      </c>
      <c r="H24" s="133"/>
      <c r="I24" s="133"/>
      <c r="J24" s="133"/>
      <c r="K24" s="133"/>
      <c r="L24" s="133"/>
      <c r="M24" s="133"/>
      <c r="N24" s="133"/>
      <c r="O24" s="133"/>
      <c r="P24" s="133"/>
      <c r="Q24" s="134"/>
    </row>
    <row r="25" spans="3:17" ht="14.85" hidden="1" customHeight="1" x14ac:dyDescent="0.25">
      <c r="C25" s="135" t="s">
        <v>97</v>
      </c>
      <c r="D25" s="136"/>
      <c r="E25" s="137"/>
      <c r="F25" s="38"/>
      <c r="G25" s="138" t="s">
        <v>98</v>
      </c>
      <c r="H25" s="139"/>
      <c r="I25" s="140"/>
      <c r="J25" s="139"/>
      <c r="K25" s="140"/>
      <c r="L25" s="139"/>
      <c r="M25" s="140"/>
      <c r="N25" s="139"/>
      <c r="O25" s="140"/>
      <c r="P25" s="139"/>
      <c r="Q25" s="141"/>
    </row>
    <row r="26" spans="3:17" ht="14.85" hidden="1" customHeight="1" x14ac:dyDescent="0.25">
      <c r="C26" s="40" t="s">
        <v>100</v>
      </c>
      <c r="D26" s="127"/>
      <c r="E26" s="41" t="s">
        <v>101</v>
      </c>
      <c r="F26" s="38"/>
      <c r="G26" s="67" t="s">
        <v>100</v>
      </c>
      <c r="H26" s="126"/>
      <c r="I26" s="43" t="s">
        <v>102</v>
      </c>
      <c r="J26" s="126"/>
      <c r="K26" s="40" t="s">
        <v>103</v>
      </c>
      <c r="L26" s="126"/>
      <c r="M26" s="40" t="s">
        <v>104</v>
      </c>
      <c r="N26" s="126"/>
      <c r="O26" s="43" t="s">
        <v>105</v>
      </c>
      <c r="P26" s="126"/>
      <c r="Q26" s="40" t="s">
        <v>106</v>
      </c>
    </row>
    <row r="27" spans="3:17" ht="14.85" hidden="1" customHeight="1" x14ac:dyDescent="0.25">
      <c r="C27" s="45" t="s">
        <v>107</v>
      </c>
      <c r="D27" s="127"/>
      <c r="E27" s="45" t="s">
        <v>107</v>
      </c>
      <c r="F27" s="38"/>
      <c r="G27" s="68" t="s">
        <v>128</v>
      </c>
      <c r="H27" s="126"/>
      <c r="I27" s="46" t="s">
        <v>113</v>
      </c>
      <c r="J27" s="126"/>
      <c r="K27" s="68" t="s">
        <v>129</v>
      </c>
      <c r="L27" s="126"/>
      <c r="M27" s="63" t="s">
        <v>130</v>
      </c>
      <c r="N27" s="126"/>
      <c r="O27" s="47" t="s">
        <v>113</v>
      </c>
      <c r="P27" s="126"/>
      <c r="Q27" s="48" t="s">
        <v>111</v>
      </c>
    </row>
    <row r="28" spans="3:17" ht="14.85" hidden="1" customHeight="1" x14ac:dyDescent="0.25">
      <c r="C28" s="45" t="s">
        <v>107</v>
      </c>
      <c r="D28" s="127"/>
      <c r="E28" s="45" t="s">
        <v>107</v>
      </c>
      <c r="F28" s="38"/>
      <c r="G28" s="68" t="s">
        <v>128</v>
      </c>
      <c r="H28" s="126"/>
      <c r="I28" s="46" t="s">
        <v>113</v>
      </c>
      <c r="J28" s="126"/>
      <c r="K28" s="68" t="s">
        <v>129</v>
      </c>
      <c r="L28" s="126"/>
      <c r="M28" s="49" t="s">
        <v>115</v>
      </c>
      <c r="N28" s="126"/>
      <c r="O28" s="48" t="s">
        <v>111</v>
      </c>
      <c r="P28" s="126"/>
      <c r="Q28" s="48" t="s">
        <v>111</v>
      </c>
    </row>
    <row r="29" spans="3:17" ht="14.85" hidden="1" customHeight="1" x14ac:dyDescent="0.25">
      <c r="C29" s="45" t="s">
        <v>107</v>
      </c>
      <c r="D29" s="127"/>
      <c r="E29" s="51" t="s">
        <v>107</v>
      </c>
      <c r="F29" s="38"/>
      <c r="G29" s="68" t="s">
        <v>128</v>
      </c>
      <c r="H29" s="126"/>
      <c r="I29" s="46" t="s">
        <v>113</v>
      </c>
      <c r="J29" s="126"/>
      <c r="K29" s="68" t="s">
        <v>129</v>
      </c>
      <c r="L29" s="126"/>
      <c r="M29" s="49" t="s">
        <v>115</v>
      </c>
      <c r="N29" s="126"/>
      <c r="O29" s="48" t="s">
        <v>111</v>
      </c>
      <c r="P29" s="126"/>
      <c r="Q29" s="48" t="s">
        <v>111</v>
      </c>
    </row>
    <row r="30" spans="3:17" ht="14.85" hidden="1" customHeight="1" x14ac:dyDescent="0.25">
      <c r="C30" s="45" t="s">
        <v>107</v>
      </c>
      <c r="D30" s="127"/>
      <c r="E30" s="51" t="s">
        <v>107</v>
      </c>
      <c r="F30" s="38"/>
      <c r="G30" s="68" t="s">
        <v>128</v>
      </c>
      <c r="H30" s="126"/>
      <c r="I30" s="46" t="s">
        <v>113</v>
      </c>
      <c r="J30" s="126"/>
      <c r="K30" s="46" t="s">
        <v>113</v>
      </c>
      <c r="L30" s="126"/>
      <c r="M30" s="64" t="s">
        <v>116</v>
      </c>
      <c r="N30" s="126"/>
      <c r="O30" s="48" t="s">
        <v>111</v>
      </c>
      <c r="P30" s="126"/>
      <c r="Q30" s="48" t="s">
        <v>111</v>
      </c>
    </row>
    <row r="31" spans="3:17" ht="14.85" hidden="1" customHeight="1" x14ac:dyDescent="0.25">
      <c r="C31" s="45" t="s">
        <v>107</v>
      </c>
      <c r="D31" s="127"/>
      <c r="E31" s="51" t="s">
        <v>131</v>
      </c>
      <c r="F31" s="38"/>
      <c r="G31" s="68" t="s">
        <v>128</v>
      </c>
      <c r="H31" s="126"/>
      <c r="I31" s="46" t="s">
        <v>113</v>
      </c>
      <c r="J31" s="126"/>
      <c r="K31" s="48" t="s">
        <v>118</v>
      </c>
      <c r="L31" s="126"/>
      <c r="M31" s="65" t="s">
        <v>132</v>
      </c>
      <c r="N31" s="126"/>
      <c r="O31" s="48" t="s">
        <v>111</v>
      </c>
      <c r="P31" s="126"/>
      <c r="Q31" s="48" t="s">
        <v>121</v>
      </c>
    </row>
    <row r="32" spans="3:17" ht="14.85" hidden="1" customHeight="1" x14ac:dyDescent="0.25">
      <c r="C32" s="53" t="s">
        <v>107</v>
      </c>
      <c r="D32" s="127"/>
      <c r="E32" s="52" t="s">
        <v>120</v>
      </c>
      <c r="F32" s="38"/>
      <c r="G32" s="69" t="s">
        <v>128</v>
      </c>
      <c r="H32" s="126"/>
      <c r="I32" s="69" t="s">
        <v>133</v>
      </c>
      <c r="J32" s="126"/>
      <c r="K32" s="50" t="s">
        <v>118</v>
      </c>
      <c r="L32" s="126"/>
      <c r="M32" s="66" t="s">
        <v>134</v>
      </c>
      <c r="N32" s="126"/>
      <c r="O32" s="48" t="s">
        <v>111</v>
      </c>
      <c r="P32" s="126"/>
      <c r="Q32" s="48" t="s">
        <v>121</v>
      </c>
    </row>
    <row r="33" spans="3:17" ht="14.85" hidden="1" customHeight="1" x14ac:dyDescent="0.25">
      <c r="C33" s="55"/>
      <c r="D33" s="127"/>
      <c r="E33" s="38"/>
      <c r="F33" s="38"/>
      <c r="G33" s="38"/>
      <c r="H33" s="126"/>
      <c r="I33" s="38"/>
      <c r="J33" s="126"/>
      <c r="K33" s="38"/>
      <c r="L33" s="126"/>
      <c r="M33" s="38"/>
      <c r="N33" s="126"/>
      <c r="O33" s="38"/>
      <c r="P33" s="126"/>
      <c r="Q33" s="56"/>
    </row>
    <row r="34" spans="3:17" ht="14.85" hidden="1" customHeight="1" x14ac:dyDescent="0.25">
      <c r="C34" s="57" t="s">
        <v>123</v>
      </c>
      <c r="D34" s="127"/>
      <c r="E34" s="57" t="s">
        <v>124</v>
      </c>
      <c r="F34" s="38"/>
      <c r="G34" s="38"/>
      <c r="H34" s="126"/>
      <c r="I34" s="38"/>
      <c r="J34" s="126"/>
      <c r="K34" s="38"/>
      <c r="L34" s="126"/>
      <c r="M34" s="38"/>
      <c r="N34" s="38"/>
      <c r="O34" s="38"/>
      <c r="P34" s="126"/>
      <c r="Q34" s="56"/>
    </row>
    <row r="35" spans="3:17" ht="14.85" hidden="1" customHeight="1" x14ac:dyDescent="0.25">
      <c r="C35" s="58" t="s">
        <v>125</v>
      </c>
      <c r="D35" s="127"/>
      <c r="E35" s="58" t="s">
        <v>125</v>
      </c>
      <c r="F35" s="38"/>
      <c r="G35" s="38"/>
      <c r="H35" s="126"/>
      <c r="I35" s="38"/>
      <c r="J35" s="126"/>
      <c r="K35" s="38"/>
      <c r="L35" s="38"/>
      <c r="M35" s="38"/>
      <c r="N35" s="38"/>
      <c r="O35" s="38"/>
      <c r="P35" s="38"/>
      <c r="Q35" s="56"/>
    </row>
    <row r="36" spans="3:17" ht="14.85" hidden="1" customHeight="1" x14ac:dyDescent="0.25">
      <c r="C36" s="60" t="s">
        <v>127</v>
      </c>
      <c r="D36" s="127"/>
      <c r="E36" s="59" t="s">
        <v>135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56"/>
    </row>
    <row r="37" spans="3:17" ht="14.85" hidden="1" customHeight="1" x14ac:dyDescent="0.25">
      <c r="C37" s="54" t="s">
        <v>136</v>
      </c>
      <c r="D37" s="128"/>
      <c r="E37" s="54" t="s">
        <v>137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2"/>
    </row>
    <row r="38" spans="3:17" ht="15" hidden="1" customHeight="1" x14ac:dyDescent="0.25"/>
    <row r="39" spans="3:17" hidden="1" x14ac:dyDescent="0.25"/>
    <row r="40" spans="3:17" hidden="1" x14ac:dyDescent="0.25"/>
    <row r="41" spans="3:17" ht="15" hidden="1" customHeight="1" x14ac:dyDescent="0.25"/>
  </sheetData>
  <mergeCells count="19">
    <mergeCell ref="C2:E2"/>
    <mergeCell ref="G2:Q2"/>
    <mergeCell ref="C1:Q1"/>
    <mergeCell ref="D26:D37"/>
    <mergeCell ref="H26:H35"/>
    <mergeCell ref="J26:J35"/>
    <mergeCell ref="L26:L34"/>
    <mergeCell ref="N26:N33"/>
    <mergeCell ref="P26:P34"/>
    <mergeCell ref="C24:E24"/>
    <mergeCell ref="G24:Q24"/>
    <mergeCell ref="C25:E25"/>
    <mergeCell ref="G25:Q25"/>
    <mergeCell ref="D3:D14"/>
    <mergeCell ref="H3:H12"/>
    <mergeCell ref="J3:J12"/>
    <mergeCell ref="L3:L11"/>
    <mergeCell ref="N3:N10"/>
    <mergeCell ref="P3:P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71A36-A673-49CA-8EDA-BA0CE8809F02}">
  <dimension ref="A1:T31"/>
  <sheetViews>
    <sheetView showGridLines="0" topLeftCell="E1" zoomScale="70" zoomScaleNormal="70" workbookViewId="0">
      <selection activeCell="I11" sqref="I11"/>
    </sheetView>
  </sheetViews>
  <sheetFormatPr defaultRowHeight="15" x14ac:dyDescent="0.25"/>
  <cols>
    <col min="3" max="3" width="31.42578125" bestFit="1" customWidth="1"/>
    <col min="5" max="5" width="31.42578125" bestFit="1" customWidth="1"/>
    <col min="7" max="7" width="31.42578125" bestFit="1" customWidth="1"/>
    <col min="9" max="9" width="29.5703125" bestFit="1" customWidth="1"/>
    <col min="11" max="11" width="29.5703125" bestFit="1" customWidth="1"/>
    <col min="13" max="13" width="29.5703125" bestFit="1" customWidth="1"/>
    <col min="15" max="15" width="21" hidden="1" customWidth="1"/>
    <col min="16" max="18" width="0" hidden="1" customWidth="1"/>
    <col min="19" max="19" width="25.42578125" bestFit="1" customWidth="1"/>
  </cols>
  <sheetData>
    <row r="1" spans="1:20" x14ac:dyDescent="0.25">
      <c r="C1" s="151" t="s">
        <v>138</v>
      </c>
      <c r="D1" s="78"/>
      <c r="E1" s="149" t="s">
        <v>139</v>
      </c>
      <c r="F1" s="78"/>
      <c r="G1" s="151" t="s">
        <v>140</v>
      </c>
      <c r="H1" s="78"/>
      <c r="I1" s="151" t="s">
        <v>141</v>
      </c>
      <c r="J1" s="78"/>
      <c r="K1" s="151" t="s">
        <v>142</v>
      </c>
      <c r="L1" s="78"/>
      <c r="M1" s="149" t="s">
        <v>143</v>
      </c>
      <c r="S1" s="76" t="s">
        <v>144</v>
      </c>
    </row>
    <row r="2" spans="1:20" x14ac:dyDescent="0.25">
      <c r="A2" s="76" t="s">
        <v>145</v>
      </c>
      <c r="B2" s="78"/>
      <c r="C2" s="152"/>
      <c r="D2" s="78"/>
      <c r="E2" s="150"/>
      <c r="F2" s="78"/>
      <c r="G2" s="152"/>
      <c r="H2" s="78"/>
      <c r="I2" s="152"/>
      <c r="J2" s="78"/>
      <c r="K2" s="152"/>
      <c r="L2" s="78"/>
      <c r="M2" s="150"/>
      <c r="T2">
        <f t="shared" ref="T2" si="0">COUNTIF($C$3:$M$31,S3)</f>
        <v>0</v>
      </c>
    </row>
    <row r="3" spans="1:20" x14ac:dyDescent="0.25">
      <c r="A3" s="75" t="s">
        <v>146</v>
      </c>
      <c r="C3" s="79" t="s">
        <v>147</v>
      </c>
      <c r="E3" s="79" t="s">
        <v>148</v>
      </c>
      <c r="G3" s="79" t="s">
        <v>149</v>
      </c>
      <c r="I3" s="75" t="s">
        <v>150</v>
      </c>
      <c r="K3" s="79" t="s">
        <v>151</v>
      </c>
      <c r="M3" s="79" t="s">
        <v>149</v>
      </c>
      <c r="S3" s="77" t="s">
        <v>152</v>
      </c>
      <c r="T3">
        <f>COUNTIF($C$3:$M$31,S3)</f>
        <v>0</v>
      </c>
    </row>
    <row r="4" spans="1:20" x14ac:dyDescent="0.25">
      <c r="A4" s="75" t="s">
        <v>153</v>
      </c>
      <c r="C4" s="79" t="s">
        <v>154</v>
      </c>
      <c r="E4" s="79" t="s">
        <v>151</v>
      </c>
      <c r="G4" s="79" t="s">
        <v>149</v>
      </c>
      <c r="I4" s="79" t="s">
        <v>155</v>
      </c>
      <c r="K4" s="79" t="s">
        <v>65</v>
      </c>
      <c r="M4" s="79" t="s">
        <v>149</v>
      </c>
      <c r="S4" s="77" t="s">
        <v>156</v>
      </c>
      <c r="T4">
        <f t="shared" ref="T4:T30" si="1">COUNTIF($C$3:$M$31,S4)</f>
        <v>2</v>
      </c>
    </row>
    <row r="5" spans="1:20" x14ac:dyDescent="0.25">
      <c r="A5" s="75" t="s">
        <v>157</v>
      </c>
      <c r="C5" s="79" t="s">
        <v>154</v>
      </c>
      <c r="E5" s="79" t="s">
        <v>151</v>
      </c>
      <c r="G5" s="79" t="s">
        <v>149</v>
      </c>
      <c r="I5" s="75" t="s">
        <v>150</v>
      </c>
      <c r="K5" s="79" t="s">
        <v>151</v>
      </c>
      <c r="M5" s="79" t="s">
        <v>149</v>
      </c>
      <c r="S5" s="77" t="s">
        <v>158</v>
      </c>
      <c r="T5">
        <f t="shared" si="1"/>
        <v>1</v>
      </c>
    </row>
    <row r="6" spans="1:20" x14ac:dyDescent="0.25">
      <c r="A6" s="75" t="s">
        <v>159</v>
      </c>
      <c r="C6" s="79" t="s">
        <v>154</v>
      </c>
      <c r="E6" s="79" t="s">
        <v>156</v>
      </c>
      <c r="G6" s="79" t="s">
        <v>149</v>
      </c>
      <c r="I6" s="79" t="s">
        <v>156</v>
      </c>
      <c r="K6" s="79" t="s">
        <v>151</v>
      </c>
      <c r="M6" s="79" t="s">
        <v>149</v>
      </c>
      <c r="S6" s="77" t="s">
        <v>154</v>
      </c>
      <c r="T6">
        <f t="shared" si="1"/>
        <v>8</v>
      </c>
    </row>
    <row r="7" spans="1:20" x14ac:dyDescent="0.25">
      <c r="A7" s="75" t="s">
        <v>160</v>
      </c>
      <c r="C7" s="79" t="s">
        <v>154</v>
      </c>
      <c r="E7" s="82" t="s">
        <v>150</v>
      </c>
      <c r="G7" s="79" t="s">
        <v>149</v>
      </c>
      <c r="I7" s="79" t="s">
        <v>155</v>
      </c>
      <c r="K7" s="79" t="s">
        <v>151</v>
      </c>
      <c r="M7" s="79" t="s">
        <v>149</v>
      </c>
      <c r="S7" s="77" t="s">
        <v>161</v>
      </c>
      <c r="T7">
        <f t="shared" si="1"/>
        <v>0</v>
      </c>
    </row>
    <row r="8" spans="1:20" x14ac:dyDescent="0.25">
      <c r="S8" s="77" t="s">
        <v>155</v>
      </c>
      <c r="T8">
        <f t="shared" si="1"/>
        <v>2</v>
      </c>
    </row>
    <row r="9" spans="1:20" x14ac:dyDescent="0.25">
      <c r="C9" s="151" t="s">
        <v>162</v>
      </c>
      <c r="D9" s="78"/>
      <c r="E9" s="151" t="s">
        <v>163</v>
      </c>
      <c r="F9" s="78"/>
      <c r="G9" s="151" t="s">
        <v>164</v>
      </c>
      <c r="H9" s="78"/>
      <c r="I9" s="151" t="s">
        <v>165</v>
      </c>
      <c r="J9" s="78"/>
      <c r="K9" s="151" t="s">
        <v>166</v>
      </c>
      <c r="L9" s="78"/>
      <c r="M9" s="151" t="s">
        <v>167</v>
      </c>
      <c r="N9" s="78"/>
      <c r="S9" s="77" t="s">
        <v>151</v>
      </c>
      <c r="T9">
        <f t="shared" si="1"/>
        <v>10</v>
      </c>
    </row>
    <row r="10" spans="1:20" x14ac:dyDescent="0.25">
      <c r="A10" s="76" t="s">
        <v>145</v>
      </c>
      <c r="B10" s="78"/>
      <c r="C10" s="152"/>
      <c r="D10" s="78"/>
      <c r="E10" s="152"/>
      <c r="F10" s="76" t="s">
        <v>145</v>
      </c>
      <c r="G10" s="152"/>
      <c r="H10" s="78"/>
      <c r="I10" s="152"/>
      <c r="J10" s="78"/>
      <c r="K10" s="152"/>
      <c r="L10" s="78"/>
      <c r="M10" s="152"/>
      <c r="N10" s="78"/>
      <c r="S10" s="75" t="s">
        <v>148</v>
      </c>
      <c r="T10">
        <f t="shared" si="1"/>
        <v>8</v>
      </c>
    </row>
    <row r="11" spans="1:20" x14ac:dyDescent="0.25">
      <c r="A11" s="75" t="s">
        <v>146</v>
      </c>
      <c r="C11" s="79" t="s">
        <v>168</v>
      </c>
      <c r="E11" s="79" t="s">
        <v>151</v>
      </c>
      <c r="F11" s="75" t="s">
        <v>146</v>
      </c>
      <c r="G11" s="79" t="s">
        <v>151</v>
      </c>
      <c r="I11" s="79" t="s">
        <v>169</v>
      </c>
      <c r="K11" s="79" t="s">
        <v>170</v>
      </c>
      <c r="M11" s="79" t="s">
        <v>148</v>
      </c>
      <c r="S11" s="75" t="s">
        <v>171</v>
      </c>
      <c r="T11">
        <f t="shared" si="1"/>
        <v>1</v>
      </c>
    </row>
    <row r="12" spans="1:20" x14ac:dyDescent="0.25">
      <c r="A12" s="75" t="s">
        <v>153</v>
      </c>
      <c r="C12" s="79" t="s">
        <v>168</v>
      </c>
      <c r="E12" s="79" t="s">
        <v>148</v>
      </c>
      <c r="F12" s="75" t="s">
        <v>153</v>
      </c>
      <c r="G12" s="79" t="s">
        <v>154</v>
      </c>
      <c r="I12" s="79" t="s">
        <v>169</v>
      </c>
      <c r="K12" s="79" t="s">
        <v>170</v>
      </c>
      <c r="M12" s="79" t="s">
        <v>148</v>
      </c>
      <c r="S12" s="75" t="s">
        <v>149</v>
      </c>
      <c r="T12">
        <f t="shared" si="1"/>
        <v>15</v>
      </c>
    </row>
    <row r="13" spans="1:20" x14ac:dyDescent="0.25">
      <c r="A13" s="75" t="s">
        <v>157</v>
      </c>
      <c r="C13" s="79" t="s">
        <v>168</v>
      </c>
      <c r="E13" s="79" t="s">
        <v>151</v>
      </c>
      <c r="F13" s="75" t="s">
        <v>157</v>
      </c>
      <c r="G13" s="79" t="s">
        <v>154</v>
      </c>
      <c r="I13" s="79" t="s">
        <v>169</v>
      </c>
      <c r="K13" s="79" t="s">
        <v>170</v>
      </c>
      <c r="M13" s="79" t="s">
        <v>148</v>
      </c>
      <c r="S13" s="75" t="s">
        <v>172</v>
      </c>
      <c r="T13">
        <f t="shared" si="1"/>
        <v>2</v>
      </c>
    </row>
    <row r="14" spans="1:20" x14ac:dyDescent="0.25">
      <c r="A14" s="75" t="s">
        <v>159</v>
      </c>
      <c r="C14" s="79" t="s">
        <v>168</v>
      </c>
      <c r="E14" s="79" t="s">
        <v>147</v>
      </c>
      <c r="F14" s="75" t="s">
        <v>159</v>
      </c>
      <c r="G14" s="79" t="s">
        <v>147</v>
      </c>
      <c r="I14" s="79" t="s">
        <v>154</v>
      </c>
      <c r="K14" s="79" t="s">
        <v>65</v>
      </c>
      <c r="M14" s="79" t="s">
        <v>148</v>
      </c>
      <c r="S14" s="75" t="s">
        <v>173</v>
      </c>
      <c r="T14">
        <f t="shared" si="1"/>
        <v>0</v>
      </c>
    </row>
    <row r="15" spans="1:20" x14ac:dyDescent="0.25">
      <c r="A15" s="75" t="s">
        <v>160</v>
      </c>
      <c r="C15" s="79" t="s">
        <v>168</v>
      </c>
      <c r="E15" s="79" t="s">
        <v>147</v>
      </c>
      <c r="F15" s="75" t="s">
        <v>160</v>
      </c>
      <c r="G15" s="79" t="s">
        <v>147</v>
      </c>
      <c r="I15" s="79" t="s">
        <v>154</v>
      </c>
      <c r="K15" s="79" t="s">
        <v>148</v>
      </c>
      <c r="M15" s="79" t="s">
        <v>171</v>
      </c>
      <c r="S15" s="75" t="s">
        <v>147</v>
      </c>
      <c r="T15">
        <f t="shared" si="1"/>
        <v>8</v>
      </c>
    </row>
    <row r="16" spans="1:20" ht="15.75" thickBot="1" x14ac:dyDescent="0.3">
      <c r="S16" s="75" t="s">
        <v>174</v>
      </c>
      <c r="T16">
        <f t="shared" si="1"/>
        <v>0</v>
      </c>
    </row>
    <row r="17" spans="1:20" x14ac:dyDescent="0.25">
      <c r="C17" s="149" t="s">
        <v>175</v>
      </c>
      <c r="E17" s="149" t="s">
        <v>176</v>
      </c>
      <c r="G17" s="149" t="s">
        <v>177</v>
      </c>
      <c r="I17" s="151" t="s">
        <v>178</v>
      </c>
      <c r="K17" s="153" t="s">
        <v>179</v>
      </c>
      <c r="M17" s="153" t="s">
        <v>180</v>
      </c>
      <c r="S17" s="75" t="s">
        <v>181</v>
      </c>
      <c r="T17">
        <f t="shared" si="1"/>
        <v>0</v>
      </c>
    </row>
    <row r="18" spans="1:20" x14ac:dyDescent="0.25">
      <c r="A18" s="76" t="s">
        <v>145</v>
      </c>
      <c r="C18" s="150"/>
      <c r="E18" s="150"/>
      <c r="G18" s="150"/>
      <c r="I18" s="152"/>
      <c r="K18" s="154"/>
      <c r="M18" s="154"/>
      <c r="S18" s="75" t="s">
        <v>182</v>
      </c>
      <c r="T18">
        <f t="shared" si="1"/>
        <v>0</v>
      </c>
    </row>
    <row r="19" spans="1:20" x14ac:dyDescent="0.25">
      <c r="A19" s="75" t="s">
        <v>146</v>
      </c>
      <c r="C19" s="79" t="s">
        <v>65</v>
      </c>
      <c r="E19" s="79" t="s">
        <v>147</v>
      </c>
      <c r="G19" s="79" t="s">
        <v>149</v>
      </c>
      <c r="I19" s="113" t="s">
        <v>65</v>
      </c>
      <c r="K19" s="113" t="s">
        <v>65</v>
      </c>
      <c r="M19" s="113" t="s">
        <v>65</v>
      </c>
      <c r="S19" s="75" t="s">
        <v>183</v>
      </c>
      <c r="T19">
        <f t="shared" si="1"/>
        <v>0</v>
      </c>
    </row>
    <row r="20" spans="1:20" x14ac:dyDescent="0.25">
      <c r="A20" s="75" t="s">
        <v>153</v>
      </c>
      <c r="C20" s="79" t="s">
        <v>65</v>
      </c>
      <c r="E20" s="79" t="s">
        <v>147</v>
      </c>
      <c r="G20" s="113" t="s">
        <v>65</v>
      </c>
      <c r="I20" s="79" t="s">
        <v>149</v>
      </c>
      <c r="K20" s="113" t="s">
        <v>65</v>
      </c>
      <c r="M20" s="113" t="s">
        <v>65</v>
      </c>
      <c r="S20" s="75" t="s">
        <v>184</v>
      </c>
      <c r="T20">
        <f t="shared" si="1"/>
        <v>0</v>
      </c>
    </row>
    <row r="21" spans="1:20" x14ac:dyDescent="0.25">
      <c r="A21" s="75" t="s">
        <v>157</v>
      </c>
      <c r="C21" s="79" t="s">
        <v>158</v>
      </c>
      <c r="E21" s="79" t="s">
        <v>147</v>
      </c>
      <c r="G21" s="79" t="s">
        <v>65</v>
      </c>
      <c r="I21" s="79" t="s">
        <v>149</v>
      </c>
      <c r="K21" s="113" t="s">
        <v>65</v>
      </c>
      <c r="M21" s="113" t="s">
        <v>65</v>
      </c>
      <c r="S21" s="75" t="s">
        <v>185</v>
      </c>
      <c r="T21">
        <f t="shared" si="1"/>
        <v>0</v>
      </c>
    </row>
    <row r="22" spans="1:20" x14ac:dyDescent="0.25">
      <c r="A22" s="75" t="s">
        <v>159</v>
      </c>
      <c r="C22" s="79" t="s">
        <v>65</v>
      </c>
      <c r="E22" s="79" t="s">
        <v>151</v>
      </c>
      <c r="G22" s="79" t="s">
        <v>65</v>
      </c>
      <c r="I22" s="79" t="s">
        <v>149</v>
      </c>
      <c r="K22" s="113" t="s">
        <v>65</v>
      </c>
      <c r="M22" s="113" t="s">
        <v>65</v>
      </c>
      <c r="S22" s="75" t="s">
        <v>186</v>
      </c>
      <c r="T22">
        <f t="shared" si="1"/>
        <v>0</v>
      </c>
    </row>
    <row r="23" spans="1:20" ht="15.75" thickBot="1" x14ac:dyDescent="0.3">
      <c r="A23" s="75" t="s">
        <v>160</v>
      </c>
      <c r="C23" s="79" t="s">
        <v>65</v>
      </c>
      <c r="E23" s="79" t="s">
        <v>148</v>
      </c>
      <c r="G23" s="79" t="s">
        <v>149</v>
      </c>
      <c r="I23" s="113" t="s">
        <v>65</v>
      </c>
      <c r="K23" s="114" t="s">
        <v>65</v>
      </c>
      <c r="M23" s="114" t="s">
        <v>65</v>
      </c>
      <c r="S23" s="75" t="s">
        <v>150</v>
      </c>
      <c r="T23">
        <f t="shared" si="1"/>
        <v>3</v>
      </c>
    </row>
    <row r="24" spans="1:20" ht="15.75" thickBot="1" x14ac:dyDescent="0.3">
      <c r="S24" s="75" t="s">
        <v>187</v>
      </c>
      <c r="T24">
        <f t="shared" si="1"/>
        <v>0</v>
      </c>
    </row>
    <row r="25" spans="1:20" x14ac:dyDescent="0.25">
      <c r="C25" s="153" t="s">
        <v>188</v>
      </c>
      <c r="E25" s="155" t="s">
        <v>189</v>
      </c>
      <c r="S25" s="75" t="s">
        <v>190</v>
      </c>
      <c r="T25">
        <f t="shared" si="1"/>
        <v>0</v>
      </c>
    </row>
    <row r="26" spans="1:20" x14ac:dyDescent="0.25">
      <c r="C26" s="154"/>
      <c r="E26" s="156"/>
      <c r="S26" s="75" t="s">
        <v>191</v>
      </c>
      <c r="T26">
        <f t="shared" si="1"/>
        <v>0</v>
      </c>
    </row>
    <row r="27" spans="1:20" x14ac:dyDescent="0.25">
      <c r="C27" s="113" t="s">
        <v>65</v>
      </c>
      <c r="E27" s="79" t="s">
        <v>170</v>
      </c>
      <c r="S27" s="75" t="s">
        <v>192</v>
      </c>
      <c r="T27">
        <f t="shared" si="1"/>
        <v>0</v>
      </c>
    </row>
    <row r="28" spans="1:20" x14ac:dyDescent="0.25">
      <c r="C28" s="113" t="s">
        <v>65</v>
      </c>
      <c r="E28" s="79" t="s">
        <v>170</v>
      </c>
      <c r="S28" s="75" t="s">
        <v>193</v>
      </c>
      <c r="T28">
        <f t="shared" si="1"/>
        <v>0</v>
      </c>
    </row>
    <row r="29" spans="1:20" x14ac:dyDescent="0.25">
      <c r="C29" s="113" t="s">
        <v>65</v>
      </c>
      <c r="E29" s="82" t="s">
        <v>172</v>
      </c>
      <c r="S29" s="75" t="s">
        <v>65</v>
      </c>
      <c r="T29">
        <f t="shared" si="1"/>
        <v>27</v>
      </c>
    </row>
    <row r="30" spans="1:20" x14ac:dyDescent="0.25">
      <c r="C30" s="113" t="s">
        <v>65</v>
      </c>
      <c r="E30" s="82" t="s">
        <v>172</v>
      </c>
      <c r="S30" s="79" t="s">
        <v>170</v>
      </c>
      <c r="T30">
        <f t="shared" si="1"/>
        <v>5</v>
      </c>
    </row>
    <row r="31" spans="1:20" ht="15.75" thickBot="1" x14ac:dyDescent="0.3">
      <c r="C31" s="114" t="s">
        <v>65</v>
      </c>
      <c r="E31" s="79" t="s">
        <v>65</v>
      </c>
    </row>
  </sheetData>
  <mergeCells count="20">
    <mergeCell ref="C25:C26"/>
    <mergeCell ref="E25:E26"/>
    <mergeCell ref="C17:C18"/>
    <mergeCell ref="E17:E18"/>
    <mergeCell ref="G17:G18"/>
    <mergeCell ref="I17:I18"/>
    <mergeCell ref="K17:K18"/>
    <mergeCell ref="M17:M18"/>
    <mergeCell ref="C9:C10"/>
    <mergeCell ref="E9:E10"/>
    <mergeCell ref="G9:G10"/>
    <mergeCell ref="I9:I10"/>
    <mergeCell ref="K9:K10"/>
    <mergeCell ref="M9:M10"/>
    <mergeCell ref="M1:M2"/>
    <mergeCell ref="C1:C2"/>
    <mergeCell ref="E1:E2"/>
    <mergeCell ref="G1:G2"/>
    <mergeCell ref="I1:I2"/>
    <mergeCell ref="K1:K2"/>
  </mergeCells>
  <phoneticPr fontId="11" type="noConversion"/>
  <conditionalFormatting sqref="C3:C7 E3:E7 K3:K7 M3:M7 S3:S30 C19:C23 E19:E23 G19:G23 K19:K23 M19:M23 C27:C31 E27:E31 G3:G7 I19:I23 K11:K15 I11:I15 C11:C15 I3:I7 G11:G15 E11:E15 M11:M15">
    <cfRule type="cellIs" dxfId="1349" priority="101" operator="equal">
      <formula>$S$28</formula>
    </cfRule>
    <cfRule type="cellIs" dxfId="1348" priority="102" operator="equal">
      <formula>$S$27</formula>
    </cfRule>
    <cfRule type="cellIs" dxfId="1347" priority="103" operator="equal">
      <formula>$S$26</formula>
    </cfRule>
    <cfRule type="cellIs" dxfId="1346" priority="104" operator="equal">
      <formula>$S$25</formula>
    </cfRule>
    <cfRule type="cellIs" dxfId="1345" priority="105" operator="equal">
      <formula>$S$24</formula>
    </cfRule>
    <cfRule type="cellIs" dxfId="1344" priority="106" operator="equal">
      <formula>$S$23</formula>
    </cfRule>
    <cfRule type="cellIs" dxfId="1343" priority="107" operator="equal">
      <formula>$S$22</formula>
    </cfRule>
    <cfRule type="cellIs" dxfId="1342" priority="108" operator="equal">
      <formula>$S$21</formula>
    </cfRule>
    <cfRule type="cellIs" dxfId="1341" priority="109" operator="equal">
      <formula>$S$20</formula>
    </cfRule>
    <cfRule type="cellIs" dxfId="1340" priority="110" operator="equal">
      <formula>$S$19</formula>
    </cfRule>
    <cfRule type="cellIs" dxfId="1339" priority="111" operator="equal">
      <formula>$S$18</formula>
    </cfRule>
    <cfRule type="cellIs" dxfId="1338" priority="112" operator="equal">
      <formula>$S$17</formula>
    </cfRule>
    <cfRule type="cellIs" dxfId="1337" priority="113" operator="equal">
      <formula>$S$16</formula>
    </cfRule>
    <cfRule type="cellIs" dxfId="1336" priority="114" operator="equal">
      <formula>$S$15</formula>
    </cfRule>
    <cfRule type="cellIs" dxfId="1335" priority="115" operator="equal">
      <formula>$S$14</formula>
    </cfRule>
    <cfRule type="cellIs" dxfId="1334" priority="116" operator="equal">
      <formula>$S$13</formula>
    </cfRule>
    <cfRule type="cellIs" dxfId="1333" priority="117" operator="equal">
      <formula>$S$12</formula>
    </cfRule>
    <cfRule type="cellIs" dxfId="1332" priority="118" operator="equal">
      <formula>$S$11</formula>
    </cfRule>
    <cfRule type="cellIs" dxfId="1331" priority="119" operator="equal">
      <formula>$S$9</formula>
    </cfRule>
    <cfRule type="cellIs" dxfId="1330" priority="120" operator="equal">
      <formula>$S$8</formula>
    </cfRule>
    <cfRule type="cellIs" dxfId="1329" priority="121" operator="equal">
      <formula>$S$7</formula>
    </cfRule>
    <cfRule type="cellIs" dxfId="1328" priority="122" operator="equal">
      <formula>$S$6</formula>
    </cfRule>
    <cfRule type="cellIs" dxfId="1327" priority="123" operator="equal">
      <formula>$S$5</formula>
    </cfRule>
    <cfRule type="cellIs" dxfId="1326" priority="124" operator="equal">
      <formula>$S$3</formula>
    </cfRule>
    <cfRule type="cellIs" dxfId="1325" priority="125" operator="equal">
      <formula>$S$4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6917-9DB0-4FF8-B12C-3ACAD5C31163}">
  <dimension ref="A1:Z41"/>
  <sheetViews>
    <sheetView zoomScaleNormal="100" workbookViewId="0">
      <selection activeCell="M39" sqref="M39:M41"/>
    </sheetView>
  </sheetViews>
  <sheetFormatPr defaultRowHeight="15" customHeight="1" x14ac:dyDescent="0.25"/>
  <cols>
    <col min="2" max="2" width="3.5703125" customWidth="1"/>
    <col min="3" max="3" width="23.7109375" bestFit="1" customWidth="1"/>
    <col min="4" max="5" width="4.140625" bestFit="1" customWidth="1"/>
    <col min="6" max="6" width="24" bestFit="1" customWidth="1"/>
    <col min="7" max="8" width="4.140625" bestFit="1" customWidth="1"/>
    <col min="9" max="9" width="21" bestFit="1" customWidth="1"/>
    <col min="10" max="11" width="4.140625" bestFit="1" customWidth="1"/>
    <col min="12" max="12" width="20" bestFit="1" customWidth="1"/>
    <col min="13" max="14" width="4.140625" bestFit="1" customWidth="1"/>
    <col min="15" max="15" width="11.42578125" bestFit="1" customWidth="1"/>
    <col min="17" max="17" width="10.5703125" customWidth="1"/>
    <col min="20" max="20" width="7.5703125" customWidth="1"/>
    <col min="23" max="23" width="7.140625" customWidth="1"/>
    <col min="25" max="25" width="34.5703125" bestFit="1" customWidth="1"/>
  </cols>
  <sheetData>
    <row r="1" spans="1:26" ht="14.85" customHeight="1" x14ac:dyDescent="0.25">
      <c r="C1" s="157" t="s">
        <v>194</v>
      </c>
      <c r="F1" s="157" t="s">
        <v>195</v>
      </c>
      <c r="I1" s="157" t="s">
        <v>196</v>
      </c>
      <c r="L1" s="157" t="s">
        <v>197</v>
      </c>
      <c r="N1" s="163"/>
      <c r="Y1" s="76" t="s">
        <v>144</v>
      </c>
    </row>
    <row r="2" spans="1:26" x14ac:dyDescent="0.25">
      <c r="A2" s="75" t="s">
        <v>145</v>
      </c>
      <c r="C2" s="158"/>
      <c r="F2" s="158"/>
      <c r="I2" s="158"/>
      <c r="L2" s="158"/>
      <c r="N2" s="163"/>
      <c r="Y2" s="77" t="s">
        <v>198</v>
      </c>
      <c r="Z2">
        <f>COUNTIF($C$3:$W$41,Y2)</f>
        <v>8</v>
      </c>
    </row>
    <row r="3" spans="1:26" x14ac:dyDescent="0.25">
      <c r="A3" s="75" t="s">
        <v>160</v>
      </c>
      <c r="C3" s="79" t="s">
        <v>198</v>
      </c>
      <c r="F3" s="79" t="s">
        <v>198</v>
      </c>
      <c r="I3" s="79" t="s">
        <v>199</v>
      </c>
      <c r="J3" t="s">
        <v>64</v>
      </c>
      <c r="L3" s="77" t="s">
        <v>65</v>
      </c>
      <c r="N3" s="32"/>
      <c r="Y3" s="77" t="s">
        <v>199</v>
      </c>
      <c r="Z3">
        <f t="shared" ref="Z3:Z14" si="0">COUNTIF($C$3:$W$41,Y3)</f>
        <v>9</v>
      </c>
    </row>
    <row r="4" spans="1:26" x14ac:dyDescent="0.25">
      <c r="A4" s="75" t="s">
        <v>159</v>
      </c>
      <c r="C4" s="79" t="s">
        <v>198</v>
      </c>
      <c r="F4" s="79" t="s">
        <v>198</v>
      </c>
      <c r="I4" s="79" t="s">
        <v>199</v>
      </c>
      <c r="J4" t="s">
        <v>64</v>
      </c>
      <c r="L4" s="77" t="s">
        <v>200</v>
      </c>
      <c r="N4" s="32"/>
      <c r="Y4" s="77" t="s">
        <v>200</v>
      </c>
      <c r="Z4">
        <f t="shared" si="0"/>
        <v>1</v>
      </c>
    </row>
    <row r="5" spans="1:26" x14ac:dyDescent="0.25">
      <c r="A5" s="75" t="s">
        <v>157</v>
      </c>
      <c r="C5" s="79" t="s">
        <v>198</v>
      </c>
      <c r="F5" s="79" t="s">
        <v>198</v>
      </c>
      <c r="I5" s="79" t="s">
        <v>199</v>
      </c>
      <c r="J5" t="s">
        <v>64</v>
      </c>
      <c r="L5" s="83" t="s">
        <v>201</v>
      </c>
      <c r="N5" s="32"/>
      <c r="Y5" s="77" t="s">
        <v>201</v>
      </c>
      <c r="Z5">
        <f t="shared" si="0"/>
        <v>10</v>
      </c>
    </row>
    <row r="6" spans="1:26" x14ac:dyDescent="0.25">
      <c r="A6" s="75" t="s">
        <v>153</v>
      </c>
      <c r="C6" s="79" t="s">
        <v>198</v>
      </c>
      <c r="F6" s="79" t="s">
        <v>198</v>
      </c>
      <c r="I6" s="79" t="s">
        <v>199</v>
      </c>
      <c r="J6" t="s">
        <v>64</v>
      </c>
      <c r="L6" s="83" t="s">
        <v>201</v>
      </c>
      <c r="N6" s="32"/>
      <c r="Y6" s="77" t="s">
        <v>190</v>
      </c>
      <c r="Z6">
        <f t="shared" si="0"/>
        <v>6</v>
      </c>
    </row>
    <row r="7" spans="1:26" ht="15.75" thickBot="1" x14ac:dyDescent="0.3">
      <c r="Y7" s="77" t="s">
        <v>174</v>
      </c>
      <c r="Z7">
        <f t="shared" si="0"/>
        <v>14</v>
      </c>
    </row>
    <row r="8" spans="1:26" x14ac:dyDescent="0.25">
      <c r="C8" s="157" t="s">
        <v>202</v>
      </c>
      <c r="F8" s="157" t="s">
        <v>203</v>
      </c>
      <c r="I8" s="157" t="s">
        <v>204</v>
      </c>
      <c r="L8" s="159" t="s">
        <v>205</v>
      </c>
      <c r="N8" s="164"/>
      <c r="O8" s="157" t="s">
        <v>206</v>
      </c>
      <c r="Y8" s="77" t="s">
        <v>185</v>
      </c>
      <c r="Z8">
        <f t="shared" si="0"/>
        <v>13</v>
      </c>
    </row>
    <row r="9" spans="1:26" x14ac:dyDescent="0.25">
      <c r="A9" s="75" t="s">
        <v>145</v>
      </c>
      <c r="C9" s="158"/>
      <c r="F9" s="158"/>
      <c r="I9" s="158"/>
      <c r="L9" s="160"/>
      <c r="N9" s="164"/>
      <c r="O9" s="158"/>
      <c r="Y9" s="75" t="s">
        <v>190</v>
      </c>
      <c r="Z9">
        <f t="shared" si="0"/>
        <v>6</v>
      </c>
    </row>
    <row r="10" spans="1:26" x14ac:dyDescent="0.25">
      <c r="A10" s="75" t="s">
        <v>160</v>
      </c>
      <c r="C10" s="75" t="s">
        <v>190</v>
      </c>
      <c r="D10" t="s">
        <v>64</v>
      </c>
      <c r="F10" s="76" t="s">
        <v>174</v>
      </c>
      <c r="G10" t="s">
        <v>64</v>
      </c>
      <c r="I10" s="76" t="s">
        <v>185</v>
      </c>
      <c r="L10" s="111" t="s">
        <v>174</v>
      </c>
      <c r="M10" t="s">
        <v>64</v>
      </c>
      <c r="O10" s="79" t="s">
        <v>199</v>
      </c>
      <c r="P10" t="s">
        <v>64</v>
      </c>
      <c r="Y10" s="75" t="s">
        <v>207</v>
      </c>
      <c r="Z10">
        <f t="shared" si="0"/>
        <v>4</v>
      </c>
    </row>
    <row r="11" spans="1:26" x14ac:dyDescent="0.25">
      <c r="A11" s="75" t="s">
        <v>159</v>
      </c>
      <c r="C11" s="75" t="s">
        <v>190</v>
      </c>
      <c r="D11" t="s">
        <v>64</v>
      </c>
      <c r="F11" s="76" t="s">
        <v>174</v>
      </c>
      <c r="G11" t="s">
        <v>64</v>
      </c>
      <c r="I11" s="76" t="s">
        <v>185</v>
      </c>
      <c r="L11" s="111" t="s">
        <v>174</v>
      </c>
      <c r="M11" t="s">
        <v>64</v>
      </c>
      <c r="O11" s="79" t="s">
        <v>199</v>
      </c>
      <c r="P11" t="s">
        <v>64</v>
      </c>
      <c r="Y11" s="75" t="s">
        <v>208</v>
      </c>
      <c r="Z11">
        <f t="shared" si="0"/>
        <v>4</v>
      </c>
    </row>
    <row r="12" spans="1:26" x14ac:dyDescent="0.25">
      <c r="A12" s="75" t="s">
        <v>157</v>
      </c>
      <c r="C12" s="75" t="s">
        <v>190</v>
      </c>
      <c r="D12" t="s">
        <v>64</v>
      </c>
      <c r="F12" s="76" t="s">
        <v>174</v>
      </c>
      <c r="G12" t="s">
        <v>64</v>
      </c>
      <c r="I12" s="76" t="s">
        <v>185</v>
      </c>
      <c r="L12" s="111" t="s">
        <v>174</v>
      </c>
      <c r="M12" t="s">
        <v>64</v>
      </c>
      <c r="O12" s="79" t="s">
        <v>199</v>
      </c>
      <c r="P12" t="s">
        <v>64</v>
      </c>
      <c r="Y12" s="75" t="s">
        <v>209</v>
      </c>
      <c r="Z12">
        <f t="shared" si="0"/>
        <v>4</v>
      </c>
    </row>
    <row r="13" spans="1:26" ht="15.75" thickBot="1" x14ac:dyDescent="0.3">
      <c r="A13" s="75" t="s">
        <v>153</v>
      </c>
      <c r="C13" s="75" t="s">
        <v>190</v>
      </c>
      <c r="D13" t="s">
        <v>64</v>
      </c>
      <c r="F13" s="76" t="s">
        <v>174</v>
      </c>
      <c r="G13" t="s">
        <v>64</v>
      </c>
      <c r="I13" s="76" t="s">
        <v>185</v>
      </c>
      <c r="L13" s="112" t="s">
        <v>174</v>
      </c>
      <c r="M13" t="s">
        <v>64</v>
      </c>
      <c r="O13" s="79" t="s">
        <v>199</v>
      </c>
      <c r="P13" t="s">
        <v>64</v>
      </c>
      <c r="Y13" s="75" t="s">
        <v>207</v>
      </c>
      <c r="Z13">
        <f t="shared" si="0"/>
        <v>4</v>
      </c>
    </row>
    <row r="14" spans="1:26" ht="15.75" thickBot="1" x14ac:dyDescent="0.3">
      <c r="Y14" s="75" t="s">
        <v>210</v>
      </c>
      <c r="Z14">
        <f t="shared" si="0"/>
        <v>4</v>
      </c>
    </row>
    <row r="15" spans="1:26" x14ac:dyDescent="0.25">
      <c r="C15" s="157" t="s">
        <v>211</v>
      </c>
      <c r="F15" s="157" t="s">
        <v>212</v>
      </c>
      <c r="I15" s="157" t="s">
        <v>213</v>
      </c>
      <c r="L15" s="159" t="s">
        <v>214</v>
      </c>
      <c r="Y15" s="75" t="s">
        <v>215</v>
      </c>
      <c r="Z15">
        <v>16</v>
      </c>
    </row>
    <row r="16" spans="1:26" x14ac:dyDescent="0.25">
      <c r="A16" s="75" t="s">
        <v>145</v>
      </c>
      <c r="C16" s="158"/>
      <c r="F16" s="158"/>
      <c r="I16" s="158"/>
      <c r="L16" s="160"/>
      <c r="Y16" s="75" t="s">
        <v>216</v>
      </c>
      <c r="Z16">
        <f>COUNTIF($C$3:$W$41,Y16)</f>
        <v>4</v>
      </c>
    </row>
    <row r="17" spans="1:26" x14ac:dyDescent="0.25">
      <c r="A17" s="75" t="s">
        <v>160</v>
      </c>
      <c r="C17" s="76" t="s">
        <v>174</v>
      </c>
      <c r="D17" t="s">
        <v>64</v>
      </c>
      <c r="F17" s="79" t="s">
        <v>199</v>
      </c>
      <c r="I17" s="76" t="s">
        <v>190</v>
      </c>
      <c r="L17" s="109" t="s">
        <v>208</v>
      </c>
      <c r="Y17" s="75"/>
      <c r="Z17">
        <f>COUNTIF($C$3:$W$41,Y17)</f>
        <v>0</v>
      </c>
    </row>
    <row r="18" spans="1:26" x14ac:dyDescent="0.25">
      <c r="A18" s="75" t="s">
        <v>159</v>
      </c>
      <c r="C18" s="76" t="s">
        <v>174</v>
      </c>
      <c r="D18" t="s">
        <v>64</v>
      </c>
      <c r="F18" s="75" t="s">
        <v>185</v>
      </c>
      <c r="I18" s="76" t="s">
        <v>190</v>
      </c>
      <c r="L18" s="109" t="s">
        <v>208</v>
      </c>
      <c r="Y18" s="75"/>
      <c r="Z18">
        <f>COUNTIF($C$3:$W$41,Y18)</f>
        <v>0</v>
      </c>
    </row>
    <row r="19" spans="1:26" x14ac:dyDescent="0.25">
      <c r="A19" s="75" t="s">
        <v>157</v>
      </c>
      <c r="C19" s="76" t="s">
        <v>174</v>
      </c>
      <c r="D19" t="s">
        <v>64</v>
      </c>
      <c r="F19" s="76" t="s">
        <v>217</v>
      </c>
      <c r="I19" s="84" t="s">
        <v>207</v>
      </c>
      <c r="L19" s="109" t="s">
        <v>208</v>
      </c>
      <c r="Y19" s="75"/>
      <c r="Z19">
        <f>COUNTIF($C$3:$W$41,Y19)</f>
        <v>0</v>
      </c>
    </row>
    <row r="20" spans="1:26" ht="15.75" thickBot="1" x14ac:dyDescent="0.3">
      <c r="A20" s="75" t="s">
        <v>153</v>
      </c>
      <c r="C20" s="76" t="s">
        <v>174</v>
      </c>
      <c r="D20" t="s">
        <v>64</v>
      </c>
      <c r="F20" s="76" t="s">
        <v>217</v>
      </c>
      <c r="I20" s="84" t="s">
        <v>207</v>
      </c>
      <c r="L20" s="110" t="s">
        <v>208</v>
      </c>
      <c r="Y20" s="75"/>
    </row>
    <row r="21" spans="1:26" ht="15.75" thickBot="1" x14ac:dyDescent="0.3">
      <c r="Y21" s="75"/>
      <c r="Z21">
        <f>COUNTIF($C$3:$W$41,Y21)</f>
        <v>0</v>
      </c>
    </row>
    <row r="22" spans="1:26" x14ac:dyDescent="0.25">
      <c r="C22" s="157" t="s">
        <v>218</v>
      </c>
      <c r="F22" s="166" t="s">
        <v>219</v>
      </c>
      <c r="I22" s="157" t="s">
        <v>220</v>
      </c>
      <c r="L22" s="157" t="s">
        <v>221</v>
      </c>
      <c r="O22" s="117" t="s">
        <v>222</v>
      </c>
      <c r="Y22" s="75"/>
      <c r="Z22">
        <f>COUNTIF($C$3:$W$41,Y22)</f>
        <v>0</v>
      </c>
    </row>
    <row r="23" spans="1:26" ht="14.85" customHeight="1" x14ac:dyDescent="0.25">
      <c r="A23" s="75" t="s">
        <v>145</v>
      </c>
      <c r="C23" s="165"/>
      <c r="F23" s="167"/>
      <c r="I23" s="158"/>
      <c r="L23" s="158"/>
      <c r="O23" s="118"/>
      <c r="Y23" s="75"/>
      <c r="Z23">
        <f>COUNTIF($C$3:$W$41,Y23)</f>
        <v>0</v>
      </c>
    </row>
    <row r="24" spans="1:26" x14ac:dyDescent="0.25">
      <c r="A24" s="75" t="s">
        <v>160</v>
      </c>
      <c r="C24" s="83" t="s">
        <v>201</v>
      </c>
      <c r="F24" s="109" t="s">
        <v>209</v>
      </c>
      <c r="I24" s="84" t="s">
        <v>207</v>
      </c>
      <c r="J24" t="s">
        <v>64</v>
      </c>
      <c r="L24" s="83" t="s">
        <v>210</v>
      </c>
      <c r="M24" t="s">
        <v>64</v>
      </c>
      <c r="O24" s="109" t="s">
        <v>215</v>
      </c>
      <c r="Y24" s="75"/>
      <c r="Z24">
        <v>6</v>
      </c>
    </row>
    <row r="25" spans="1:26" x14ac:dyDescent="0.25">
      <c r="A25" s="75" t="s">
        <v>159</v>
      </c>
      <c r="C25" s="83" t="s">
        <v>201</v>
      </c>
      <c r="F25" s="109" t="s">
        <v>209</v>
      </c>
      <c r="I25" s="84" t="s">
        <v>207</v>
      </c>
      <c r="J25" t="s">
        <v>64</v>
      </c>
      <c r="L25" s="83" t="s">
        <v>210</v>
      </c>
      <c r="M25" t="s">
        <v>64</v>
      </c>
      <c r="O25" s="109" t="s">
        <v>215</v>
      </c>
      <c r="Y25" s="75"/>
      <c r="Z25">
        <f>COUNTIF($C$3:$W$41,Y25)</f>
        <v>0</v>
      </c>
    </row>
    <row r="26" spans="1:26" x14ac:dyDescent="0.25">
      <c r="A26" s="75" t="s">
        <v>157</v>
      </c>
      <c r="C26" s="83" t="s">
        <v>201</v>
      </c>
      <c r="F26" s="109" t="s">
        <v>209</v>
      </c>
      <c r="I26" s="76" t="s">
        <v>174</v>
      </c>
      <c r="J26" t="s">
        <v>64</v>
      </c>
      <c r="L26" s="83" t="s">
        <v>210</v>
      </c>
      <c r="M26" t="s">
        <v>64</v>
      </c>
      <c r="O26" s="109" t="s">
        <v>215</v>
      </c>
      <c r="Y26" s="75"/>
      <c r="Z26">
        <f>COUNTIF($C$3:$W$41,Y26)</f>
        <v>0</v>
      </c>
    </row>
    <row r="27" spans="1:26" ht="15.75" thickBot="1" x14ac:dyDescent="0.3">
      <c r="A27" s="75" t="s">
        <v>153</v>
      </c>
      <c r="C27" s="83" t="s">
        <v>201</v>
      </c>
      <c r="F27" s="110" t="s">
        <v>209</v>
      </c>
      <c r="I27" s="76" t="s">
        <v>174</v>
      </c>
      <c r="J27" t="s">
        <v>64</v>
      </c>
      <c r="L27" s="83" t="s">
        <v>210</v>
      </c>
      <c r="M27" t="s">
        <v>64</v>
      </c>
      <c r="O27" s="110" t="s">
        <v>215</v>
      </c>
      <c r="Y27" s="75"/>
      <c r="Z27">
        <f>COUNTIF($C$3:$W$41,Y27)</f>
        <v>0</v>
      </c>
    </row>
    <row r="28" spans="1:26" x14ac:dyDescent="0.25">
      <c r="Y28" s="75" t="s">
        <v>65</v>
      </c>
      <c r="Z28">
        <f>COUNTIF($C$3:$W$41,Y28)</f>
        <v>1</v>
      </c>
    </row>
    <row r="29" spans="1:26" x14ac:dyDescent="0.25">
      <c r="C29" s="161" t="s">
        <v>223</v>
      </c>
      <c r="F29" s="161" t="s">
        <v>224</v>
      </c>
      <c r="I29" s="161" t="s">
        <v>225</v>
      </c>
      <c r="L29" s="161" t="s">
        <v>226</v>
      </c>
      <c r="Y29" s="75"/>
    </row>
    <row r="30" spans="1:26" x14ac:dyDescent="0.25">
      <c r="A30" s="75" t="s">
        <v>145</v>
      </c>
      <c r="C30" s="162"/>
      <c r="F30" s="162"/>
      <c r="I30" s="162"/>
      <c r="L30" s="168"/>
    </row>
    <row r="31" spans="1:26" x14ac:dyDescent="0.25">
      <c r="A31" s="75" t="s">
        <v>160</v>
      </c>
      <c r="C31" s="119" t="s">
        <v>216</v>
      </c>
      <c r="D31" t="s">
        <v>64</v>
      </c>
      <c r="F31" s="76" t="s">
        <v>185</v>
      </c>
      <c r="I31" s="76" t="s">
        <v>185</v>
      </c>
      <c r="L31" s="83" t="s">
        <v>201</v>
      </c>
    </row>
    <row r="32" spans="1:26" x14ac:dyDescent="0.25">
      <c r="A32" s="75" t="s">
        <v>159</v>
      </c>
      <c r="C32" s="119" t="s">
        <v>216</v>
      </c>
      <c r="D32" t="s">
        <v>64</v>
      </c>
      <c r="F32" s="76" t="s">
        <v>185</v>
      </c>
      <c r="I32" s="76" t="s">
        <v>185</v>
      </c>
      <c r="L32" s="83" t="s">
        <v>201</v>
      </c>
    </row>
    <row r="33" spans="1:12" x14ac:dyDescent="0.25">
      <c r="A33" s="75" t="s">
        <v>157</v>
      </c>
      <c r="C33" s="119" t="s">
        <v>216</v>
      </c>
      <c r="D33" t="s">
        <v>64</v>
      </c>
      <c r="F33" s="76" t="s">
        <v>185</v>
      </c>
      <c r="I33" s="76" t="s">
        <v>185</v>
      </c>
      <c r="L33" s="83" t="s">
        <v>201</v>
      </c>
    </row>
    <row r="34" spans="1:12" x14ac:dyDescent="0.25">
      <c r="A34" s="75" t="s">
        <v>153</v>
      </c>
      <c r="C34" s="119" t="s">
        <v>216</v>
      </c>
      <c r="D34" t="s">
        <v>64</v>
      </c>
      <c r="F34" s="76" t="s">
        <v>185</v>
      </c>
      <c r="I34" s="76" t="s">
        <v>185</v>
      </c>
      <c r="L34" s="83" t="s">
        <v>201</v>
      </c>
    </row>
    <row r="36" spans="1:12" x14ac:dyDescent="0.25"/>
    <row r="37" spans="1:12" x14ac:dyDescent="0.25"/>
    <row r="38" spans="1:12" x14ac:dyDescent="0.25"/>
    <row r="39" spans="1:12" x14ac:dyDescent="0.25"/>
    <row r="40" spans="1:12" x14ac:dyDescent="0.25"/>
    <row r="41" spans="1:12" x14ac:dyDescent="0.25"/>
  </sheetData>
  <mergeCells count="23">
    <mergeCell ref="I29:I30"/>
    <mergeCell ref="N1:N2"/>
    <mergeCell ref="N8:N9"/>
    <mergeCell ref="C29:C30"/>
    <mergeCell ref="F29:F30"/>
    <mergeCell ref="C22:C23"/>
    <mergeCell ref="L15:L16"/>
    <mergeCell ref="F22:F23"/>
    <mergeCell ref="I22:I23"/>
    <mergeCell ref="L22:L23"/>
    <mergeCell ref="L29:L30"/>
    <mergeCell ref="C15:C16"/>
    <mergeCell ref="F15:F16"/>
    <mergeCell ref="I15:I16"/>
    <mergeCell ref="O8:O9"/>
    <mergeCell ref="C1:C2"/>
    <mergeCell ref="F1:F2"/>
    <mergeCell ref="I1:I2"/>
    <mergeCell ref="C8:C9"/>
    <mergeCell ref="F8:F9"/>
    <mergeCell ref="L8:L9"/>
    <mergeCell ref="I8:I9"/>
    <mergeCell ref="L1:L2"/>
  </mergeCells>
  <conditionalFormatting sqref="C3:C6 I3:J6 N3:N6 L17:L20 J1:J14 X44:X57">
    <cfRule type="cellIs" dxfId="1324" priority="576" operator="equal">
      <formula>$Y$27</formula>
    </cfRule>
    <cfRule type="cellIs" dxfId="1323" priority="577" operator="equal">
      <formula>$Y$26</formula>
    </cfRule>
    <cfRule type="cellIs" dxfId="1322" priority="578" operator="equal">
      <formula>$Y$25</formula>
    </cfRule>
    <cfRule type="cellIs" dxfId="1321" priority="579" operator="equal">
      <formula>$Y$24</formula>
    </cfRule>
    <cfRule type="cellIs" dxfId="1320" priority="580" operator="equal">
      <formula>$Y$23</formula>
    </cfRule>
    <cfRule type="cellIs" dxfId="1319" priority="581" operator="equal">
      <formula>$Y$22</formula>
    </cfRule>
    <cfRule type="cellIs" dxfId="1318" priority="582" operator="equal">
      <formula>$Y$21</formula>
    </cfRule>
    <cfRule type="cellIs" dxfId="1317" priority="583" operator="equal">
      <formula>$Y$20</formula>
    </cfRule>
    <cfRule type="cellIs" dxfId="1316" priority="584" operator="equal">
      <formula>$Y$19</formula>
    </cfRule>
    <cfRule type="cellIs" dxfId="1315" priority="585" operator="equal">
      <formula>$Y$18</formula>
    </cfRule>
    <cfRule type="cellIs" dxfId="1314" priority="586" operator="equal">
      <formula>$Y$17</formula>
    </cfRule>
    <cfRule type="cellIs" dxfId="1313" priority="587" operator="equal">
      <formula>$Y$16</formula>
    </cfRule>
    <cfRule type="cellIs" dxfId="1312" priority="588" operator="equal">
      <formula>$Y$15</formula>
    </cfRule>
    <cfRule type="cellIs" dxfId="1311" priority="589" operator="equal">
      <formula>$Y$14</formula>
    </cfRule>
    <cfRule type="cellIs" dxfId="1310" priority="590" operator="equal">
      <formula>$Y$13</formula>
    </cfRule>
    <cfRule type="cellIs" dxfId="1309" priority="591" operator="equal">
      <formula>$Y$12</formula>
    </cfRule>
    <cfRule type="cellIs" dxfId="1308" priority="592" operator="equal">
      <formula>$Y$11</formula>
    </cfRule>
    <cfRule type="cellIs" dxfId="1307" priority="593" operator="equal">
      <formula>$Y$10</formula>
    </cfRule>
    <cfRule type="cellIs" dxfId="1306" priority="594" operator="equal">
      <formula>$Y$8</formula>
    </cfRule>
    <cfRule type="cellIs" dxfId="1305" priority="595" operator="equal">
      <formula>$Y$7</formula>
    </cfRule>
    <cfRule type="cellIs" dxfId="1304" priority="596" operator="equal">
      <formula>$Y$6</formula>
    </cfRule>
    <cfRule type="cellIs" dxfId="1303" priority="597" operator="equal">
      <formula>$Y$5</formula>
    </cfRule>
    <cfRule type="cellIs" dxfId="1302" priority="598" operator="equal">
      <formula>$Y$4</formula>
    </cfRule>
    <cfRule type="cellIs" dxfId="1301" priority="599" operator="equal">
      <formula>$Y$2</formula>
    </cfRule>
    <cfRule type="cellIs" dxfId="1300" priority="600" operator="equal">
      <formula>$Y$3</formula>
    </cfRule>
  </conditionalFormatting>
  <conditionalFormatting sqref="C10:C13">
    <cfRule type="cellIs" dxfId="1299" priority="526" operator="equal">
      <formula>$Y$27</formula>
    </cfRule>
    <cfRule type="cellIs" dxfId="1298" priority="527" operator="equal">
      <formula>$Y$26</formula>
    </cfRule>
    <cfRule type="cellIs" dxfId="1297" priority="528" operator="equal">
      <formula>$Y$25</formula>
    </cfRule>
    <cfRule type="cellIs" dxfId="1296" priority="529" operator="equal">
      <formula>$Y$24</formula>
    </cfRule>
    <cfRule type="cellIs" dxfId="1295" priority="530" operator="equal">
      <formula>$Y$23</formula>
    </cfRule>
    <cfRule type="cellIs" dxfId="1294" priority="531" operator="equal">
      <formula>$Y$22</formula>
    </cfRule>
    <cfRule type="cellIs" dxfId="1293" priority="532" operator="equal">
      <formula>$Y$21</formula>
    </cfRule>
    <cfRule type="cellIs" dxfId="1292" priority="533" operator="equal">
      <formula>$Y$20</formula>
    </cfRule>
    <cfRule type="cellIs" dxfId="1291" priority="534" operator="equal">
      <formula>$Y$19</formula>
    </cfRule>
    <cfRule type="cellIs" dxfId="1290" priority="535" operator="equal">
      <formula>$Y$18</formula>
    </cfRule>
    <cfRule type="cellIs" dxfId="1289" priority="536" operator="equal">
      <formula>$Y$17</formula>
    </cfRule>
    <cfRule type="cellIs" dxfId="1288" priority="537" operator="equal">
      <formula>$Y$16</formula>
    </cfRule>
    <cfRule type="cellIs" dxfId="1287" priority="538" operator="equal">
      <formula>$Y$15</formula>
    </cfRule>
    <cfRule type="cellIs" dxfId="1286" priority="539" operator="equal">
      <formula>$Y$14</formula>
    </cfRule>
    <cfRule type="cellIs" dxfId="1285" priority="540" operator="equal">
      <formula>$Y$13</formula>
    </cfRule>
    <cfRule type="cellIs" dxfId="1284" priority="541" operator="equal">
      <formula>$Y$12</formula>
    </cfRule>
    <cfRule type="cellIs" dxfId="1283" priority="542" operator="equal">
      <formula>$Y$11</formula>
    </cfRule>
    <cfRule type="cellIs" dxfId="1282" priority="543" operator="equal">
      <formula>$Y$10</formula>
    </cfRule>
    <cfRule type="cellIs" dxfId="1281" priority="544" operator="equal">
      <formula>$Y$8</formula>
    </cfRule>
    <cfRule type="cellIs" dxfId="1280" priority="545" operator="equal">
      <formula>$Y$7</formula>
    </cfRule>
    <cfRule type="cellIs" dxfId="1279" priority="546" operator="equal">
      <formula>$Y$6</formula>
    </cfRule>
    <cfRule type="cellIs" dxfId="1278" priority="547" operator="equal">
      <formula>$Y$5</formula>
    </cfRule>
    <cfRule type="cellIs" dxfId="1277" priority="548" operator="equal">
      <formula>$Y$4</formula>
    </cfRule>
    <cfRule type="cellIs" dxfId="1276" priority="549" operator="equal">
      <formula>$Y$2</formula>
    </cfRule>
    <cfRule type="cellIs" dxfId="1275" priority="550" operator="equal">
      <formula>$Y$3</formula>
    </cfRule>
  </conditionalFormatting>
  <conditionalFormatting sqref="F3:F6">
    <cfRule type="cellIs" dxfId="1274" priority="951" operator="equal">
      <formula>$Y$27</formula>
    </cfRule>
    <cfRule type="cellIs" dxfId="1273" priority="952" operator="equal">
      <formula>$Y$26</formula>
    </cfRule>
    <cfRule type="cellIs" dxfId="1272" priority="953" operator="equal">
      <formula>$Y$25</formula>
    </cfRule>
    <cfRule type="cellIs" dxfId="1271" priority="954" operator="equal">
      <formula>$Y$24</formula>
    </cfRule>
    <cfRule type="cellIs" dxfId="1270" priority="955" operator="equal">
      <formula>$Y$23</formula>
    </cfRule>
    <cfRule type="cellIs" dxfId="1269" priority="956" operator="equal">
      <formula>$Y$22</formula>
    </cfRule>
    <cfRule type="cellIs" dxfId="1268" priority="957" operator="equal">
      <formula>$Y$21</formula>
    </cfRule>
    <cfRule type="cellIs" dxfId="1267" priority="958" operator="equal">
      <formula>$Y$20</formula>
    </cfRule>
    <cfRule type="cellIs" dxfId="1266" priority="959" operator="equal">
      <formula>$Y$19</formula>
    </cfRule>
    <cfRule type="cellIs" dxfId="1265" priority="960" operator="equal">
      <formula>$Y$18</formula>
    </cfRule>
    <cfRule type="cellIs" dxfId="1264" priority="961" operator="equal">
      <formula>$Y$17</formula>
    </cfRule>
    <cfRule type="cellIs" dxfId="1263" priority="962" operator="equal">
      <formula>$Y$16</formula>
    </cfRule>
    <cfRule type="cellIs" dxfId="1262" priority="963" operator="equal">
      <formula>$Y$15</formula>
    </cfRule>
    <cfRule type="cellIs" dxfId="1261" priority="964" operator="equal">
      <formula>$Y$14</formula>
    </cfRule>
    <cfRule type="cellIs" dxfId="1260" priority="965" operator="equal">
      <formula>$Y$13</formula>
    </cfRule>
    <cfRule type="cellIs" dxfId="1259" priority="966" operator="equal">
      <formula>$Y$12</formula>
    </cfRule>
    <cfRule type="cellIs" dxfId="1258" priority="967" operator="equal">
      <formula>$Y$11</formula>
    </cfRule>
    <cfRule type="cellIs" dxfId="1257" priority="968" operator="equal">
      <formula>$Y$10</formula>
    </cfRule>
    <cfRule type="cellIs" dxfId="1256" priority="969" operator="equal">
      <formula>$Y$8</formula>
    </cfRule>
    <cfRule type="cellIs" dxfId="1255" priority="970" operator="equal">
      <formula>$Y$7</formula>
    </cfRule>
    <cfRule type="cellIs" dxfId="1254" priority="971" operator="equal">
      <formula>$Y$6</formula>
    </cfRule>
    <cfRule type="cellIs" dxfId="1253" priority="972" operator="equal">
      <formula>$Y$5</formula>
    </cfRule>
    <cfRule type="cellIs" dxfId="1252" priority="973" operator="equal">
      <formula>$Y$4</formula>
    </cfRule>
    <cfRule type="cellIs" dxfId="1251" priority="974" operator="equal">
      <formula>$Y$2</formula>
    </cfRule>
    <cfRule type="cellIs" dxfId="1250" priority="975" operator="equal">
      <formula>$Y$3</formula>
    </cfRule>
  </conditionalFormatting>
  <conditionalFormatting sqref="F10:F13">
    <cfRule type="cellIs" dxfId="1249" priority="726" operator="equal">
      <formula>$Y$27</formula>
    </cfRule>
    <cfRule type="cellIs" dxfId="1248" priority="727" operator="equal">
      <formula>$Y$26</formula>
    </cfRule>
    <cfRule type="cellIs" dxfId="1247" priority="728" operator="equal">
      <formula>$Y$25</formula>
    </cfRule>
    <cfRule type="cellIs" dxfId="1246" priority="729" operator="equal">
      <formula>$Y$24</formula>
    </cfRule>
    <cfRule type="cellIs" dxfId="1245" priority="730" operator="equal">
      <formula>$Y$23</formula>
    </cfRule>
    <cfRule type="cellIs" dxfId="1244" priority="731" operator="equal">
      <formula>$Y$22</formula>
    </cfRule>
    <cfRule type="cellIs" dxfId="1243" priority="732" operator="equal">
      <formula>$Y$21</formula>
    </cfRule>
    <cfRule type="cellIs" dxfId="1242" priority="733" operator="equal">
      <formula>$Y$20</formula>
    </cfRule>
    <cfRule type="cellIs" dxfId="1241" priority="734" operator="equal">
      <formula>$Y$19</formula>
    </cfRule>
    <cfRule type="cellIs" dxfId="1240" priority="735" operator="equal">
      <formula>$Y$18</formula>
    </cfRule>
    <cfRule type="cellIs" dxfId="1239" priority="736" operator="equal">
      <formula>$Y$17</formula>
    </cfRule>
    <cfRule type="cellIs" dxfId="1238" priority="737" operator="equal">
      <formula>$Y$16</formula>
    </cfRule>
    <cfRule type="cellIs" dxfId="1237" priority="738" operator="equal">
      <formula>$Y$15</formula>
    </cfRule>
    <cfRule type="cellIs" dxfId="1236" priority="739" operator="equal">
      <formula>$Y$14</formula>
    </cfRule>
    <cfRule type="cellIs" dxfId="1235" priority="740" operator="equal">
      <formula>$Y$13</formula>
    </cfRule>
    <cfRule type="cellIs" dxfId="1234" priority="741" operator="equal">
      <formula>$Y$12</formula>
    </cfRule>
    <cfRule type="cellIs" dxfId="1233" priority="742" operator="equal">
      <formula>$Y$11</formula>
    </cfRule>
    <cfRule type="cellIs" dxfId="1232" priority="743" operator="equal">
      <formula>$Y$10</formula>
    </cfRule>
    <cfRule type="cellIs" dxfId="1231" priority="744" operator="equal">
      <formula>$Y$8</formula>
    </cfRule>
    <cfRule type="cellIs" dxfId="1230" priority="745" operator="equal">
      <formula>$Y$7</formula>
    </cfRule>
    <cfRule type="cellIs" dxfId="1229" priority="746" operator="equal">
      <formula>$Y$6</formula>
    </cfRule>
    <cfRule type="cellIs" dxfId="1228" priority="747" operator="equal">
      <formula>$Y$5</formula>
    </cfRule>
    <cfRule type="cellIs" dxfId="1227" priority="748" operator="equal">
      <formula>$Y$4</formula>
    </cfRule>
    <cfRule type="cellIs" dxfId="1226" priority="749" operator="equal">
      <formula>$Y$2</formula>
    </cfRule>
    <cfRule type="cellIs" dxfId="1225" priority="750" operator="equal">
      <formula>$Y$3</formula>
    </cfRule>
  </conditionalFormatting>
  <conditionalFormatting sqref="X54:X57">
    <cfRule type="cellIs" dxfId="1224" priority="176" operator="equal">
      <formula>$Y$27</formula>
    </cfRule>
    <cfRule type="cellIs" dxfId="1223" priority="177" operator="equal">
      <formula>$Y$26</formula>
    </cfRule>
    <cfRule type="cellIs" dxfId="1222" priority="178" operator="equal">
      <formula>$Y$25</formula>
    </cfRule>
    <cfRule type="cellIs" dxfId="1221" priority="179" operator="equal">
      <formula>$Y$24</formula>
    </cfRule>
    <cfRule type="cellIs" dxfId="1220" priority="180" operator="equal">
      <formula>$Y$23</formula>
    </cfRule>
    <cfRule type="cellIs" dxfId="1219" priority="181" operator="equal">
      <formula>$Y$22</formula>
    </cfRule>
    <cfRule type="cellIs" dxfId="1218" priority="182" operator="equal">
      <formula>$Y$21</formula>
    </cfRule>
    <cfRule type="cellIs" dxfId="1217" priority="183" operator="equal">
      <formula>$Y$20</formula>
    </cfRule>
    <cfRule type="cellIs" dxfId="1216" priority="184" operator="equal">
      <formula>$Y$19</formula>
    </cfRule>
    <cfRule type="cellIs" dxfId="1215" priority="185" operator="equal">
      <formula>$Y$18</formula>
    </cfRule>
    <cfRule type="cellIs" dxfId="1214" priority="186" operator="equal">
      <formula>$Y$17</formula>
    </cfRule>
    <cfRule type="cellIs" dxfId="1213" priority="187" operator="equal">
      <formula>$Y$16</formula>
    </cfRule>
    <cfRule type="cellIs" dxfId="1212" priority="188" operator="equal">
      <formula>$Y$15</formula>
    </cfRule>
    <cfRule type="cellIs" dxfId="1211" priority="189" operator="equal">
      <formula>$Y$14</formula>
    </cfRule>
    <cfRule type="cellIs" dxfId="1210" priority="190" operator="equal">
      <formula>$Y$13</formula>
    </cfRule>
    <cfRule type="cellIs" dxfId="1209" priority="191" operator="equal">
      <formula>$Y$12</formula>
    </cfRule>
    <cfRule type="cellIs" dxfId="1208" priority="192" operator="equal">
      <formula>$Y$11</formula>
    </cfRule>
    <cfRule type="cellIs" dxfId="1207" priority="193" operator="equal">
      <formula>$Y$10</formula>
    </cfRule>
    <cfRule type="cellIs" dxfId="1206" priority="194" operator="equal">
      <formula>$Y$8</formula>
    </cfRule>
    <cfRule type="cellIs" dxfId="1205" priority="195" operator="equal">
      <formula>$Y$7</formula>
    </cfRule>
    <cfRule type="cellIs" dxfId="1204" priority="196" operator="equal">
      <formula>$Y$6</formula>
    </cfRule>
    <cfRule type="cellIs" dxfId="1203" priority="197" operator="equal">
      <formula>$Y$5</formula>
    </cfRule>
    <cfRule type="cellIs" dxfId="1202" priority="198" operator="equal">
      <formula>$Y$4</formula>
    </cfRule>
    <cfRule type="cellIs" dxfId="1201" priority="199" operator="equal">
      <formula>$Y$2</formula>
    </cfRule>
    <cfRule type="cellIs" dxfId="1200" priority="200" operator="equal">
      <formula>$Y$3</formula>
    </cfRule>
  </conditionalFormatting>
  <conditionalFormatting sqref="L3:L4">
    <cfRule type="cellIs" dxfId="1199" priority="826" operator="equal">
      <formula>$Y$27</formula>
    </cfRule>
    <cfRule type="cellIs" dxfId="1198" priority="827" operator="equal">
      <formula>$Y$26</formula>
    </cfRule>
    <cfRule type="cellIs" dxfId="1197" priority="828" operator="equal">
      <formula>$Y$25</formula>
    </cfRule>
    <cfRule type="cellIs" dxfId="1196" priority="829" operator="equal">
      <formula>$Y$24</formula>
    </cfRule>
    <cfRule type="cellIs" dxfId="1195" priority="830" operator="equal">
      <formula>$Y$23</formula>
    </cfRule>
    <cfRule type="cellIs" dxfId="1194" priority="831" operator="equal">
      <formula>$Y$22</formula>
    </cfRule>
    <cfRule type="cellIs" dxfId="1193" priority="832" operator="equal">
      <formula>$Y$21</formula>
    </cfRule>
    <cfRule type="cellIs" dxfId="1192" priority="833" operator="equal">
      <formula>$Y$20</formula>
    </cfRule>
    <cfRule type="cellIs" dxfId="1191" priority="834" operator="equal">
      <formula>$Y$19</formula>
    </cfRule>
    <cfRule type="cellIs" dxfId="1190" priority="835" operator="equal">
      <formula>$Y$18</formula>
    </cfRule>
    <cfRule type="cellIs" dxfId="1189" priority="836" operator="equal">
      <formula>$Y$17</formula>
    </cfRule>
    <cfRule type="cellIs" dxfId="1188" priority="837" operator="equal">
      <formula>$Y$16</formula>
    </cfRule>
    <cfRule type="cellIs" dxfId="1187" priority="838" operator="equal">
      <formula>$Y$15</formula>
    </cfRule>
    <cfRule type="cellIs" dxfId="1186" priority="839" operator="equal">
      <formula>$Y$14</formula>
    </cfRule>
    <cfRule type="cellIs" dxfId="1185" priority="840" operator="equal">
      <formula>$Y$13</formula>
    </cfRule>
    <cfRule type="cellIs" dxfId="1184" priority="841" operator="equal">
      <formula>$Y$12</formula>
    </cfRule>
    <cfRule type="cellIs" dxfId="1183" priority="842" operator="equal">
      <formula>$Y$11</formula>
    </cfRule>
    <cfRule type="cellIs" dxfId="1182" priority="843" operator="equal">
      <formula>$Y$10</formula>
    </cfRule>
    <cfRule type="cellIs" dxfId="1181" priority="844" operator="equal">
      <formula>$Y$8</formula>
    </cfRule>
    <cfRule type="cellIs" dxfId="1180" priority="845" operator="equal">
      <formula>$Y$7</formula>
    </cfRule>
    <cfRule type="cellIs" dxfId="1179" priority="846" operator="equal">
      <formula>$Y$6</formula>
    </cfRule>
    <cfRule type="cellIs" dxfId="1178" priority="847" operator="equal">
      <formula>$Y$5</formula>
    </cfRule>
    <cfRule type="cellIs" dxfId="1177" priority="848" operator="equal">
      <formula>$Y$4</formula>
    </cfRule>
    <cfRule type="cellIs" dxfId="1176" priority="849" operator="equal">
      <formula>$Y$2</formula>
    </cfRule>
    <cfRule type="cellIs" dxfId="1175" priority="850" operator="equal">
      <formula>$Y$3</formula>
    </cfRule>
  </conditionalFormatting>
  <conditionalFormatting sqref="N11:N13">
    <cfRule type="cellIs" dxfId="1174" priority="551" operator="equal">
      <formula>$Y$27</formula>
    </cfRule>
    <cfRule type="cellIs" dxfId="1173" priority="552" operator="equal">
      <formula>$Y$26</formula>
    </cfRule>
    <cfRule type="cellIs" dxfId="1172" priority="553" operator="equal">
      <formula>$Y$25</formula>
    </cfRule>
    <cfRule type="cellIs" dxfId="1171" priority="554" operator="equal">
      <formula>$Y$24</formula>
    </cfRule>
    <cfRule type="cellIs" dxfId="1170" priority="555" operator="equal">
      <formula>$Y$23</formula>
    </cfRule>
    <cfRule type="cellIs" dxfId="1169" priority="556" operator="equal">
      <formula>$Y$22</formula>
    </cfRule>
    <cfRule type="cellIs" dxfId="1168" priority="557" operator="equal">
      <formula>$Y$21</formula>
    </cfRule>
    <cfRule type="cellIs" dxfId="1167" priority="558" operator="equal">
      <formula>$Y$20</formula>
    </cfRule>
    <cfRule type="cellIs" dxfId="1166" priority="559" operator="equal">
      <formula>$Y$19</formula>
    </cfRule>
    <cfRule type="cellIs" dxfId="1165" priority="560" operator="equal">
      <formula>$Y$18</formula>
    </cfRule>
    <cfRule type="cellIs" dxfId="1164" priority="561" operator="equal">
      <formula>$Y$17</formula>
    </cfRule>
    <cfRule type="cellIs" dxfId="1163" priority="562" operator="equal">
      <formula>$Y$16</formula>
    </cfRule>
    <cfRule type="cellIs" dxfId="1162" priority="563" operator="equal">
      <formula>$Y$15</formula>
    </cfRule>
    <cfRule type="cellIs" dxfId="1161" priority="564" operator="equal">
      <formula>$Y$14</formula>
    </cfRule>
    <cfRule type="cellIs" dxfId="1160" priority="565" operator="equal">
      <formula>$Y$13</formula>
    </cfRule>
    <cfRule type="cellIs" dxfId="1159" priority="566" operator="equal">
      <formula>$Y$12</formula>
    </cfRule>
    <cfRule type="cellIs" dxfId="1158" priority="567" operator="equal">
      <formula>$Y$11</formula>
    </cfRule>
    <cfRule type="cellIs" dxfId="1157" priority="568" operator="equal">
      <formula>$Y$10</formula>
    </cfRule>
    <cfRule type="cellIs" dxfId="1156" priority="569" operator="equal">
      <formula>$Y$8</formula>
    </cfRule>
    <cfRule type="cellIs" dxfId="1155" priority="570" operator="equal">
      <formula>$Y$7</formula>
    </cfRule>
    <cfRule type="cellIs" dxfId="1154" priority="571" operator="equal">
      <formula>$Y$6</formula>
    </cfRule>
    <cfRule type="cellIs" dxfId="1153" priority="572" operator="equal">
      <formula>$Y$5</formula>
    </cfRule>
    <cfRule type="cellIs" dxfId="1152" priority="573" operator="equal">
      <formula>$Y$4</formula>
    </cfRule>
    <cfRule type="cellIs" dxfId="1151" priority="574" operator="equal">
      <formula>$Y$2</formula>
    </cfRule>
    <cfRule type="cellIs" dxfId="1150" priority="575" operator="equal">
      <formula>$Y$3</formula>
    </cfRule>
  </conditionalFormatting>
  <conditionalFormatting sqref="I31:I34">
    <cfRule type="cellIs" dxfId="1149" priority="901" operator="equal">
      <formula>$Y$27</formula>
    </cfRule>
    <cfRule type="cellIs" dxfId="1148" priority="902" operator="equal">
      <formula>$Y$26</formula>
    </cfRule>
    <cfRule type="cellIs" dxfId="1147" priority="903" operator="equal">
      <formula>$Y$25</formula>
    </cfRule>
    <cfRule type="cellIs" dxfId="1146" priority="904" operator="equal">
      <formula>$Y$24</formula>
    </cfRule>
    <cfRule type="cellIs" dxfId="1145" priority="905" operator="equal">
      <formula>$Y$23</formula>
    </cfRule>
    <cfRule type="cellIs" dxfId="1144" priority="906" operator="equal">
      <formula>$Y$22</formula>
    </cfRule>
    <cfRule type="cellIs" dxfId="1143" priority="907" operator="equal">
      <formula>$Y$21</formula>
    </cfRule>
    <cfRule type="cellIs" dxfId="1142" priority="908" operator="equal">
      <formula>$Y$20</formula>
    </cfRule>
    <cfRule type="cellIs" dxfId="1141" priority="909" operator="equal">
      <formula>$Y$19</formula>
    </cfRule>
    <cfRule type="cellIs" dxfId="1140" priority="910" operator="equal">
      <formula>$Y$18</formula>
    </cfRule>
    <cfRule type="cellIs" dxfId="1139" priority="911" operator="equal">
      <formula>$Y$17</formula>
    </cfRule>
    <cfRule type="cellIs" dxfId="1138" priority="912" operator="equal">
      <formula>$Y$16</formula>
    </cfRule>
    <cfRule type="cellIs" dxfId="1137" priority="913" operator="equal">
      <formula>$Y$15</formula>
    </cfRule>
    <cfRule type="cellIs" dxfId="1136" priority="914" operator="equal">
      <formula>$Y$14</formula>
    </cfRule>
    <cfRule type="cellIs" dxfId="1135" priority="915" operator="equal">
      <formula>$Y$13</formula>
    </cfRule>
    <cfRule type="cellIs" dxfId="1134" priority="916" operator="equal">
      <formula>$Y$12</formula>
    </cfRule>
    <cfRule type="cellIs" dxfId="1133" priority="917" operator="equal">
      <formula>$Y$11</formula>
    </cfRule>
    <cfRule type="cellIs" dxfId="1132" priority="918" operator="equal">
      <formula>$Y$10</formula>
    </cfRule>
    <cfRule type="cellIs" dxfId="1131" priority="919" operator="equal">
      <formula>$Y$8</formula>
    </cfRule>
    <cfRule type="cellIs" dxfId="1130" priority="920" operator="equal">
      <formula>$Y$7</formula>
    </cfRule>
    <cfRule type="cellIs" dxfId="1129" priority="921" operator="equal">
      <formula>$Y$6</formula>
    </cfRule>
    <cfRule type="cellIs" dxfId="1128" priority="922" operator="equal">
      <formula>$Y$5</formula>
    </cfRule>
    <cfRule type="cellIs" dxfId="1127" priority="923" operator="equal">
      <formula>$Y$4</formula>
    </cfRule>
    <cfRule type="cellIs" dxfId="1126" priority="924" operator="equal">
      <formula>$Y$2</formula>
    </cfRule>
    <cfRule type="cellIs" dxfId="1125" priority="925" operator="equal">
      <formula>$Y$3</formula>
    </cfRule>
  </conditionalFormatting>
  <conditionalFormatting sqref="I10:J13">
    <cfRule type="cellIs" dxfId="1124" priority="301" operator="equal">
      <formula>$Y$27</formula>
    </cfRule>
    <cfRule type="cellIs" dxfId="1123" priority="302" operator="equal">
      <formula>$Y$26</formula>
    </cfRule>
    <cfRule type="cellIs" dxfId="1122" priority="303" operator="equal">
      <formula>$Y$25</formula>
    </cfRule>
    <cfRule type="cellIs" dxfId="1121" priority="304" operator="equal">
      <formula>$Y$24</formula>
    </cfRule>
    <cfRule type="cellIs" dxfId="1120" priority="305" operator="equal">
      <formula>$Y$23</formula>
    </cfRule>
    <cfRule type="cellIs" dxfId="1119" priority="306" operator="equal">
      <formula>$Y$22</formula>
    </cfRule>
    <cfRule type="cellIs" dxfId="1118" priority="307" operator="equal">
      <formula>$Y$21</formula>
    </cfRule>
    <cfRule type="cellIs" dxfId="1117" priority="308" operator="equal">
      <formula>$Y$20</formula>
    </cfRule>
    <cfRule type="cellIs" dxfId="1116" priority="309" operator="equal">
      <formula>$Y$19</formula>
    </cfRule>
    <cfRule type="cellIs" dxfId="1115" priority="310" operator="equal">
      <formula>$Y$18</formula>
    </cfRule>
    <cfRule type="cellIs" dxfId="1114" priority="311" operator="equal">
      <formula>$Y$17</formula>
    </cfRule>
    <cfRule type="cellIs" dxfId="1113" priority="312" operator="equal">
      <formula>$Y$16</formula>
    </cfRule>
    <cfRule type="cellIs" dxfId="1112" priority="313" operator="equal">
      <formula>$Y$15</formula>
    </cfRule>
    <cfRule type="cellIs" dxfId="1111" priority="314" operator="equal">
      <formula>$Y$14</formula>
    </cfRule>
    <cfRule type="cellIs" dxfId="1110" priority="315" operator="equal">
      <formula>$Y$13</formula>
    </cfRule>
    <cfRule type="cellIs" dxfId="1109" priority="316" operator="equal">
      <formula>$Y$12</formula>
    </cfRule>
    <cfRule type="cellIs" dxfId="1108" priority="317" operator="equal">
      <formula>$Y$11</formula>
    </cfRule>
    <cfRule type="cellIs" dxfId="1107" priority="318" operator="equal">
      <formula>$Y$10</formula>
    </cfRule>
    <cfRule type="cellIs" dxfId="1106" priority="319" operator="equal">
      <formula>$Y$8</formula>
    </cfRule>
    <cfRule type="cellIs" dxfId="1105" priority="320" operator="equal">
      <formula>$Y$7</formula>
    </cfRule>
    <cfRule type="cellIs" dxfId="1104" priority="321" operator="equal">
      <formula>$Y$6</formula>
    </cfRule>
    <cfRule type="cellIs" dxfId="1103" priority="322" operator="equal">
      <formula>$Y$5</formula>
    </cfRule>
    <cfRule type="cellIs" dxfId="1102" priority="323" operator="equal">
      <formula>$Y$4</formula>
    </cfRule>
    <cfRule type="cellIs" dxfId="1101" priority="324" operator="equal">
      <formula>$Y$2</formula>
    </cfRule>
    <cfRule type="cellIs" dxfId="1100" priority="325" operator="equal">
      <formula>$Y$3</formula>
    </cfRule>
  </conditionalFormatting>
  <conditionalFormatting sqref="C17:C20">
    <cfRule type="cellIs" dxfId="1099" priority="476" operator="equal">
      <formula>$Y$27</formula>
    </cfRule>
    <cfRule type="cellIs" dxfId="1098" priority="477" operator="equal">
      <formula>$Y$26</formula>
    </cfRule>
    <cfRule type="cellIs" dxfId="1097" priority="478" operator="equal">
      <formula>$Y$25</formula>
    </cfRule>
    <cfRule type="cellIs" dxfId="1096" priority="479" operator="equal">
      <formula>$Y$24</formula>
    </cfRule>
    <cfRule type="cellIs" dxfId="1095" priority="480" operator="equal">
      <formula>$Y$23</formula>
    </cfRule>
    <cfRule type="cellIs" dxfId="1094" priority="481" operator="equal">
      <formula>$Y$22</formula>
    </cfRule>
    <cfRule type="cellIs" dxfId="1093" priority="482" operator="equal">
      <formula>$Y$21</formula>
    </cfRule>
    <cfRule type="cellIs" dxfId="1092" priority="483" operator="equal">
      <formula>$Y$20</formula>
    </cfRule>
    <cfRule type="cellIs" dxfId="1091" priority="484" operator="equal">
      <formula>$Y$19</formula>
    </cfRule>
    <cfRule type="cellIs" dxfId="1090" priority="485" operator="equal">
      <formula>$Y$18</formula>
    </cfRule>
    <cfRule type="cellIs" dxfId="1089" priority="486" operator="equal">
      <formula>$Y$17</formula>
    </cfRule>
    <cfRule type="cellIs" dxfId="1088" priority="487" operator="equal">
      <formula>$Y$16</formula>
    </cfRule>
    <cfRule type="cellIs" dxfId="1087" priority="488" operator="equal">
      <formula>$Y$15</formula>
    </cfRule>
    <cfRule type="cellIs" dxfId="1086" priority="489" operator="equal">
      <formula>$Y$14</formula>
    </cfRule>
    <cfRule type="cellIs" dxfId="1085" priority="490" operator="equal">
      <formula>$Y$13</formula>
    </cfRule>
    <cfRule type="cellIs" dxfId="1084" priority="491" operator="equal">
      <formula>$Y$12</formula>
    </cfRule>
    <cfRule type="cellIs" dxfId="1083" priority="492" operator="equal">
      <formula>$Y$11</formula>
    </cfRule>
    <cfRule type="cellIs" dxfId="1082" priority="493" operator="equal">
      <formula>$Y$10</formula>
    </cfRule>
    <cfRule type="cellIs" dxfId="1081" priority="494" operator="equal">
      <formula>$Y$8</formula>
    </cfRule>
    <cfRule type="cellIs" dxfId="1080" priority="495" operator="equal">
      <formula>$Y$7</formula>
    </cfRule>
    <cfRule type="cellIs" dxfId="1079" priority="496" operator="equal">
      <formula>$Y$6</formula>
    </cfRule>
    <cfRule type="cellIs" dxfId="1078" priority="497" operator="equal">
      <formula>$Y$5</formula>
    </cfRule>
    <cfRule type="cellIs" dxfId="1077" priority="498" operator="equal">
      <formula>$Y$4</formula>
    </cfRule>
    <cfRule type="cellIs" dxfId="1076" priority="499" operator="equal">
      <formula>$Y$2</formula>
    </cfRule>
    <cfRule type="cellIs" dxfId="1075" priority="500" operator="equal">
      <formula>$Y$3</formula>
    </cfRule>
  </conditionalFormatting>
  <conditionalFormatting sqref="L10:L13">
    <cfRule type="cellIs" dxfId="1074" priority="501" operator="equal">
      <formula>$Y$27</formula>
    </cfRule>
    <cfRule type="cellIs" dxfId="1073" priority="502" operator="equal">
      <formula>$Y$26</formula>
    </cfRule>
    <cfRule type="cellIs" dxfId="1072" priority="503" operator="equal">
      <formula>$Y$25</formula>
    </cfRule>
    <cfRule type="cellIs" dxfId="1071" priority="504" operator="equal">
      <formula>$Y$24</formula>
    </cfRule>
    <cfRule type="cellIs" dxfId="1070" priority="505" operator="equal">
      <formula>$Y$23</formula>
    </cfRule>
    <cfRule type="cellIs" dxfId="1069" priority="506" operator="equal">
      <formula>$Y$22</formula>
    </cfRule>
    <cfRule type="cellIs" dxfId="1068" priority="507" operator="equal">
      <formula>$Y$21</formula>
    </cfRule>
    <cfRule type="cellIs" dxfId="1067" priority="508" operator="equal">
      <formula>$Y$20</formula>
    </cfRule>
    <cfRule type="cellIs" dxfId="1066" priority="509" operator="equal">
      <formula>$Y$19</formula>
    </cfRule>
    <cfRule type="cellIs" dxfId="1065" priority="510" operator="equal">
      <formula>$Y$18</formula>
    </cfRule>
    <cfRule type="cellIs" dxfId="1064" priority="511" operator="equal">
      <formula>$Y$17</formula>
    </cfRule>
    <cfRule type="cellIs" dxfId="1063" priority="512" operator="equal">
      <formula>$Y$16</formula>
    </cfRule>
    <cfRule type="cellIs" dxfId="1062" priority="513" operator="equal">
      <formula>$Y$15</formula>
    </cfRule>
    <cfRule type="cellIs" dxfId="1061" priority="514" operator="equal">
      <formula>$Y$14</formula>
    </cfRule>
    <cfRule type="cellIs" dxfId="1060" priority="515" operator="equal">
      <formula>$Y$13</formula>
    </cfRule>
    <cfRule type="cellIs" dxfId="1059" priority="516" operator="equal">
      <formula>$Y$12</formula>
    </cfRule>
    <cfRule type="cellIs" dxfId="1058" priority="517" operator="equal">
      <formula>$Y$11</formula>
    </cfRule>
    <cfRule type="cellIs" dxfId="1057" priority="518" operator="equal">
      <formula>$Y$10</formula>
    </cfRule>
    <cfRule type="cellIs" dxfId="1056" priority="519" operator="equal">
      <formula>$Y$8</formula>
    </cfRule>
    <cfRule type="cellIs" dxfId="1055" priority="520" operator="equal">
      <formula>$Y$7</formula>
    </cfRule>
    <cfRule type="cellIs" dxfId="1054" priority="521" operator="equal">
      <formula>$Y$6</formula>
    </cfRule>
    <cfRule type="cellIs" dxfId="1053" priority="522" operator="equal">
      <formula>$Y$5</formula>
    </cfRule>
    <cfRule type="cellIs" dxfId="1052" priority="523" operator="equal">
      <formula>$Y$4</formula>
    </cfRule>
    <cfRule type="cellIs" dxfId="1051" priority="524" operator="equal">
      <formula>$Y$2</formula>
    </cfRule>
    <cfRule type="cellIs" dxfId="1050" priority="525" operator="equal">
      <formula>$Y$3</formula>
    </cfRule>
  </conditionalFormatting>
  <conditionalFormatting sqref="F17:F20">
    <cfRule type="cellIs" dxfId="1049" priority="251" operator="equal">
      <formula>$Y$27</formula>
    </cfRule>
    <cfRule type="cellIs" dxfId="1048" priority="252" operator="equal">
      <formula>$Y$26</formula>
    </cfRule>
    <cfRule type="cellIs" dxfId="1047" priority="253" operator="equal">
      <formula>$Y$25</formula>
    </cfRule>
    <cfRule type="cellIs" dxfId="1046" priority="254" operator="equal">
      <formula>$Y$24</formula>
    </cfRule>
    <cfRule type="cellIs" dxfId="1045" priority="255" operator="equal">
      <formula>$Y$23</formula>
    </cfRule>
    <cfRule type="cellIs" dxfId="1044" priority="256" operator="equal">
      <formula>$Y$22</formula>
    </cfRule>
    <cfRule type="cellIs" dxfId="1043" priority="257" operator="equal">
      <formula>$Y$21</formula>
    </cfRule>
    <cfRule type="cellIs" dxfId="1042" priority="258" operator="equal">
      <formula>$Y$20</formula>
    </cfRule>
    <cfRule type="cellIs" dxfId="1041" priority="259" operator="equal">
      <formula>$Y$19</formula>
    </cfRule>
    <cfRule type="cellIs" dxfId="1040" priority="260" operator="equal">
      <formula>$Y$18</formula>
    </cfRule>
    <cfRule type="cellIs" dxfId="1039" priority="261" operator="equal">
      <formula>$Y$17</formula>
    </cfRule>
    <cfRule type="cellIs" dxfId="1038" priority="262" operator="equal">
      <formula>$Y$16</formula>
    </cfRule>
    <cfRule type="cellIs" dxfId="1037" priority="263" operator="equal">
      <formula>$Y$15</formula>
    </cfRule>
    <cfRule type="cellIs" dxfId="1036" priority="264" operator="equal">
      <formula>$Y$14</formula>
    </cfRule>
    <cfRule type="cellIs" dxfId="1035" priority="265" operator="equal">
      <formula>$Y$13</formula>
    </cfRule>
    <cfRule type="cellIs" dxfId="1034" priority="266" operator="equal">
      <formula>$Y$12</formula>
    </cfRule>
    <cfRule type="cellIs" dxfId="1033" priority="267" operator="equal">
      <formula>$Y$11</formula>
    </cfRule>
    <cfRule type="cellIs" dxfId="1032" priority="268" operator="equal">
      <formula>$Y$10</formula>
    </cfRule>
    <cfRule type="cellIs" dxfId="1031" priority="269" operator="equal">
      <formula>$Y$8</formula>
    </cfRule>
    <cfRule type="cellIs" dxfId="1030" priority="270" operator="equal">
      <formula>$Y$7</formula>
    </cfRule>
    <cfRule type="cellIs" dxfId="1029" priority="271" operator="equal">
      <formula>$Y$6</formula>
    </cfRule>
    <cfRule type="cellIs" dxfId="1028" priority="272" operator="equal">
      <formula>$Y$5</formula>
    </cfRule>
    <cfRule type="cellIs" dxfId="1027" priority="273" operator="equal">
      <formula>$Y$4</formula>
    </cfRule>
    <cfRule type="cellIs" dxfId="1026" priority="274" operator="equal">
      <formula>$Y$2</formula>
    </cfRule>
    <cfRule type="cellIs" dxfId="1025" priority="275" operator="equal">
      <formula>$Y$3</formula>
    </cfRule>
  </conditionalFormatting>
  <conditionalFormatting sqref="C31:C34">
    <cfRule type="cellIs" dxfId="1024" priority="601" operator="equal">
      <formula>$Y$27</formula>
    </cfRule>
    <cfRule type="cellIs" dxfId="1023" priority="602" operator="equal">
      <formula>$Y$26</formula>
    </cfRule>
    <cfRule type="cellIs" dxfId="1022" priority="603" operator="equal">
      <formula>$Y$25</formula>
    </cfRule>
    <cfRule type="cellIs" dxfId="1021" priority="604" operator="equal">
      <formula>$Y$24</formula>
    </cfRule>
    <cfRule type="cellIs" dxfId="1020" priority="605" operator="equal">
      <formula>$Y$23</formula>
    </cfRule>
    <cfRule type="cellIs" dxfId="1019" priority="606" operator="equal">
      <formula>$Y$22</formula>
    </cfRule>
    <cfRule type="cellIs" dxfId="1018" priority="607" operator="equal">
      <formula>$Y$21</formula>
    </cfRule>
    <cfRule type="cellIs" dxfId="1017" priority="608" operator="equal">
      <formula>$Y$20</formula>
    </cfRule>
    <cfRule type="cellIs" dxfId="1016" priority="609" operator="equal">
      <formula>$Y$19</formula>
    </cfRule>
    <cfRule type="cellIs" dxfId="1015" priority="610" operator="equal">
      <formula>$Y$18</formula>
    </cfRule>
    <cfRule type="cellIs" dxfId="1014" priority="611" operator="equal">
      <formula>$Y$17</formula>
    </cfRule>
    <cfRule type="cellIs" dxfId="1013" priority="612" operator="equal">
      <formula>$Y$16</formula>
    </cfRule>
    <cfRule type="cellIs" dxfId="1012" priority="613" operator="equal">
      <formula>$Y$15</formula>
    </cfRule>
    <cfRule type="cellIs" dxfId="1011" priority="614" operator="equal">
      <formula>$Y$14</formula>
    </cfRule>
    <cfRule type="cellIs" dxfId="1010" priority="615" operator="equal">
      <formula>$Y$13</formula>
    </cfRule>
    <cfRule type="cellIs" dxfId="1009" priority="616" operator="equal">
      <formula>$Y$12</formula>
    </cfRule>
    <cfRule type="cellIs" dxfId="1008" priority="617" operator="equal">
      <formula>$Y$11</formula>
    </cfRule>
    <cfRule type="cellIs" dxfId="1007" priority="618" operator="equal">
      <formula>$Y$10</formula>
    </cfRule>
    <cfRule type="cellIs" dxfId="1006" priority="619" operator="equal">
      <formula>$Y$8</formula>
    </cfRule>
    <cfRule type="cellIs" dxfId="1005" priority="620" operator="equal">
      <formula>$Y$7</formula>
    </cfRule>
    <cfRule type="cellIs" dxfId="1004" priority="621" operator="equal">
      <formula>$Y$6</formula>
    </cfRule>
    <cfRule type="cellIs" dxfId="1003" priority="622" operator="equal">
      <formula>$Y$5</formula>
    </cfRule>
    <cfRule type="cellIs" dxfId="1002" priority="623" operator="equal">
      <formula>$Y$4</formula>
    </cfRule>
    <cfRule type="cellIs" dxfId="1001" priority="624" operator="equal">
      <formula>$Y$2</formula>
    </cfRule>
    <cfRule type="cellIs" dxfId="1000" priority="625" operator="equal">
      <formula>$Y$3</formula>
    </cfRule>
  </conditionalFormatting>
  <conditionalFormatting sqref="I17:I20">
    <cfRule type="cellIs" dxfId="999" priority="226" operator="equal">
      <formula>$Y$27</formula>
    </cfRule>
    <cfRule type="cellIs" dxfId="998" priority="227" operator="equal">
      <formula>$Y$26</formula>
    </cfRule>
    <cfRule type="cellIs" dxfId="997" priority="228" operator="equal">
      <formula>$Y$25</formula>
    </cfRule>
    <cfRule type="cellIs" dxfId="996" priority="229" operator="equal">
      <formula>$Y$24</formula>
    </cfRule>
    <cfRule type="cellIs" dxfId="995" priority="230" operator="equal">
      <formula>$Y$23</formula>
    </cfRule>
    <cfRule type="cellIs" dxfId="994" priority="231" operator="equal">
      <formula>$Y$22</formula>
    </cfRule>
    <cfRule type="cellIs" dxfId="993" priority="232" operator="equal">
      <formula>$Y$21</formula>
    </cfRule>
    <cfRule type="cellIs" dxfId="992" priority="233" operator="equal">
      <formula>$Y$20</formula>
    </cfRule>
    <cfRule type="cellIs" dxfId="991" priority="234" operator="equal">
      <formula>$Y$19</formula>
    </cfRule>
    <cfRule type="cellIs" dxfId="990" priority="235" operator="equal">
      <formula>$Y$18</formula>
    </cfRule>
    <cfRule type="cellIs" dxfId="989" priority="236" operator="equal">
      <formula>$Y$17</formula>
    </cfRule>
    <cfRule type="cellIs" dxfId="988" priority="237" operator="equal">
      <formula>$Y$16</formula>
    </cfRule>
    <cfRule type="cellIs" dxfId="987" priority="238" operator="equal">
      <formula>$Y$15</formula>
    </cfRule>
    <cfRule type="cellIs" dxfId="986" priority="239" operator="equal">
      <formula>$Y$14</formula>
    </cfRule>
    <cfRule type="cellIs" dxfId="985" priority="240" operator="equal">
      <formula>$Y$13</formula>
    </cfRule>
    <cfRule type="cellIs" dxfId="984" priority="241" operator="equal">
      <formula>$Y$12</formula>
    </cfRule>
    <cfRule type="cellIs" dxfId="983" priority="242" operator="equal">
      <formula>$Y$11</formula>
    </cfRule>
    <cfRule type="cellIs" dxfId="982" priority="243" operator="equal">
      <formula>$Y$10</formula>
    </cfRule>
    <cfRule type="cellIs" dxfId="981" priority="244" operator="equal">
      <formula>$Y$8</formula>
    </cfRule>
    <cfRule type="cellIs" dxfId="980" priority="245" operator="equal">
      <formula>$Y$7</formula>
    </cfRule>
    <cfRule type="cellIs" dxfId="979" priority="246" operator="equal">
      <formula>$Y$6</formula>
    </cfRule>
    <cfRule type="cellIs" dxfId="978" priority="247" operator="equal">
      <formula>$Y$5</formula>
    </cfRule>
    <cfRule type="cellIs" dxfId="977" priority="248" operator="equal">
      <formula>$Y$4</formula>
    </cfRule>
    <cfRule type="cellIs" dxfId="976" priority="249" operator="equal">
      <formula>$Y$2</formula>
    </cfRule>
    <cfRule type="cellIs" dxfId="975" priority="250" operator="equal">
      <formula>$Y$3</formula>
    </cfRule>
  </conditionalFormatting>
  <conditionalFormatting sqref="F31:F34">
    <cfRule type="cellIs" dxfId="974" priority="876" operator="equal">
      <formula>$Y$27</formula>
    </cfRule>
    <cfRule type="cellIs" dxfId="973" priority="877" operator="equal">
      <formula>$Y$26</formula>
    </cfRule>
    <cfRule type="cellIs" dxfId="972" priority="878" operator="equal">
      <formula>$Y$25</formula>
    </cfRule>
    <cfRule type="cellIs" dxfId="971" priority="879" operator="equal">
      <formula>$Y$24</formula>
    </cfRule>
    <cfRule type="cellIs" dxfId="970" priority="880" operator="equal">
      <formula>$Y$23</formula>
    </cfRule>
    <cfRule type="cellIs" dxfId="969" priority="881" operator="equal">
      <formula>$Y$22</formula>
    </cfRule>
    <cfRule type="cellIs" dxfId="968" priority="882" operator="equal">
      <formula>$Y$21</formula>
    </cfRule>
    <cfRule type="cellIs" dxfId="967" priority="883" operator="equal">
      <formula>$Y$20</formula>
    </cfRule>
    <cfRule type="cellIs" dxfId="966" priority="884" operator="equal">
      <formula>$Y$19</formula>
    </cfRule>
    <cfRule type="cellIs" dxfId="965" priority="885" operator="equal">
      <formula>$Y$18</formula>
    </cfRule>
    <cfRule type="cellIs" dxfId="964" priority="886" operator="equal">
      <formula>$Y$17</formula>
    </cfRule>
    <cfRule type="cellIs" dxfId="963" priority="887" operator="equal">
      <formula>$Y$16</formula>
    </cfRule>
    <cfRule type="cellIs" dxfId="962" priority="888" operator="equal">
      <formula>$Y$15</formula>
    </cfRule>
    <cfRule type="cellIs" dxfId="961" priority="889" operator="equal">
      <formula>$Y$14</formula>
    </cfRule>
    <cfRule type="cellIs" dxfId="960" priority="890" operator="equal">
      <formula>$Y$13</formula>
    </cfRule>
    <cfRule type="cellIs" dxfId="959" priority="891" operator="equal">
      <formula>$Y$12</formula>
    </cfRule>
    <cfRule type="cellIs" dxfId="958" priority="892" operator="equal">
      <formula>$Y$11</formula>
    </cfRule>
    <cfRule type="cellIs" dxfId="957" priority="893" operator="equal">
      <formula>$Y$10</formula>
    </cfRule>
    <cfRule type="cellIs" dxfId="956" priority="894" operator="equal">
      <formula>$Y$8</formula>
    </cfRule>
    <cfRule type="cellIs" dxfId="955" priority="895" operator="equal">
      <formula>$Y$7</formula>
    </cfRule>
    <cfRule type="cellIs" dxfId="954" priority="896" operator="equal">
      <formula>$Y$6</formula>
    </cfRule>
    <cfRule type="cellIs" dxfId="953" priority="897" operator="equal">
      <formula>$Y$5</formula>
    </cfRule>
    <cfRule type="cellIs" dxfId="952" priority="898" operator="equal">
      <formula>$Y$4</formula>
    </cfRule>
    <cfRule type="cellIs" dxfId="951" priority="899" operator="equal">
      <formula>$Y$2</formula>
    </cfRule>
    <cfRule type="cellIs" dxfId="950" priority="900" operator="equal">
      <formula>$Y$3</formula>
    </cfRule>
  </conditionalFormatting>
  <conditionalFormatting sqref="Y2:Y29">
    <cfRule type="cellIs" dxfId="949" priority="1001" operator="equal">
      <formula>$Y$27</formula>
    </cfRule>
    <cfRule type="cellIs" dxfId="948" priority="1002" operator="equal">
      <formula>$Y$26</formula>
    </cfRule>
    <cfRule type="cellIs" dxfId="947" priority="1003" operator="equal">
      <formula>$Y$25</formula>
    </cfRule>
    <cfRule type="cellIs" dxfId="946" priority="1004" operator="equal">
      <formula>$Y$24</formula>
    </cfRule>
    <cfRule type="cellIs" dxfId="945" priority="1005" operator="equal">
      <formula>$Y$23</formula>
    </cfRule>
    <cfRule type="cellIs" dxfId="944" priority="1006" operator="equal">
      <formula>$Y$22</formula>
    </cfRule>
    <cfRule type="cellIs" dxfId="943" priority="1007" operator="equal">
      <formula>$Y$21</formula>
    </cfRule>
    <cfRule type="cellIs" dxfId="942" priority="1008" operator="equal">
      <formula>$Y$20</formula>
    </cfRule>
    <cfRule type="cellIs" dxfId="941" priority="1009" operator="equal">
      <formula>$Y$19</formula>
    </cfRule>
    <cfRule type="cellIs" dxfId="940" priority="1010" operator="equal">
      <formula>$Y$18</formula>
    </cfRule>
    <cfRule type="cellIs" dxfId="939" priority="1011" operator="equal">
      <formula>$Y$17</formula>
    </cfRule>
    <cfRule type="cellIs" dxfId="938" priority="1012" operator="equal">
      <formula>$Y$16</formula>
    </cfRule>
    <cfRule type="cellIs" dxfId="937" priority="1013" operator="equal">
      <formula>$Y$15</formula>
    </cfRule>
    <cfRule type="cellIs" dxfId="936" priority="1014" operator="equal">
      <formula>$Y$14</formula>
    </cfRule>
    <cfRule type="cellIs" dxfId="935" priority="1015" operator="equal">
      <formula>$Y$13</formula>
    </cfRule>
    <cfRule type="cellIs" dxfId="934" priority="1016" operator="equal">
      <formula>$Y$12</formula>
    </cfRule>
    <cfRule type="cellIs" dxfId="933" priority="1017" operator="equal">
      <formula>$Y$11</formula>
    </cfRule>
    <cfRule type="cellIs" dxfId="932" priority="1018" operator="equal">
      <formula>$Y$10</formula>
    </cfRule>
    <cfRule type="cellIs" dxfId="931" priority="1019" operator="equal">
      <formula>$Y$8</formula>
    </cfRule>
    <cfRule type="cellIs" dxfId="930" priority="1020" operator="equal">
      <formula>$Y$7</formula>
    </cfRule>
    <cfRule type="cellIs" dxfId="929" priority="1021" operator="equal">
      <formula>$Y$6</formula>
    </cfRule>
    <cfRule type="cellIs" dxfId="928" priority="1022" operator="equal">
      <formula>$Y$5</formula>
    </cfRule>
    <cfRule type="cellIs" dxfId="927" priority="1023" operator="equal">
      <formula>$Y$4</formula>
    </cfRule>
    <cfRule type="cellIs" dxfId="926" priority="1024" operator="equal">
      <formula>$Y$2</formula>
    </cfRule>
    <cfRule type="cellIs" dxfId="925" priority="1025" operator="equal">
      <formula>$Y$3</formula>
    </cfRule>
  </conditionalFormatting>
  <conditionalFormatting sqref="F24:F27">
    <cfRule type="cellIs" dxfId="924" priority="126" operator="equal">
      <formula>$Y$27</formula>
    </cfRule>
    <cfRule type="cellIs" dxfId="923" priority="127" operator="equal">
      <formula>$Y$26</formula>
    </cfRule>
    <cfRule type="cellIs" dxfId="922" priority="128" operator="equal">
      <formula>$Y$25</formula>
    </cfRule>
    <cfRule type="cellIs" dxfId="921" priority="129" operator="equal">
      <formula>$Y$24</formula>
    </cfRule>
    <cfRule type="cellIs" dxfId="920" priority="130" operator="equal">
      <formula>$Y$23</formula>
    </cfRule>
    <cfRule type="cellIs" dxfId="919" priority="131" operator="equal">
      <formula>$Y$22</formula>
    </cfRule>
    <cfRule type="cellIs" dxfId="918" priority="132" operator="equal">
      <formula>$Y$21</formula>
    </cfRule>
    <cfRule type="cellIs" dxfId="917" priority="133" operator="equal">
      <formula>$Y$20</formula>
    </cfRule>
    <cfRule type="cellIs" dxfId="916" priority="134" operator="equal">
      <formula>$Y$19</formula>
    </cfRule>
    <cfRule type="cellIs" dxfId="915" priority="135" operator="equal">
      <formula>$Y$18</formula>
    </cfRule>
    <cfRule type="cellIs" dxfId="914" priority="136" operator="equal">
      <formula>$Y$17</formula>
    </cfRule>
    <cfRule type="cellIs" dxfId="913" priority="137" operator="equal">
      <formula>$Y$16</formula>
    </cfRule>
    <cfRule type="cellIs" dxfId="912" priority="138" operator="equal">
      <formula>$Y$15</formula>
    </cfRule>
    <cfRule type="cellIs" dxfId="911" priority="139" operator="equal">
      <formula>$Y$14</formula>
    </cfRule>
    <cfRule type="cellIs" dxfId="910" priority="140" operator="equal">
      <formula>$Y$13</formula>
    </cfRule>
    <cfRule type="cellIs" dxfId="909" priority="141" operator="equal">
      <formula>$Y$12</formula>
    </cfRule>
    <cfRule type="cellIs" dxfId="908" priority="142" operator="equal">
      <formula>$Y$11</formula>
    </cfRule>
    <cfRule type="cellIs" dxfId="907" priority="143" operator="equal">
      <formula>$Y$10</formula>
    </cfRule>
    <cfRule type="cellIs" dxfId="906" priority="144" operator="equal">
      <formula>$Y$8</formula>
    </cfRule>
    <cfRule type="cellIs" dxfId="905" priority="145" operator="equal">
      <formula>$Y$7</formula>
    </cfRule>
    <cfRule type="cellIs" dxfId="904" priority="146" operator="equal">
      <formula>$Y$6</formula>
    </cfRule>
    <cfRule type="cellIs" dxfId="903" priority="147" operator="equal">
      <formula>$Y$5</formula>
    </cfRule>
    <cfRule type="cellIs" dxfId="902" priority="148" operator="equal">
      <formula>$Y$4</formula>
    </cfRule>
    <cfRule type="cellIs" dxfId="901" priority="149" operator="equal">
      <formula>$Y$2</formula>
    </cfRule>
    <cfRule type="cellIs" dxfId="900" priority="150" operator="equal">
      <formula>$Y$3</formula>
    </cfRule>
  </conditionalFormatting>
  <conditionalFormatting sqref="I24:I27">
    <cfRule type="cellIs" dxfId="899" priority="101" operator="equal">
      <formula>$Y$27</formula>
    </cfRule>
    <cfRule type="cellIs" dxfId="898" priority="102" operator="equal">
      <formula>$Y$26</formula>
    </cfRule>
    <cfRule type="cellIs" dxfId="897" priority="103" operator="equal">
      <formula>$Y$25</formula>
    </cfRule>
    <cfRule type="cellIs" dxfId="896" priority="104" operator="equal">
      <formula>$Y$24</formula>
    </cfRule>
    <cfRule type="cellIs" dxfId="895" priority="105" operator="equal">
      <formula>$Y$23</formula>
    </cfRule>
    <cfRule type="cellIs" dxfId="894" priority="106" operator="equal">
      <formula>$Y$22</formula>
    </cfRule>
    <cfRule type="cellIs" dxfId="893" priority="107" operator="equal">
      <formula>$Y$21</formula>
    </cfRule>
    <cfRule type="cellIs" dxfId="892" priority="108" operator="equal">
      <formula>$Y$20</formula>
    </cfRule>
    <cfRule type="cellIs" dxfId="891" priority="109" operator="equal">
      <formula>$Y$19</formula>
    </cfRule>
    <cfRule type="cellIs" dxfId="890" priority="110" operator="equal">
      <formula>$Y$18</formula>
    </cfRule>
    <cfRule type="cellIs" dxfId="889" priority="111" operator="equal">
      <formula>$Y$17</formula>
    </cfRule>
    <cfRule type="cellIs" dxfId="888" priority="112" operator="equal">
      <formula>$Y$16</formula>
    </cfRule>
    <cfRule type="cellIs" dxfId="887" priority="113" operator="equal">
      <formula>$Y$15</formula>
    </cfRule>
    <cfRule type="cellIs" dxfId="886" priority="114" operator="equal">
      <formula>$Y$14</formula>
    </cfRule>
    <cfRule type="cellIs" dxfId="885" priority="115" operator="equal">
      <formula>$Y$13</formula>
    </cfRule>
    <cfRule type="cellIs" dxfId="884" priority="116" operator="equal">
      <formula>$Y$12</formula>
    </cfRule>
    <cfRule type="cellIs" dxfId="883" priority="117" operator="equal">
      <formula>$Y$11</formula>
    </cfRule>
    <cfRule type="cellIs" dxfId="882" priority="118" operator="equal">
      <formula>$Y$10</formula>
    </cfRule>
    <cfRule type="cellIs" dxfId="881" priority="119" operator="equal">
      <formula>$Y$8</formula>
    </cfRule>
    <cfRule type="cellIs" dxfId="880" priority="120" operator="equal">
      <formula>$Y$7</formula>
    </cfRule>
    <cfRule type="cellIs" dxfId="879" priority="121" operator="equal">
      <formula>$Y$6</formula>
    </cfRule>
    <cfRule type="cellIs" dxfId="878" priority="122" operator="equal">
      <formula>$Y$5</formula>
    </cfRule>
    <cfRule type="cellIs" dxfId="877" priority="123" operator="equal">
      <formula>$Y$4</formula>
    </cfRule>
    <cfRule type="cellIs" dxfId="876" priority="124" operator="equal">
      <formula>$Y$2</formula>
    </cfRule>
    <cfRule type="cellIs" dxfId="875" priority="125" operator="equal">
      <formula>$Y$3</formula>
    </cfRule>
  </conditionalFormatting>
  <conditionalFormatting sqref="L24:L27">
    <cfRule type="cellIs" dxfId="874" priority="76" operator="equal">
      <formula>$Y$27</formula>
    </cfRule>
    <cfRule type="cellIs" dxfId="873" priority="77" operator="equal">
      <formula>$Y$26</formula>
    </cfRule>
    <cfRule type="cellIs" dxfId="872" priority="78" operator="equal">
      <formula>$Y$25</formula>
    </cfRule>
    <cfRule type="cellIs" dxfId="871" priority="79" operator="equal">
      <formula>$Y$24</formula>
    </cfRule>
    <cfRule type="cellIs" dxfId="870" priority="80" operator="equal">
      <formula>$Y$23</formula>
    </cfRule>
    <cfRule type="cellIs" dxfId="869" priority="81" operator="equal">
      <formula>$Y$22</formula>
    </cfRule>
    <cfRule type="cellIs" dxfId="868" priority="82" operator="equal">
      <formula>$Y$21</formula>
    </cfRule>
    <cfRule type="cellIs" dxfId="867" priority="83" operator="equal">
      <formula>$Y$20</formula>
    </cfRule>
    <cfRule type="cellIs" dxfId="866" priority="84" operator="equal">
      <formula>$Y$19</formula>
    </cfRule>
    <cfRule type="cellIs" dxfId="865" priority="85" operator="equal">
      <formula>$Y$18</formula>
    </cfRule>
    <cfRule type="cellIs" dxfId="864" priority="86" operator="equal">
      <formula>$Y$17</formula>
    </cfRule>
    <cfRule type="cellIs" dxfId="863" priority="87" operator="equal">
      <formula>$Y$16</formula>
    </cfRule>
    <cfRule type="cellIs" dxfId="862" priority="88" operator="equal">
      <formula>$Y$15</formula>
    </cfRule>
    <cfRule type="cellIs" dxfId="861" priority="89" operator="equal">
      <formula>$Y$14</formula>
    </cfRule>
    <cfRule type="cellIs" dxfId="860" priority="90" operator="equal">
      <formula>$Y$13</formula>
    </cfRule>
    <cfRule type="cellIs" dxfId="859" priority="91" operator="equal">
      <formula>$Y$12</formula>
    </cfRule>
    <cfRule type="cellIs" dxfId="858" priority="92" operator="equal">
      <formula>$Y$11</formula>
    </cfRule>
    <cfRule type="cellIs" dxfId="857" priority="93" operator="equal">
      <formula>$Y$10</formula>
    </cfRule>
    <cfRule type="cellIs" dxfId="856" priority="94" operator="equal">
      <formula>$Y$8</formula>
    </cfRule>
    <cfRule type="cellIs" dxfId="855" priority="95" operator="equal">
      <formula>$Y$7</formula>
    </cfRule>
    <cfRule type="cellIs" dxfId="854" priority="96" operator="equal">
      <formula>$Y$6</formula>
    </cfRule>
    <cfRule type="cellIs" dxfId="853" priority="97" operator="equal">
      <formula>$Y$5</formula>
    </cfRule>
    <cfRule type="cellIs" dxfId="852" priority="98" operator="equal">
      <formula>$Y$4</formula>
    </cfRule>
    <cfRule type="cellIs" dxfId="851" priority="99" operator="equal">
      <formula>$Y$2</formula>
    </cfRule>
    <cfRule type="cellIs" dxfId="850" priority="100" operator="equal">
      <formula>$Y$3</formula>
    </cfRule>
  </conditionalFormatting>
  <conditionalFormatting sqref="L31:L34">
    <cfRule type="cellIs" dxfId="849" priority="51" operator="equal">
      <formula>$Y$27</formula>
    </cfRule>
    <cfRule type="cellIs" dxfId="848" priority="52" operator="equal">
      <formula>$Y$26</formula>
    </cfRule>
    <cfRule type="cellIs" dxfId="847" priority="53" operator="equal">
      <formula>$Y$25</formula>
    </cfRule>
    <cfRule type="cellIs" dxfId="846" priority="54" operator="equal">
      <formula>$Y$24</formula>
    </cfRule>
    <cfRule type="cellIs" dxfId="845" priority="55" operator="equal">
      <formula>$Y$23</formula>
    </cfRule>
    <cfRule type="cellIs" dxfId="844" priority="56" operator="equal">
      <formula>$Y$22</formula>
    </cfRule>
    <cfRule type="cellIs" dxfId="843" priority="57" operator="equal">
      <formula>$Y$21</formula>
    </cfRule>
    <cfRule type="cellIs" dxfId="842" priority="58" operator="equal">
      <formula>$Y$20</formula>
    </cfRule>
    <cfRule type="cellIs" dxfId="841" priority="59" operator="equal">
      <formula>$Y$19</formula>
    </cfRule>
    <cfRule type="cellIs" dxfId="840" priority="60" operator="equal">
      <formula>$Y$18</formula>
    </cfRule>
    <cfRule type="cellIs" dxfId="839" priority="61" operator="equal">
      <formula>$Y$17</formula>
    </cfRule>
    <cfRule type="cellIs" dxfId="838" priority="62" operator="equal">
      <formula>$Y$16</formula>
    </cfRule>
    <cfRule type="cellIs" dxfId="837" priority="63" operator="equal">
      <formula>$Y$15</formula>
    </cfRule>
    <cfRule type="cellIs" dxfId="836" priority="64" operator="equal">
      <formula>$Y$14</formula>
    </cfRule>
    <cfRule type="cellIs" dxfId="835" priority="65" operator="equal">
      <formula>$Y$13</formula>
    </cfRule>
    <cfRule type="cellIs" dxfId="834" priority="66" operator="equal">
      <formula>$Y$12</formula>
    </cfRule>
    <cfRule type="cellIs" dxfId="833" priority="67" operator="equal">
      <formula>$Y$11</formula>
    </cfRule>
    <cfRule type="cellIs" dxfId="832" priority="68" operator="equal">
      <formula>$Y$10</formula>
    </cfRule>
    <cfRule type="cellIs" dxfId="831" priority="69" operator="equal">
      <formula>$Y$8</formula>
    </cfRule>
    <cfRule type="cellIs" dxfId="830" priority="70" operator="equal">
      <formula>$Y$7</formula>
    </cfRule>
    <cfRule type="cellIs" dxfId="829" priority="71" operator="equal">
      <formula>$Y$6</formula>
    </cfRule>
    <cfRule type="cellIs" dxfId="828" priority="72" operator="equal">
      <formula>$Y$5</formula>
    </cfRule>
    <cfRule type="cellIs" dxfId="827" priority="73" operator="equal">
      <formula>$Y$4</formula>
    </cfRule>
    <cfRule type="cellIs" dxfId="826" priority="74" operator="equal">
      <formula>$Y$2</formula>
    </cfRule>
    <cfRule type="cellIs" dxfId="825" priority="75" operator="equal">
      <formula>$Y$3</formula>
    </cfRule>
  </conditionalFormatting>
  <conditionalFormatting sqref="O10:O13">
    <cfRule type="cellIs" dxfId="824" priority="26" operator="equal">
      <formula>$Y$27</formula>
    </cfRule>
    <cfRule type="cellIs" dxfId="823" priority="27" operator="equal">
      <formula>$Y$26</formula>
    </cfRule>
    <cfRule type="cellIs" dxfId="822" priority="28" operator="equal">
      <formula>$Y$25</formula>
    </cfRule>
    <cfRule type="cellIs" dxfId="821" priority="29" operator="equal">
      <formula>$Y$24</formula>
    </cfRule>
    <cfRule type="cellIs" dxfId="820" priority="30" operator="equal">
      <formula>$Y$23</formula>
    </cfRule>
    <cfRule type="cellIs" dxfId="819" priority="31" operator="equal">
      <formula>$Y$22</formula>
    </cfRule>
    <cfRule type="cellIs" dxfId="818" priority="32" operator="equal">
      <formula>$Y$21</formula>
    </cfRule>
    <cfRule type="cellIs" dxfId="817" priority="33" operator="equal">
      <formula>$Y$20</formula>
    </cfRule>
    <cfRule type="cellIs" dxfId="816" priority="34" operator="equal">
      <formula>$Y$19</formula>
    </cfRule>
    <cfRule type="cellIs" dxfId="815" priority="35" operator="equal">
      <formula>$Y$18</formula>
    </cfRule>
    <cfRule type="cellIs" dxfId="814" priority="36" operator="equal">
      <formula>$Y$17</formula>
    </cfRule>
    <cfRule type="cellIs" dxfId="813" priority="37" operator="equal">
      <formula>$Y$16</formula>
    </cfRule>
    <cfRule type="cellIs" dxfId="812" priority="38" operator="equal">
      <formula>$Y$15</formula>
    </cfRule>
    <cfRule type="cellIs" dxfId="811" priority="39" operator="equal">
      <formula>$Y$14</formula>
    </cfRule>
    <cfRule type="cellIs" dxfId="810" priority="40" operator="equal">
      <formula>$Y$13</formula>
    </cfRule>
    <cfRule type="cellIs" dxfId="809" priority="41" operator="equal">
      <formula>$Y$12</formula>
    </cfRule>
    <cfRule type="cellIs" dxfId="808" priority="42" operator="equal">
      <formula>$Y$11</formula>
    </cfRule>
    <cfRule type="cellIs" dxfId="807" priority="43" operator="equal">
      <formula>$Y$10</formula>
    </cfRule>
    <cfRule type="cellIs" dxfId="806" priority="44" operator="equal">
      <formula>$Y$8</formula>
    </cfRule>
    <cfRule type="cellIs" dxfId="805" priority="45" operator="equal">
      <formula>$Y$7</formula>
    </cfRule>
    <cfRule type="cellIs" dxfId="804" priority="46" operator="equal">
      <formula>$Y$6</formula>
    </cfRule>
    <cfRule type="cellIs" dxfId="803" priority="47" operator="equal">
      <formula>$Y$5</formula>
    </cfRule>
    <cfRule type="cellIs" dxfId="802" priority="48" operator="equal">
      <formula>$Y$4</formula>
    </cfRule>
    <cfRule type="cellIs" dxfId="801" priority="49" operator="equal">
      <formula>$Y$2</formula>
    </cfRule>
    <cfRule type="cellIs" dxfId="800" priority="50" operator="equal">
      <formula>$Y$3</formula>
    </cfRule>
  </conditionalFormatting>
  <conditionalFormatting sqref="O24:O27">
    <cfRule type="cellIs" dxfId="799" priority="1" operator="equal">
      <formula>$Y$27</formula>
    </cfRule>
    <cfRule type="cellIs" dxfId="798" priority="2" operator="equal">
      <formula>$Y$26</formula>
    </cfRule>
    <cfRule type="cellIs" dxfId="797" priority="3" operator="equal">
      <formula>$Y$25</formula>
    </cfRule>
    <cfRule type="cellIs" dxfId="796" priority="4" operator="equal">
      <formula>$Y$24</formula>
    </cfRule>
    <cfRule type="cellIs" dxfId="795" priority="5" operator="equal">
      <formula>$Y$23</formula>
    </cfRule>
    <cfRule type="cellIs" dxfId="794" priority="6" operator="equal">
      <formula>$Y$22</formula>
    </cfRule>
    <cfRule type="cellIs" dxfId="793" priority="7" operator="equal">
      <formula>$Y$21</formula>
    </cfRule>
    <cfRule type="cellIs" dxfId="792" priority="8" operator="equal">
      <formula>$Y$20</formula>
    </cfRule>
    <cfRule type="cellIs" dxfId="791" priority="9" operator="equal">
      <formula>$Y$19</formula>
    </cfRule>
    <cfRule type="cellIs" dxfId="790" priority="10" operator="equal">
      <formula>$Y$18</formula>
    </cfRule>
    <cfRule type="cellIs" dxfId="789" priority="11" operator="equal">
      <formula>$Y$17</formula>
    </cfRule>
    <cfRule type="cellIs" dxfId="788" priority="12" operator="equal">
      <formula>$Y$16</formula>
    </cfRule>
    <cfRule type="cellIs" dxfId="787" priority="13" operator="equal">
      <formula>$Y$15</formula>
    </cfRule>
    <cfRule type="cellIs" dxfId="786" priority="14" operator="equal">
      <formula>$Y$14</formula>
    </cfRule>
    <cfRule type="cellIs" dxfId="785" priority="15" operator="equal">
      <formula>$Y$13</formula>
    </cfRule>
    <cfRule type="cellIs" dxfId="784" priority="16" operator="equal">
      <formula>$Y$12</formula>
    </cfRule>
    <cfRule type="cellIs" dxfId="783" priority="17" operator="equal">
      <formula>$Y$11</formula>
    </cfRule>
    <cfRule type="cellIs" dxfId="782" priority="18" operator="equal">
      <formula>$Y$10</formula>
    </cfRule>
    <cfRule type="cellIs" dxfId="781" priority="19" operator="equal">
      <formula>$Y$8</formula>
    </cfRule>
    <cfRule type="cellIs" dxfId="780" priority="20" operator="equal">
      <formula>$Y$7</formula>
    </cfRule>
    <cfRule type="cellIs" dxfId="779" priority="21" operator="equal">
      <formula>$Y$6</formula>
    </cfRule>
    <cfRule type="cellIs" dxfId="778" priority="22" operator="equal">
      <formula>$Y$5</formula>
    </cfRule>
    <cfRule type="cellIs" dxfId="777" priority="23" operator="equal">
      <formula>$Y$4</formula>
    </cfRule>
    <cfRule type="cellIs" dxfId="776" priority="24" operator="equal">
      <formula>$Y$2</formula>
    </cfRule>
    <cfRule type="cellIs" dxfId="775" priority="25" operator="equal">
      <formula>$Y$3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112B-DDF2-44B1-9A3F-16EB0FF5A840}">
  <dimension ref="A1:T58"/>
  <sheetViews>
    <sheetView showGridLines="0" topLeftCell="D1" zoomScale="70" zoomScaleNormal="70" workbookViewId="0">
      <selection activeCell="D2" sqref="D2"/>
    </sheetView>
  </sheetViews>
  <sheetFormatPr defaultRowHeight="15" x14ac:dyDescent="0.25"/>
  <cols>
    <col min="3" max="5" width="25.42578125" bestFit="1" customWidth="1"/>
    <col min="6" max="6" width="24.5703125" bestFit="1" customWidth="1"/>
    <col min="7" max="7" width="27.85546875" bestFit="1" customWidth="1"/>
    <col min="9" max="9" width="21.42578125" bestFit="1" customWidth="1"/>
    <col min="10" max="10" width="23.5703125" bestFit="1" customWidth="1"/>
    <col min="11" max="11" width="20.42578125" bestFit="1" customWidth="1"/>
    <col min="12" max="13" width="30.42578125" bestFit="1" customWidth="1"/>
    <col min="19" max="19" width="25.42578125" bestFit="1" customWidth="1"/>
  </cols>
  <sheetData>
    <row r="1" spans="1:20" ht="14.85" customHeight="1" x14ac:dyDescent="0.25">
      <c r="C1" s="176" t="s">
        <v>227</v>
      </c>
      <c r="D1" s="176"/>
      <c r="E1" s="176"/>
      <c r="F1" s="176"/>
      <c r="G1" s="176"/>
      <c r="I1" s="174" t="s">
        <v>228</v>
      </c>
      <c r="J1" s="175"/>
      <c r="K1" s="175"/>
      <c r="L1" s="175"/>
      <c r="M1" s="175"/>
      <c r="S1" s="76" t="s">
        <v>144</v>
      </c>
      <c r="T1" t="s">
        <v>229</v>
      </c>
    </row>
    <row r="2" spans="1:20" x14ac:dyDescent="0.25">
      <c r="A2" s="79" t="s">
        <v>145</v>
      </c>
      <c r="B2" s="78"/>
      <c r="C2" s="77" t="s">
        <v>230</v>
      </c>
      <c r="D2" s="77" t="s">
        <v>231</v>
      </c>
      <c r="E2" s="77" t="s">
        <v>232</v>
      </c>
      <c r="F2" s="77" t="s">
        <v>233</v>
      </c>
      <c r="G2" s="77" t="s">
        <v>234</v>
      </c>
      <c r="I2" s="77" t="s">
        <v>230</v>
      </c>
      <c r="J2" s="77" t="s">
        <v>231</v>
      </c>
      <c r="K2" s="77" t="s">
        <v>232</v>
      </c>
      <c r="L2" s="77" t="s">
        <v>233</v>
      </c>
      <c r="M2" s="77" t="s">
        <v>234</v>
      </c>
      <c r="S2" s="77" t="s">
        <v>152</v>
      </c>
      <c r="T2">
        <f>COUNTIF($C$3:$M$20,S2)</f>
        <v>32</v>
      </c>
    </row>
    <row r="3" spans="1:20" x14ac:dyDescent="0.25">
      <c r="A3" s="77">
        <v>101</v>
      </c>
      <c r="C3" s="79" t="s">
        <v>65</v>
      </c>
      <c r="D3" s="79" t="s">
        <v>65</v>
      </c>
      <c r="E3" s="79" t="s">
        <v>65</v>
      </c>
      <c r="F3" s="79" t="s">
        <v>65</v>
      </c>
      <c r="G3" s="79" t="s">
        <v>65</v>
      </c>
      <c r="I3" s="76" t="s">
        <v>185</v>
      </c>
      <c r="J3" s="76" t="s">
        <v>185</v>
      </c>
      <c r="K3" s="76" t="s">
        <v>185</v>
      </c>
      <c r="L3" s="76" t="s">
        <v>185</v>
      </c>
      <c r="M3" s="76" t="s">
        <v>235</v>
      </c>
      <c r="S3" s="77" t="s">
        <v>156</v>
      </c>
      <c r="T3">
        <f>COUNTIF($C$3:$M$20,S3)</f>
        <v>0</v>
      </c>
    </row>
    <row r="4" spans="1:20" x14ac:dyDescent="0.25">
      <c r="A4" s="77">
        <v>201</v>
      </c>
      <c r="C4" s="79" t="s">
        <v>65</v>
      </c>
      <c r="D4" s="79" t="s">
        <v>65</v>
      </c>
      <c r="E4" s="79" t="s">
        <v>65</v>
      </c>
      <c r="F4" s="79" t="s">
        <v>65</v>
      </c>
      <c r="G4" s="79" t="s">
        <v>65</v>
      </c>
      <c r="I4" s="76" t="s">
        <v>185</v>
      </c>
      <c r="J4" s="76" t="s">
        <v>185</v>
      </c>
      <c r="K4" s="76" t="s">
        <v>185</v>
      </c>
      <c r="L4" s="76" t="s">
        <v>185</v>
      </c>
      <c r="M4" s="76" t="s">
        <v>235</v>
      </c>
      <c r="S4" s="77" t="s">
        <v>158</v>
      </c>
      <c r="T4">
        <f t="shared" ref="T4:T28" si="0">COUNTIF($C$3:$M$20,S4)</f>
        <v>0</v>
      </c>
    </row>
    <row r="5" spans="1:20" x14ac:dyDescent="0.25">
      <c r="A5" s="77">
        <v>301</v>
      </c>
      <c r="C5" s="79" t="s">
        <v>65</v>
      </c>
      <c r="D5" s="79" t="s">
        <v>65</v>
      </c>
      <c r="E5" s="79" t="s">
        <v>65</v>
      </c>
      <c r="F5" s="79" t="s">
        <v>65</v>
      </c>
      <c r="G5" s="79" t="s">
        <v>65</v>
      </c>
      <c r="I5" s="76" t="s">
        <v>185</v>
      </c>
      <c r="J5" s="76" t="s">
        <v>185</v>
      </c>
      <c r="K5" s="76" t="s">
        <v>185</v>
      </c>
      <c r="L5" s="76" t="s">
        <v>185</v>
      </c>
      <c r="M5" s="76" t="s">
        <v>235</v>
      </c>
      <c r="S5" s="77" t="s">
        <v>154</v>
      </c>
      <c r="T5">
        <f t="shared" si="0"/>
        <v>0</v>
      </c>
    </row>
    <row r="6" spans="1:20" x14ac:dyDescent="0.25">
      <c r="A6" s="77">
        <v>401</v>
      </c>
      <c r="C6" s="79" t="s">
        <v>65</v>
      </c>
      <c r="D6" s="79" t="s">
        <v>65</v>
      </c>
      <c r="E6" s="79" t="s">
        <v>65</v>
      </c>
      <c r="F6" s="79" t="s">
        <v>65</v>
      </c>
      <c r="G6" s="79" t="s">
        <v>65</v>
      </c>
      <c r="I6" s="76" t="s">
        <v>185</v>
      </c>
      <c r="J6" s="76" t="s">
        <v>185</v>
      </c>
      <c r="K6" s="76" t="s">
        <v>185</v>
      </c>
      <c r="L6" s="76" t="s">
        <v>185</v>
      </c>
      <c r="M6" s="76" t="s">
        <v>235</v>
      </c>
      <c r="S6" s="77" t="s">
        <v>161</v>
      </c>
      <c r="T6">
        <f t="shared" si="0"/>
        <v>0</v>
      </c>
    </row>
    <row r="7" spans="1:20" x14ac:dyDescent="0.25">
      <c r="M7" s="77"/>
      <c r="S7" s="77" t="s">
        <v>155</v>
      </c>
      <c r="T7">
        <f t="shared" si="0"/>
        <v>0</v>
      </c>
    </row>
    <row r="8" spans="1:20" ht="14.85" customHeight="1" x14ac:dyDescent="0.25">
      <c r="C8" s="174" t="s">
        <v>236</v>
      </c>
      <c r="D8" s="175"/>
      <c r="E8" s="175"/>
      <c r="F8" s="175"/>
      <c r="G8" s="175"/>
      <c r="I8" s="177" t="s">
        <v>237</v>
      </c>
      <c r="J8" s="178"/>
      <c r="K8" s="178"/>
      <c r="L8" s="178"/>
      <c r="M8" s="178"/>
      <c r="S8" s="77" t="s">
        <v>151</v>
      </c>
      <c r="T8">
        <f t="shared" si="0"/>
        <v>0</v>
      </c>
    </row>
    <row r="9" spans="1:20" x14ac:dyDescent="0.25">
      <c r="A9" s="79" t="s">
        <v>145</v>
      </c>
      <c r="B9" s="78"/>
      <c r="C9" s="77" t="s">
        <v>230</v>
      </c>
      <c r="D9" s="77" t="s">
        <v>231</v>
      </c>
      <c r="E9" s="77" t="s">
        <v>232</v>
      </c>
      <c r="F9" s="77" t="s">
        <v>233</v>
      </c>
      <c r="G9" s="77" t="s">
        <v>234</v>
      </c>
      <c r="I9" s="77" t="s">
        <v>230</v>
      </c>
      <c r="J9" s="77" t="s">
        <v>231</v>
      </c>
      <c r="K9" s="77" t="s">
        <v>232</v>
      </c>
      <c r="L9" s="77" t="s">
        <v>233</v>
      </c>
      <c r="M9" s="77" t="s">
        <v>234</v>
      </c>
      <c r="S9" s="75" t="s">
        <v>148</v>
      </c>
      <c r="T9">
        <f t="shared" si="0"/>
        <v>0</v>
      </c>
    </row>
    <row r="10" spans="1:20" x14ac:dyDescent="0.25">
      <c r="A10" s="77">
        <v>101</v>
      </c>
      <c r="C10" s="79" t="s">
        <v>152</v>
      </c>
      <c r="D10" s="79" t="s">
        <v>152</v>
      </c>
      <c r="E10" s="79" t="s">
        <v>152</v>
      </c>
      <c r="F10" s="79" t="s">
        <v>187</v>
      </c>
      <c r="G10" s="79" t="s">
        <v>187</v>
      </c>
      <c r="I10" s="76" t="s">
        <v>190</v>
      </c>
      <c r="J10" s="76" t="s">
        <v>238</v>
      </c>
      <c r="K10" s="76" t="s">
        <v>239</v>
      </c>
      <c r="L10" s="79" t="s">
        <v>240</v>
      </c>
      <c r="M10" s="79" t="s">
        <v>241</v>
      </c>
      <c r="S10" s="75" t="s">
        <v>171</v>
      </c>
      <c r="T10">
        <f t="shared" si="0"/>
        <v>0</v>
      </c>
    </row>
    <row r="11" spans="1:20" x14ac:dyDescent="0.25">
      <c r="A11" s="77">
        <v>201</v>
      </c>
      <c r="C11" s="79" t="s">
        <v>152</v>
      </c>
      <c r="D11" s="79" t="s">
        <v>152</v>
      </c>
      <c r="E11" s="79" t="s">
        <v>152</v>
      </c>
      <c r="F11" s="79" t="s">
        <v>187</v>
      </c>
      <c r="G11" s="79" t="s">
        <v>187</v>
      </c>
      <c r="I11" s="76" t="s">
        <v>190</v>
      </c>
      <c r="J11" s="76" t="s">
        <v>238</v>
      </c>
      <c r="K11" s="76" t="s">
        <v>239</v>
      </c>
      <c r="L11" s="79" t="s">
        <v>240</v>
      </c>
      <c r="M11" s="79" t="s">
        <v>241</v>
      </c>
      <c r="S11" s="75" t="s">
        <v>149</v>
      </c>
      <c r="T11">
        <f t="shared" si="0"/>
        <v>0</v>
      </c>
    </row>
    <row r="12" spans="1:20" x14ac:dyDescent="0.25">
      <c r="A12" s="77">
        <v>301</v>
      </c>
      <c r="C12" s="79" t="s">
        <v>152</v>
      </c>
      <c r="D12" s="79" t="s">
        <v>152</v>
      </c>
      <c r="E12" s="79" t="s">
        <v>152</v>
      </c>
      <c r="F12" s="79" t="s">
        <v>187</v>
      </c>
      <c r="G12" s="79" t="s">
        <v>187</v>
      </c>
      <c r="I12" s="76" t="s">
        <v>242</v>
      </c>
      <c r="J12" s="76" t="s">
        <v>243</v>
      </c>
      <c r="K12" s="76" t="s">
        <v>244</v>
      </c>
      <c r="L12" s="79" t="s">
        <v>245</v>
      </c>
      <c r="M12" s="79" t="s">
        <v>246</v>
      </c>
      <c r="S12" s="75" t="s">
        <v>172</v>
      </c>
      <c r="T12">
        <f t="shared" si="0"/>
        <v>0</v>
      </c>
    </row>
    <row r="13" spans="1:20" x14ac:dyDescent="0.25">
      <c r="A13" s="77">
        <v>401</v>
      </c>
      <c r="C13" s="79" t="s">
        <v>152</v>
      </c>
      <c r="D13" s="79" t="s">
        <v>152</v>
      </c>
      <c r="E13" s="79" t="s">
        <v>152</v>
      </c>
      <c r="F13" s="79" t="s">
        <v>187</v>
      </c>
      <c r="G13" s="79" t="s">
        <v>187</v>
      </c>
      <c r="I13" s="76" t="s">
        <v>242</v>
      </c>
      <c r="J13" s="76" t="s">
        <v>243</v>
      </c>
      <c r="K13" s="76" t="s">
        <v>244</v>
      </c>
      <c r="L13" s="79" t="s">
        <v>245</v>
      </c>
      <c r="M13" s="79" t="s">
        <v>246</v>
      </c>
      <c r="S13" s="75" t="s">
        <v>173</v>
      </c>
      <c r="T13">
        <f t="shared" si="0"/>
        <v>0</v>
      </c>
    </row>
    <row r="14" spans="1:20" x14ac:dyDescent="0.25">
      <c r="S14" s="75" t="s">
        <v>147</v>
      </c>
      <c r="T14">
        <f t="shared" si="0"/>
        <v>0</v>
      </c>
    </row>
    <row r="15" spans="1:20" ht="14.85" customHeight="1" x14ac:dyDescent="0.25">
      <c r="C15" s="174" t="s">
        <v>247</v>
      </c>
      <c r="D15" s="175"/>
      <c r="E15" s="175"/>
      <c r="F15" s="175"/>
      <c r="G15" s="175"/>
      <c r="I15" s="174" t="s">
        <v>248</v>
      </c>
      <c r="J15" s="175"/>
      <c r="K15" s="175"/>
      <c r="L15" s="175"/>
      <c r="M15" s="175"/>
      <c r="S15" s="75" t="s">
        <v>174</v>
      </c>
      <c r="T15">
        <f t="shared" si="0"/>
        <v>0</v>
      </c>
    </row>
    <row r="16" spans="1:20" x14ac:dyDescent="0.25">
      <c r="A16" s="79" t="s">
        <v>145</v>
      </c>
      <c r="B16" s="78"/>
      <c r="C16" s="77" t="s">
        <v>230</v>
      </c>
      <c r="D16" s="77" t="s">
        <v>231</v>
      </c>
      <c r="E16" s="77" t="s">
        <v>232</v>
      </c>
      <c r="F16" s="77" t="s">
        <v>233</v>
      </c>
      <c r="G16" s="77" t="s">
        <v>234</v>
      </c>
      <c r="I16" s="77" t="s">
        <v>230</v>
      </c>
      <c r="J16" s="77" t="s">
        <v>231</v>
      </c>
      <c r="K16" s="77" t="s">
        <v>232</v>
      </c>
      <c r="L16" s="77" t="s">
        <v>233</v>
      </c>
      <c r="M16" s="77" t="s">
        <v>234</v>
      </c>
      <c r="S16" s="75" t="s">
        <v>181</v>
      </c>
      <c r="T16">
        <f t="shared" si="0"/>
        <v>0</v>
      </c>
    </row>
    <row r="17" spans="1:20" x14ac:dyDescent="0.25">
      <c r="A17" s="77">
        <v>101</v>
      </c>
      <c r="C17" s="79" t="s">
        <v>65</v>
      </c>
      <c r="D17" s="79" t="s">
        <v>65</v>
      </c>
      <c r="E17" s="79" t="s">
        <v>65</v>
      </c>
      <c r="F17" s="79" t="s">
        <v>65</v>
      </c>
      <c r="G17" s="79" t="s">
        <v>65</v>
      </c>
      <c r="I17" s="79" t="s">
        <v>152</v>
      </c>
      <c r="J17" s="79" t="s">
        <v>152</v>
      </c>
      <c r="K17" s="79" t="s">
        <v>152</v>
      </c>
      <c r="L17" s="79" t="s">
        <v>152</v>
      </c>
      <c r="M17" s="79" t="s">
        <v>152</v>
      </c>
      <c r="S17" s="75" t="s">
        <v>182</v>
      </c>
      <c r="T17">
        <f t="shared" si="0"/>
        <v>0</v>
      </c>
    </row>
    <row r="18" spans="1:20" x14ac:dyDescent="0.25">
      <c r="A18" s="77">
        <v>201</v>
      </c>
      <c r="C18" s="79" t="s">
        <v>65</v>
      </c>
      <c r="D18" s="79" t="s">
        <v>65</v>
      </c>
      <c r="E18" s="79" t="s">
        <v>65</v>
      </c>
      <c r="F18" s="79" t="s">
        <v>65</v>
      </c>
      <c r="G18" s="79" t="s">
        <v>65</v>
      </c>
      <c r="I18" s="79" t="s">
        <v>152</v>
      </c>
      <c r="J18" s="79" t="s">
        <v>152</v>
      </c>
      <c r="K18" s="79" t="s">
        <v>152</v>
      </c>
      <c r="L18" s="79" t="s">
        <v>152</v>
      </c>
      <c r="M18" s="79" t="s">
        <v>152</v>
      </c>
      <c r="S18" s="75" t="s">
        <v>183</v>
      </c>
      <c r="T18">
        <f t="shared" si="0"/>
        <v>0</v>
      </c>
    </row>
    <row r="19" spans="1:20" x14ac:dyDescent="0.25">
      <c r="A19" s="77">
        <v>301</v>
      </c>
      <c r="C19" s="79" t="s">
        <v>65</v>
      </c>
      <c r="D19" s="79" t="s">
        <v>65</v>
      </c>
      <c r="E19" s="79" t="s">
        <v>65</v>
      </c>
      <c r="F19" s="79" t="s">
        <v>65</v>
      </c>
      <c r="G19" s="79" t="s">
        <v>65</v>
      </c>
      <c r="I19" s="79" t="s">
        <v>152</v>
      </c>
      <c r="J19" s="79" t="s">
        <v>152</v>
      </c>
      <c r="K19" s="79" t="s">
        <v>152</v>
      </c>
      <c r="L19" s="79" t="s">
        <v>152</v>
      </c>
      <c r="M19" s="79" t="s">
        <v>152</v>
      </c>
      <c r="S19" s="75" t="s">
        <v>184</v>
      </c>
      <c r="T19">
        <f t="shared" si="0"/>
        <v>0</v>
      </c>
    </row>
    <row r="20" spans="1:20" x14ac:dyDescent="0.25">
      <c r="A20" s="77">
        <v>401</v>
      </c>
      <c r="C20" s="79" t="s">
        <v>65</v>
      </c>
      <c r="D20" s="79" t="s">
        <v>65</v>
      </c>
      <c r="E20" s="79" t="s">
        <v>65</v>
      </c>
      <c r="F20" s="79" t="s">
        <v>65</v>
      </c>
      <c r="G20" s="79" t="s">
        <v>65</v>
      </c>
      <c r="I20" s="79" t="s">
        <v>152</v>
      </c>
      <c r="J20" s="79" t="s">
        <v>152</v>
      </c>
      <c r="K20" s="79" t="s">
        <v>152</v>
      </c>
      <c r="L20" s="79" t="s">
        <v>152</v>
      </c>
      <c r="M20" s="79" t="s">
        <v>152</v>
      </c>
      <c r="S20" s="75" t="s">
        <v>185</v>
      </c>
      <c r="T20">
        <f t="shared" si="0"/>
        <v>16</v>
      </c>
    </row>
    <row r="21" spans="1:20" x14ac:dyDescent="0.25">
      <c r="S21" s="75" t="s">
        <v>186</v>
      </c>
      <c r="T21">
        <f t="shared" si="0"/>
        <v>0</v>
      </c>
    </row>
    <row r="22" spans="1:20" x14ac:dyDescent="0.25">
      <c r="S22" s="75" t="s">
        <v>150</v>
      </c>
      <c r="T22">
        <f t="shared" si="0"/>
        <v>0</v>
      </c>
    </row>
    <row r="23" spans="1:20" x14ac:dyDescent="0.25">
      <c r="S23" s="75" t="s">
        <v>187</v>
      </c>
      <c r="T23">
        <f t="shared" si="0"/>
        <v>8</v>
      </c>
    </row>
    <row r="24" spans="1:20" x14ac:dyDescent="0.25">
      <c r="S24" s="75" t="s">
        <v>190</v>
      </c>
      <c r="T24">
        <f t="shared" si="0"/>
        <v>2</v>
      </c>
    </row>
    <row r="25" spans="1:20" x14ac:dyDescent="0.25">
      <c r="S25" s="75" t="s">
        <v>191</v>
      </c>
      <c r="T25">
        <f t="shared" si="0"/>
        <v>0</v>
      </c>
    </row>
    <row r="26" spans="1:20" x14ac:dyDescent="0.25">
      <c r="S26" s="75" t="s">
        <v>192</v>
      </c>
      <c r="T26">
        <f t="shared" si="0"/>
        <v>0</v>
      </c>
    </row>
    <row r="27" spans="1:20" x14ac:dyDescent="0.25">
      <c r="S27" s="75" t="s">
        <v>193</v>
      </c>
      <c r="T27">
        <f t="shared" si="0"/>
        <v>0</v>
      </c>
    </row>
    <row r="28" spans="1:20" x14ac:dyDescent="0.25">
      <c r="S28" s="75" t="s">
        <v>65</v>
      </c>
      <c r="T28">
        <f t="shared" si="0"/>
        <v>40</v>
      </c>
    </row>
    <row r="30" spans="1:20" ht="26.25" x14ac:dyDescent="0.4">
      <c r="A30" s="115" t="s">
        <v>249</v>
      </c>
    </row>
    <row r="31" spans="1:20" x14ac:dyDescent="0.25">
      <c r="C31" s="169" t="s">
        <v>227</v>
      </c>
      <c r="D31" s="169"/>
      <c r="E31" s="169"/>
      <c r="F31" s="169"/>
      <c r="G31" s="169"/>
      <c r="I31" s="170" t="s">
        <v>228</v>
      </c>
      <c r="J31" s="171"/>
      <c r="K31" s="171"/>
      <c r="L31" s="171"/>
      <c r="M31" s="171"/>
      <c r="S31" s="76" t="s">
        <v>144</v>
      </c>
      <c r="T31" t="s">
        <v>229</v>
      </c>
    </row>
    <row r="32" spans="1:20" x14ac:dyDescent="0.25">
      <c r="A32" s="79" t="s">
        <v>145</v>
      </c>
      <c r="B32" s="78"/>
      <c r="C32" s="77" t="s">
        <v>230</v>
      </c>
      <c r="D32" s="77" t="s">
        <v>231</v>
      </c>
      <c r="E32" s="77" t="s">
        <v>232</v>
      </c>
      <c r="F32" s="77" t="s">
        <v>233</v>
      </c>
      <c r="G32" s="77" t="s">
        <v>234</v>
      </c>
      <c r="I32" s="77" t="s">
        <v>230</v>
      </c>
      <c r="J32" s="77" t="s">
        <v>231</v>
      </c>
      <c r="K32" s="77" t="s">
        <v>232</v>
      </c>
      <c r="L32" s="77" t="s">
        <v>233</v>
      </c>
      <c r="M32" s="77" t="s">
        <v>234</v>
      </c>
      <c r="S32" s="77" t="s">
        <v>152</v>
      </c>
      <c r="T32">
        <f>COUNTIF($C$31:$M$58,S32)</f>
        <v>36</v>
      </c>
    </row>
    <row r="33" spans="1:20" x14ac:dyDescent="0.25">
      <c r="A33" s="77">
        <v>101</v>
      </c>
      <c r="C33" s="77" t="s">
        <v>65</v>
      </c>
      <c r="D33" s="77" t="s">
        <v>65</v>
      </c>
      <c r="E33" s="77" t="s">
        <v>65</v>
      </c>
      <c r="F33" s="77" t="s">
        <v>65</v>
      </c>
      <c r="G33" s="77" t="s">
        <v>65</v>
      </c>
      <c r="I33" s="76" t="s">
        <v>174</v>
      </c>
      <c r="J33" s="76" t="s">
        <v>174</v>
      </c>
      <c r="K33" s="76" t="s">
        <v>174</v>
      </c>
      <c r="L33" s="76" t="s">
        <v>174</v>
      </c>
      <c r="M33" s="76" t="s">
        <v>174</v>
      </c>
      <c r="S33" s="77" t="s">
        <v>156</v>
      </c>
      <c r="T33">
        <f t="shared" ref="T33:T58" si="1">COUNTIF($C$31:$M$58,S33)</f>
        <v>0</v>
      </c>
    </row>
    <row r="34" spans="1:20" x14ac:dyDescent="0.25">
      <c r="A34" s="77">
        <v>201</v>
      </c>
      <c r="C34" s="77" t="s">
        <v>65</v>
      </c>
      <c r="D34" s="77" t="s">
        <v>65</v>
      </c>
      <c r="E34" s="77" t="s">
        <v>65</v>
      </c>
      <c r="F34" s="77" t="s">
        <v>65</v>
      </c>
      <c r="G34" s="77" t="s">
        <v>65</v>
      </c>
      <c r="I34" s="76" t="s">
        <v>174</v>
      </c>
      <c r="J34" s="76" t="s">
        <v>174</v>
      </c>
      <c r="K34" s="76" t="s">
        <v>174</v>
      </c>
      <c r="L34" s="76" t="s">
        <v>174</v>
      </c>
      <c r="M34" s="76" t="s">
        <v>174</v>
      </c>
      <c r="S34" s="77" t="s">
        <v>158</v>
      </c>
      <c r="T34">
        <f t="shared" si="1"/>
        <v>0</v>
      </c>
    </row>
    <row r="35" spans="1:20" x14ac:dyDescent="0.25">
      <c r="A35" s="77">
        <v>301</v>
      </c>
      <c r="C35" s="77" t="s">
        <v>65</v>
      </c>
      <c r="D35" s="77" t="s">
        <v>65</v>
      </c>
      <c r="E35" s="77" t="s">
        <v>65</v>
      </c>
      <c r="F35" s="77" t="s">
        <v>65</v>
      </c>
      <c r="G35" s="77" t="s">
        <v>65</v>
      </c>
      <c r="I35" s="76" t="s">
        <v>174</v>
      </c>
      <c r="J35" s="76" t="s">
        <v>174</v>
      </c>
      <c r="K35" s="76" t="s">
        <v>174</v>
      </c>
      <c r="L35" s="76" t="s">
        <v>174</v>
      </c>
      <c r="M35" s="76" t="s">
        <v>174</v>
      </c>
      <c r="S35" s="77" t="s">
        <v>154</v>
      </c>
      <c r="T35">
        <f t="shared" si="1"/>
        <v>0</v>
      </c>
    </row>
    <row r="36" spans="1:20" x14ac:dyDescent="0.25">
      <c r="A36" s="77">
        <v>401</v>
      </c>
      <c r="C36" s="77" t="s">
        <v>65</v>
      </c>
      <c r="D36" s="77" t="s">
        <v>65</v>
      </c>
      <c r="E36" s="77" t="s">
        <v>65</v>
      </c>
      <c r="F36" s="77" t="s">
        <v>65</v>
      </c>
      <c r="G36" s="77" t="s">
        <v>65</v>
      </c>
      <c r="I36" s="76" t="s">
        <v>174</v>
      </c>
      <c r="J36" s="76" t="s">
        <v>174</v>
      </c>
      <c r="K36" s="76" t="s">
        <v>174</v>
      </c>
      <c r="L36" s="76" t="s">
        <v>174</v>
      </c>
      <c r="M36" s="76" t="s">
        <v>174</v>
      </c>
      <c r="S36" s="77" t="s">
        <v>161</v>
      </c>
      <c r="T36">
        <f t="shared" si="1"/>
        <v>0</v>
      </c>
    </row>
    <row r="37" spans="1:20" x14ac:dyDescent="0.25">
      <c r="M37" s="77"/>
      <c r="S37" s="77" t="s">
        <v>155</v>
      </c>
      <c r="T37">
        <f t="shared" si="1"/>
        <v>0</v>
      </c>
    </row>
    <row r="38" spans="1:20" x14ac:dyDescent="0.25">
      <c r="C38" s="170" t="s">
        <v>236</v>
      </c>
      <c r="D38" s="171"/>
      <c r="E38" s="171"/>
      <c r="F38" s="171"/>
      <c r="G38" s="171"/>
      <c r="I38" s="172" t="s">
        <v>237</v>
      </c>
      <c r="J38" s="173"/>
      <c r="K38" s="173"/>
      <c r="L38" s="173"/>
      <c r="M38" s="173"/>
      <c r="S38" s="77" t="s">
        <v>151</v>
      </c>
      <c r="T38">
        <f t="shared" si="1"/>
        <v>0</v>
      </c>
    </row>
    <row r="39" spans="1:20" x14ac:dyDescent="0.25">
      <c r="A39" s="79" t="s">
        <v>145</v>
      </c>
      <c r="B39" s="78"/>
      <c r="C39" s="77" t="s">
        <v>230</v>
      </c>
      <c r="D39" s="77" t="s">
        <v>231</v>
      </c>
      <c r="E39" s="77" t="s">
        <v>232</v>
      </c>
      <c r="F39" s="77" t="s">
        <v>233</v>
      </c>
      <c r="G39" s="77" t="s">
        <v>234</v>
      </c>
      <c r="I39" s="77" t="s">
        <v>230</v>
      </c>
      <c r="J39" s="77" t="s">
        <v>231</v>
      </c>
      <c r="K39" s="77" t="s">
        <v>232</v>
      </c>
      <c r="L39" s="77" t="s">
        <v>233</v>
      </c>
      <c r="M39" s="77" t="s">
        <v>234</v>
      </c>
      <c r="S39" s="75" t="s">
        <v>148</v>
      </c>
      <c r="T39">
        <f t="shared" si="1"/>
        <v>0</v>
      </c>
    </row>
    <row r="40" spans="1:20" x14ac:dyDescent="0.25">
      <c r="A40" s="77">
        <v>101</v>
      </c>
      <c r="C40" s="79" t="s">
        <v>152</v>
      </c>
      <c r="D40" s="79" t="s">
        <v>152</v>
      </c>
      <c r="E40" s="77" t="s">
        <v>65</v>
      </c>
      <c r="F40" s="79" t="s">
        <v>152</v>
      </c>
      <c r="G40" s="79" t="s">
        <v>152</v>
      </c>
      <c r="I40" s="76" t="s">
        <v>190</v>
      </c>
      <c r="J40" s="76" t="s">
        <v>190</v>
      </c>
      <c r="K40" s="76" t="s">
        <v>190</v>
      </c>
      <c r="L40" s="76" t="s">
        <v>190</v>
      </c>
      <c r="M40" s="76" t="s">
        <v>190</v>
      </c>
      <c r="S40" s="75" t="s">
        <v>171</v>
      </c>
      <c r="T40">
        <f t="shared" si="1"/>
        <v>0</v>
      </c>
    </row>
    <row r="41" spans="1:20" x14ac:dyDescent="0.25">
      <c r="A41" s="77">
        <v>201</v>
      </c>
      <c r="C41" s="79" t="s">
        <v>152</v>
      </c>
      <c r="D41" s="79" t="s">
        <v>152</v>
      </c>
      <c r="E41" s="79" t="s">
        <v>152</v>
      </c>
      <c r="F41" s="79" t="s">
        <v>152</v>
      </c>
      <c r="G41" s="77" t="s">
        <v>65</v>
      </c>
      <c r="I41" s="76" t="s">
        <v>190</v>
      </c>
      <c r="J41" s="76" t="s">
        <v>190</v>
      </c>
      <c r="K41" s="76" t="s">
        <v>190</v>
      </c>
      <c r="L41" s="76" t="s">
        <v>190</v>
      </c>
      <c r="M41" s="76" t="s">
        <v>190</v>
      </c>
      <c r="S41" s="75" t="s">
        <v>149</v>
      </c>
      <c r="T41">
        <f t="shared" si="1"/>
        <v>0</v>
      </c>
    </row>
    <row r="42" spans="1:20" x14ac:dyDescent="0.25">
      <c r="A42" s="77">
        <v>301</v>
      </c>
      <c r="C42" s="79" t="s">
        <v>152</v>
      </c>
      <c r="D42" s="79" t="s">
        <v>152</v>
      </c>
      <c r="E42" s="79" t="s">
        <v>152</v>
      </c>
      <c r="F42" s="79" t="s">
        <v>152</v>
      </c>
      <c r="G42" s="77" t="s">
        <v>65</v>
      </c>
      <c r="I42" s="76" t="s">
        <v>190</v>
      </c>
      <c r="J42" s="76" t="s">
        <v>190</v>
      </c>
      <c r="K42" s="76" t="s">
        <v>190</v>
      </c>
      <c r="L42" s="79" t="s">
        <v>245</v>
      </c>
      <c r="M42" s="76" t="s">
        <v>190</v>
      </c>
      <c r="S42" s="75" t="s">
        <v>172</v>
      </c>
      <c r="T42">
        <f t="shared" si="1"/>
        <v>0</v>
      </c>
    </row>
    <row r="43" spans="1:20" x14ac:dyDescent="0.25">
      <c r="A43" s="77">
        <v>401</v>
      </c>
      <c r="C43" s="79" t="s">
        <v>152</v>
      </c>
      <c r="D43" s="79" t="s">
        <v>152</v>
      </c>
      <c r="E43" s="79" t="s">
        <v>152</v>
      </c>
      <c r="F43" s="79" t="s">
        <v>152</v>
      </c>
      <c r="G43" s="77" t="s">
        <v>65</v>
      </c>
      <c r="I43" s="76" t="s">
        <v>190</v>
      </c>
      <c r="J43" s="76" t="s">
        <v>190</v>
      </c>
      <c r="K43" s="76" t="s">
        <v>190</v>
      </c>
      <c r="L43" s="79" t="s">
        <v>245</v>
      </c>
      <c r="M43" s="76" t="s">
        <v>190</v>
      </c>
      <c r="S43" s="75" t="s">
        <v>173</v>
      </c>
      <c r="T43">
        <f t="shared" si="1"/>
        <v>0</v>
      </c>
    </row>
    <row r="44" spans="1:20" x14ac:dyDescent="0.25">
      <c r="S44" s="75" t="s">
        <v>147</v>
      </c>
      <c r="T44">
        <f t="shared" si="1"/>
        <v>0</v>
      </c>
    </row>
    <row r="45" spans="1:20" x14ac:dyDescent="0.25">
      <c r="C45" s="170" t="s">
        <v>247</v>
      </c>
      <c r="D45" s="171"/>
      <c r="E45" s="171"/>
      <c r="F45" s="171"/>
      <c r="G45" s="171"/>
      <c r="I45" s="170" t="s">
        <v>248</v>
      </c>
      <c r="J45" s="171"/>
      <c r="K45" s="171"/>
      <c r="L45" s="171"/>
      <c r="M45" s="171"/>
      <c r="S45" s="75" t="s">
        <v>174</v>
      </c>
      <c r="T45">
        <f t="shared" si="1"/>
        <v>20</v>
      </c>
    </row>
    <row r="46" spans="1:20" x14ac:dyDescent="0.25">
      <c r="A46" s="79" t="s">
        <v>145</v>
      </c>
      <c r="B46" s="78"/>
      <c r="C46" s="77" t="s">
        <v>230</v>
      </c>
      <c r="D46" s="77" t="s">
        <v>231</v>
      </c>
      <c r="E46" s="77" t="s">
        <v>232</v>
      </c>
      <c r="F46" s="77" t="s">
        <v>233</v>
      </c>
      <c r="G46" s="77" t="s">
        <v>234</v>
      </c>
      <c r="I46" s="77" t="s">
        <v>230</v>
      </c>
      <c r="J46" s="77" t="s">
        <v>231</v>
      </c>
      <c r="K46" s="77" t="s">
        <v>232</v>
      </c>
      <c r="L46" s="77" t="s">
        <v>233</v>
      </c>
      <c r="M46" s="77" t="s">
        <v>234</v>
      </c>
      <c r="S46" s="75" t="s">
        <v>181</v>
      </c>
      <c r="T46">
        <f t="shared" si="1"/>
        <v>0</v>
      </c>
    </row>
    <row r="47" spans="1:20" x14ac:dyDescent="0.25">
      <c r="A47" s="77">
        <v>101</v>
      </c>
      <c r="C47" s="79" t="s">
        <v>201</v>
      </c>
      <c r="D47" s="79" t="s">
        <v>201</v>
      </c>
      <c r="E47" s="79" t="s">
        <v>201</v>
      </c>
      <c r="F47" s="79" t="s">
        <v>250</v>
      </c>
      <c r="G47" s="77" t="s">
        <v>65</v>
      </c>
      <c r="I47" s="79" t="s">
        <v>152</v>
      </c>
      <c r="J47" s="79" t="s">
        <v>152</v>
      </c>
      <c r="K47" s="79" t="s">
        <v>152</v>
      </c>
      <c r="L47" s="79" t="s">
        <v>152</v>
      </c>
      <c r="M47" s="79" t="s">
        <v>152</v>
      </c>
      <c r="S47" s="75" t="s">
        <v>182</v>
      </c>
      <c r="T47">
        <f t="shared" si="1"/>
        <v>0</v>
      </c>
    </row>
    <row r="48" spans="1:20" x14ac:dyDescent="0.25">
      <c r="A48" s="77">
        <v>201</v>
      </c>
      <c r="C48" s="79" t="s">
        <v>201</v>
      </c>
      <c r="D48" s="79" t="s">
        <v>201</v>
      </c>
      <c r="E48" s="79" t="s">
        <v>201</v>
      </c>
      <c r="F48" s="79" t="s">
        <v>250</v>
      </c>
      <c r="G48" s="77" t="s">
        <v>65</v>
      </c>
      <c r="I48" s="79" t="s">
        <v>152</v>
      </c>
      <c r="J48" s="79" t="s">
        <v>152</v>
      </c>
      <c r="K48" s="79" t="s">
        <v>152</v>
      </c>
      <c r="L48" s="79" t="s">
        <v>152</v>
      </c>
      <c r="M48" s="79" t="s">
        <v>152</v>
      </c>
      <c r="S48" s="75" t="s">
        <v>183</v>
      </c>
      <c r="T48">
        <f t="shared" si="1"/>
        <v>0</v>
      </c>
    </row>
    <row r="49" spans="1:20" x14ac:dyDescent="0.25">
      <c r="A49" s="77">
        <v>301</v>
      </c>
      <c r="C49" s="79" t="s">
        <v>201</v>
      </c>
      <c r="D49" s="79" t="s">
        <v>201</v>
      </c>
      <c r="E49" s="79" t="s">
        <v>201</v>
      </c>
      <c r="F49" s="79" t="s">
        <v>250</v>
      </c>
      <c r="G49" s="77" t="s">
        <v>65</v>
      </c>
      <c r="I49" s="79" t="s">
        <v>152</v>
      </c>
      <c r="J49" s="79" t="s">
        <v>152</v>
      </c>
      <c r="K49" s="79" t="s">
        <v>152</v>
      </c>
      <c r="L49" s="79" t="s">
        <v>152</v>
      </c>
      <c r="M49" s="79" t="s">
        <v>152</v>
      </c>
      <c r="S49" s="75" t="s">
        <v>184</v>
      </c>
      <c r="T49">
        <f t="shared" si="1"/>
        <v>0</v>
      </c>
    </row>
    <row r="50" spans="1:20" x14ac:dyDescent="0.25">
      <c r="A50" s="77">
        <v>401</v>
      </c>
      <c r="C50" s="79" t="s">
        <v>201</v>
      </c>
      <c r="D50" s="79" t="s">
        <v>201</v>
      </c>
      <c r="E50" s="79" t="s">
        <v>201</v>
      </c>
      <c r="F50" s="79" t="s">
        <v>250</v>
      </c>
      <c r="G50" s="79" t="s">
        <v>201</v>
      </c>
      <c r="I50" s="79" t="s">
        <v>152</v>
      </c>
      <c r="J50" s="79" t="s">
        <v>152</v>
      </c>
      <c r="K50" s="79" t="s">
        <v>152</v>
      </c>
      <c r="L50" s="79" t="s">
        <v>152</v>
      </c>
      <c r="M50" s="79" t="s">
        <v>152</v>
      </c>
      <c r="S50" s="75" t="s">
        <v>185</v>
      </c>
      <c r="T50">
        <f t="shared" si="1"/>
        <v>0</v>
      </c>
    </row>
    <row r="51" spans="1:20" x14ac:dyDescent="0.25">
      <c r="S51" s="75" t="s">
        <v>186</v>
      </c>
      <c r="T51">
        <f t="shared" si="1"/>
        <v>0</v>
      </c>
    </row>
    <row r="52" spans="1:20" x14ac:dyDescent="0.25">
      <c r="S52" s="75" t="s">
        <v>150</v>
      </c>
      <c r="T52">
        <f t="shared" si="1"/>
        <v>0</v>
      </c>
    </row>
    <row r="53" spans="1:20" x14ac:dyDescent="0.25">
      <c r="C53" s="169" t="s">
        <v>251</v>
      </c>
      <c r="D53" s="169"/>
      <c r="E53" s="169"/>
      <c r="F53" s="169"/>
      <c r="G53" s="169"/>
      <c r="I53" s="169" t="s">
        <v>252</v>
      </c>
      <c r="J53" s="169"/>
      <c r="K53" s="169"/>
      <c r="L53" s="169"/>
      <c r="M53" s="169"/>
      <c r="S53" s="75" t="s">
        <v>187</v>
      </c>
      <c r="T53">
        <f t="shared" si="1"/>
        <v>0</v>
      </c>
    </row>
    <row r="54" spans="1:20" x14ac:dyDescent="0.25">
      <c r="A54" s="79" t="s">
        <v>145</v>
      </c>
      <c r="B54" s="78"/>
      <c r="C54" s="77" t="s">
        <v>230</v>
      </c>
      <c r="D54" s="77" t="s">
        <v>231</v>
      </c>
      <c r="E54" s="77" t="s">
        <v>232</v>
      </c>
      <c r="F54" s="77" t="s">
        <v>233</v>
      </c>
      <c r="G54" s="77" t="s">
        <v>234</v>
      </c>
      <c r="I54" s="77" t="s">
        <v>230</v>
      </c>
      <c r="J54" s="77" t="s">
        <v>231</v>
      </c>
      <c r="K54" s="77" t="s">
        <v>232</v>
      </c>
      <c r="L54" s="77" t="s">
        <v>233</v>
      </c>
      <c r="M54" s="77" t="s">
        <v>234</v>
      </c>
      <c r="S54" s="75" t="s">
        <v>190</v>
      </c>
      <c r="T54">
        <f t="shared" si="1"/>
        <v>18</v>
      </c>
    </row>
    <row r="55" spans="1:20" x14ac:dyDescent="0.25">
      <c r="A55" s="77">
        <v>101</v>
      </c>
      <c r="C55" s="76" t="s">
        <v>253</v>
      </c>
      <c r="D55" s="76" t="s">
        <v>253</v>
      </c>
      <c r="E55" s="76" t="s">
        <v>253</v>
      </c>
      <c r="F55" s="76" t="s">
        <v>253</v>
      </c>
      <c r="G55" s="76" t="s">
        <v>253</v>
      </c>
      <c r="I55" s="82" t="s">
        <v>113</v>
      </c>
      <c r="J55" s="82" t="s">
        <v>113</v>
      </c>
      <c r="K55" s="82" t="s">
        <v>113</v>
      </c>
      <c r="L55" s="82" t="s">
        <v>113</v>
      </c>
      <c r="M55" s="82" t="s">
        <v>113</v>
      </c>
      <c r="S55" s="75" t="s">
        <v>191</v>
      </c>
      <c r="T55">
        <f t="shared" si="1"/>
        <v>0</v>
      </c>
    </row>
    <row r="56" spans="1:20" x14ac:dyDescent="0.25">
      <c r="A56" s="77">
        <v>201</v>
      </c>
      <c r="C56" s="76" t="s">
        <v>253</v>
      </c>
      <c r="D56" s="76" t="s">
        <v>253</v>
      </c>
      <c r="E56" s="76" t="s">
        <v>253</v>
      </c>
      <c r="F56" s="76" t="s">
        <v>253</v>
      </c>
      <c r="G56" s="76" t="s">
        <v>253</v>
      </c>
      <c r="I56" s="82" t="s">
        <v>113</v>
      </c>
      <c r="J56" s="82" t="s">
        <v>113</v>
      </c>
      <c r="K56" s="82" t="s">
        <v>113</v>
      </c>
      <c r="L56" s="82" t="s">
        <v>113</v>
      </c>
      <c r="M56" s="82" t="s">
        <v>113</v>
      </c>
      <c r="S56" s="75" t="s">
        <v>192</v>
      </c>
      <c r="T56">
        <f t="shared" si="1"/>
        <v>0</v>
      </c>
    </row>
    <row r="57" spans="1:20" x14ac:dyDescent="0.25">
      <c r="A57" s="77">
        <v>301</v>
      </c>
      <c r="C57" s="76" t="s">
        <v>253</v>
      </c>
      <c r="D57" s="76" t="s">
        <v>253</v>
      </c>
      <c r="E57" s="76" t="s">
        <v>253</v>
      </c>
      <c r="F57" s="76" t="s">
        <v>253</v>
      </c>
      <c r="G57" s="76" t="s">
        <v>253</v>
      </c>
      <c r="I57" s="82" t="s">
        <v>113</v>
      </c>
      <c r="J57" s="82" t="s">
        <v>113</v>
      </c>
      <c r="K57" s="82" t="s">
        <v>113</v>
      </c>
      <c r="L57" s="82" t="s">
        <v>113</v>
      </c>
      <c r="M57" s="82" t="s">
        <v>113</v>
      </c>
      <c r="S57" s="75" t="s">
        <v>193</v>
      </c>
      <c r="T57">
        <f t="shared" si="1"/>
        <v>0</v>
      </c>
    </row>
    <row r="58" spans="1:20" x14ac:dyDescent="0.25">
      <c r="A58" s="77">
        <v>401</v>
      </c>
      <c r="C58" s="76" t="s">
        <v>253</v>
      </c>
      <c r="D58" s="76" t="s">
        <v>253</v>
      </c>
      <c r="E58" s="76" t="s">
        <v>253</v>
      </c>
      <c r="F58" s="76" t="s">
        <v>253</v>
      </c>
      <c r="G58" s="76" t="s">
        <v>253</v>
      </c>
      <c r="I58" s="82" t="s">
        <v>113</v>
      </c>
      <c r="J58" s="82" t="s">
        <v>113</v>
      </c>
      <c r="K58" s="82" t="s">
        <v>113</v>
      </c>
      <c r="L58" s="82" t="s">
        <v>113</v>
      </c>
      <c r="M58" s="82" t="s">
        <v>113</v>
      </c>
      <c r="S58" s="75" t="s">
        <v>65</v>
      </c>
      <c r="T58">
        <f t="shared" si="1"/>
        <v>27</v>
      </c>
    </row>
  </sheetData>
  <mergeCells count="14">
    <mergeCell ref="C15:G15"/>
    <mergeCell ref="C8:G8"/>
    <mergeCell ref="C1:G1"/>
    <mergeCell ref="I15:M15"/>
    <mergeCell ref="I8:M8"/>
    <mergeCell ref="I1:M1"/>
    <mergeCell ref="C53:G53"/>
    <mergeCell ref="I53:M53"/>
    <mergeCell ref="C31:G31"/>
    <mergeCell ref="I31:M31"/>
    <mergeCell ref="C38:G38"/>
    <mergeCell ref="I38:M38"/>
    <mergeCell ref="C45:G45"/>
    <mergeCell ref="I45:M45"/>
  </mergeCells>
  <conditionalFormatting sqref="C3:G6">
    <cfRule type="cellIs" dxfId="774" priority="351" operator="equal">
      <formula>$S$27</formula>
    </cfRule>
    <cfRule type="cellIs" dxfId="773" priority="352" operator="equal">
      <formula>$S$26</formula>
    </cfRule>
    <cfRule type="cellIs" dxfId="772" priority="353" operator="equal">
      <formula>$S$25</formula>
    </cfRule>
    <cfRule type="cellIs" dxfId="771" priority="354" operator="equal">
      <formula>$S$24</formula>
    </cfRule>
    <cfRule type="cellIs" dxfId="770" priority="355" operator="equal">
      <formula>$S$23</formula>
    </cfRule>
    <cfRule type="cellIs" dxfId="769" priority="356" operator="equal">
      <formula>$S$22</formula>
    </cfRule>
    <cfRule type="cellIs" dxfId="768" priority="357" operator="equal">
      <formula>$S$21</formula>
    </cfRule>
    <cfRule type="cellIs" dxfId="767" priority="358" operator="equal">
      <formula>$S$20</formula>
    </cfRule>
    <cfRule type="cellIs" dxfId="766" priority="359" operator="equal">
      <formula>$S$19</formula>
    </cfRule>
    <cfRule type="cellIs" dxfId="765" priority="360" operator="equal">
      <formula>$S$18</formula>
    </cfRule>
    <cfRule type="cellIs" dxfId="764" priority="361" operator="equal">
      <formula>$S$17</formula>
    </cfRule>
    <cfRule type="cellIs" dxfId="763" priority="362" operator="equal">
      <formula>$S$16</formula>
    </cfRule>
    <cfRule type="cellIs" dxfId="762" priority="363" operator="equal">
      <formula>$S$15</formula>
    </cfRule>
    <cfRule type="cellIs" dxfId="761" priority="364" operator="equal">
      <formula>$S$14</formula>
    </cfRule>
    <cfRule type="cellIs" dxfId="760" priority="365" operator="equal">
      <formula>$S$13</formula>
    </cfRule>
    <cfRule type="cellIs" dxfId="759" priority="366" operator="equal">
      <formula>$S$12</formula>
    </cfRule>
    <cfRule type="cellIs" dxfId="758" priority="367" operator="equal">
      <formula>$S$11</formula>
    </cfRule>
    <cfRule type="cellIs" dxfId="757" priority="368" operator="equal">
      <formula>$S$10</formula>
    </cfRule>
    <cfRule type="cellIs" dxfId="756" priority="369" operator="equal">
      <formula>$S$8</formula>
    </cfRule>
    <cfRule type="cellIs" dxfId="755" priority="370" operator="equal">
      <formula>$S$7</formula>
    </cfRule>
    <cfRule type="cellIs" dxfId="754" priority="371" operator="equal">
      <formula>$S$6</formula>
    </cfRule>
    <cfRule type="cellIs" dxfId="753" priority="372" operator="equal">
      <formula>$S$5</formula>
    </cfRule>
    <cfRule type="cellIs" dxfId="752" priority="373" operator="equal">
      <formula>$S$4</formula>
    </cfRule>
    <cfRule type="cellIs" dxfId="751" priority="374" operator="equal">
      <formula>$S$2</formula>
    </cfRule>
    <cfRule type="cellIs" dxfId="750" priority="375" operator="equal">
      <formula>$S$3</formula>
    </cfRule>
  </conditionalFormatting>
  <conditionalFormatting sqref="C10:G13 I17:M20">
    <cfRule type="cellIs" dxfId="749" priority="501" operator="equal">
      <formula>$S$27</formula>
    </cfRule>
    <cfRule type="cellIs" dxfId="748" priority="502" operator="equal">
      <formula>$S$26</formula>
    </cfRule>
    <cfRule type="cellIs" dxfId="747" priority="503" operator="equal">
      <formula>$S$25</formula>
    </cfRule>
    <cfRule type="cellIs" dxfId="746" priority="504" operator="equal">
      <formula>$S$24</formula>
    </cfRule>
    <cfRule type="cellIs" dxfId="745" priority="505" operator="equal">
      <formula>$S$23</formula>
    </cfRule>
    <cfRule type="cellIs" dxfId="744" priority="506" operator="equal">
      <formula>$S$22</formula>
    </cfRule>
    <cfRule type="cellIs" dxfId="743" priority="507" operator="equal">
      <formula>$S$21</formula>
    </cfRule>
    <cfRule type="cellIs" dxfId="742" priority="508" operator="equal">
      <formula>$S$20</formula>
    </cfRule>
    <cfRule type="cellIs" dxfId="741" priority="509" operator="equal">
      <formula>$S$19</formula>
    </cfRule>
    <cfRule type="cellIs" dxfId="740" priority="510" operator="equal">
      <formula>$S$18</formula>
    </cfRule>
    <cfRule type="cellIs" dxfId="739" priority="511" operator="equal">
      <formula>$S$17</formula>
    </cfRule>
    <cfRule type="cellIs" dxfId="738" priority="512" operator="equal">
      <formula>$S$16</formula>
    </cfRule>
    <cfRule type="cellIs" dxfId="737" priority="513" operator="equal">
      <formula>$S$15</formula>
    </cfRule>
    <cfRule type="cellIs" dxfId="736" priority="514" operator="equal">
      <formula>$S$14</formula>
    </cfRule>
    <cfRule type="cellIs" dxfId="735" priority="515" operator="equal">
      <formula>$S$13</formula>
    </cfRule>
    <cfRule type="cellIs" dxfId="734" priority="516" operator="equal">
      <formula>$S$12</formula>
    </cfRule>
    <cfRule type="cellIs" dxfId="733" priority="517" operator="equal">
      <formula>$S$11</formula>
    </cfRule>
    <cfRule type="cellIs" dxfId="732" priority="518" operator="equal">
      <formula>$S$10</formula>
    </cfRule>
    <cfRule type="cellIs" dxfId="731" priority="519" operator="equal">
      <formula>$S$8</formula>
    </cfRule>
    <cfRule type="cellIs" dxfId="730" priority="520" operator="equal">
      <formula>$S$7</formula>
    </cfRule>
    <cfRule type="cellIs" dxfId="729" priority="521" operator="equal">
      <formula>$S$6</formula>
    </cfRule>
    <cfRule type="cellIs" dxfId="728" priority="522" operator="equal">
      <formula>$S$5</formula>
    </cfRule>
    <cfRule type="cellIs" dxfId="727" priority="523" operator="equal">
      <formula>$S$4</formula>
    </cfRule>
    <cfRule type="cellIs" dxfId="726" priority="524" operator="equal">
      <formula>$S$2</formula>
    </cfRule>
    <cfRule type="cellIs" dxfId="725" priority="525" operator="equal">
      <formula>$S$3</formula>
    </cfRule>
  </conditionalFormatting>
  <conditionalFormatting sqref="C17:G20">
    <cfRule type="cellIs" dxfId="724" priority="1" operator="equal">
      <formula>$S$27</formula>
    </cfRule>
    <cfRule type="cellIs" dxfId="723" priority="2" operator="equal">
      <formula>$S$26</formula>
    </cfRule>
    <cfRule type="cellIs" dxfId="722" priority="3" operator="equal">
      <formula>$S$25</formula>
    </cfRule>
    <cfRule type="cellIs" dxfId="721" priority="4" operator="equal">
      <formula>$S$24</formula>
    </cfRule>
    <cfRule type="cellIs" dxfId="720" priority="5" operator="equal">
      <formula>$S$23</formula>
    </cfRule>
    <cfRule type="cellIs" dxfId="719" priority="6" operator="equal">
      <formula>$S$22</formula>
    </cfRule>
    <cfRule type="cellIs" dxfId="718" priority="7" operator="equal">
      <formula>$S$21</formula>
    </cfRule>
    <cfRule type="cellIs" dxfId="717" priority="8" operator="equal">
      <formula>$S$20</formula>
    </cfRule>
    <cfRule type="cellIs" dxfId="716" priority="9" operator="equal">
      <formula>$S$19</formula>
    </cfRule>
    <cfRule type="cellIs" dxfId="715" priority="10" operator="equal">
      <formula>$S$18</formula>
    </cfRule>
    <cfRule type="cellIs" dxfId="714" priority="11" operator="equal">
      <formula>$S$17</formula>
    </cfRule>
    <cfRule type="cellIs" dxfId="713" priority="12" operator="equal">
      <formula>$S$16</formula>
    </cfRule>
    <cfRule type="cellIs" dxfId="712" priority="13" operator="equal">
      <formula>$S$15</formula>
    </cfRule>
    <cfRule type="cellIs" dxfId="711" priority="14" operator="equal">
      <formula>$S$14</formula>
    </cfRule>
    <cfRule type="cellIs" dxfId="710" priority="15" operator="equal">
      <formula>$S$13</formula>
    </cfRule>
    <cfRule type="cellIs" dxfId="709" priority="16" operator="equal">
      <formula>$S$12</formula>
    </cfRule>
    <cfRule type="cellIs" dxfId="708" priority="17" operator="equal">
      <formula>$S$11</formula>
    </cfRule>
    <cfRule type="cellIs" dxfId="707" priority="18" operator="equal">
      <formula>$S$10</formula>
    </cfRule>
    <cfRule type="cellIs" dxfId="706" priority="19" operator="equal">
      <formula>$S$8</formula>
    </cfRule>
    <cfRule type="cellIs" dxfId="705" priority="20" operator="equal">
      <formula>$S$7</formula>
    </cfRule>
    <cfRule type="cellIs" dxfId="704" priority="21" operator="equal">
      <formula>$S$6</formula>
    </cfRule>
    <cfRule type="cellIs" dxfId="703" priority="22" operator="equal">
      <formula>$S$5</formula>
    </cfRule>
    <cfRule type="cellIs" dxfId="702" priority="23" operator="equal">
      <formula>$S$4</formula>
    </cfRule>
    <cfRule type="cellIs" dxfId="701" priority="24" operator="equal">
      <formula>$S$2</formula>
    </cfRule>
    <cfRule type="cellIs" dxfId="700" priority="25" operator="equal">
      <formula>$S$3</formula>
    </cfRule>
  </conditionalFormatting>
  <conditionalFormatting sqref="C33:G36">
    <cfRule type="cellIs" dxfId="699" priority="201" operator="equal">
      <formula>$S$27</formula>
    </cfRule>
    <cfRule type="cellIs" dxfId="698" priority="202" operator="equal">
      <formula>$S$26</formula>
    </cfRule>
    <cfRule type="cellIs" dxfId="697" priority="203" operator="equal">
      <formula>$S$25</formula>
    </cfRule>
    <cfRule type="cellIs" dxfId="696" priority="204" operator="equal">
      <formula>$S$24</formula>
    </cfRule>
    <cfRule type="cellIs" dxfId="695" priority="205" operator="equal">
      <formula>$S$23</formula>
    </cfRule>
    <cfRule type="cellIs" dxfId="694" priority="206" operator="equal">
      <formula>$S$22</formula>
    </cfRule>
    <cfRule type="cellIs" dxfId="693" priority="207" operator="equal">
      <formula>$S$21</formula>
    </cfRule>
    <cfRule type="cellIs" dxfId="692" priority="208" operator="equal">
      <formula>$S$20</formula>
    </cfRule>
    <cfRule type="cellIs" dxfId="691" priority="209" operator="equal">
      <formula>$S$19</formula>
    </cfRule>
    <cfRule type="cellIs" dxfId="690" priority="210" operator="equal">
      <formula>$S$18</formula>
    </cfRule>
    <cfRule type="cellIs" dxfId="689" priority="211" operator="equal">
      <formula>$S$17</formula>
    </cfRule>
    <cfRule type="cellIs" dxfId="688" priority="212" operator="equal">
      <formula>$S$16</formula>
    </cfRule>
    <cfRule type="cellIs" dxfId="687" priority="213" operator="equal">
      <formula>$S$15</formula>
    </cfRule>
    <cfRule type="cellIs" dxfId="686" priority="214" operator="equal">
      <formula>$S$14</formula>
    </cfRule>
    <cfRule type="cellIs" dxfId="685" priority="215" operator="equal">
      <formula>$S$13</formula>
    </cfRule>
    <cfRule type="cellIs" dxfId="684" priority="216" operator="equal">
      <formula>$S$12</formula>
    </cfRule>
    <cfRule type="cellIs" dxfId="683" priority="217" operator="equal">
      <formula>$S$11</formula>
    </cfRule>
    <cfRule type="cellIs" dxfId="682" priority="218" operator="equal">
      <formula>$S$10</formula>
    </cfRule>
    <cfRule type="cellIs" dxfId="681" priority="219" operator="equal">
      <formula>$S$8</formula>
    </cfRule>
    <cfRule type="cellIs" dxfId="680" priority="220" operator="equal">
      <formula>$S$7</formula>
    </cfRule>
    <cfRule type="cellIs" dxfId="679" priority="221" operator="equal">
      <formula>$S$6</formula>
    </cfRule>
    <cfRule type="cellIs" dxfId="678" priority="222" operator="equal">
      <formula>$S$5</formula>
    </cfRule>
    <cfRule type="cellIs" dxfId="677" priority="223" operator="equal">
      <formula>$S$4</formula>
    </cfRule>
    <cfRule type="cellIs" dxfId="676" priority="224" operator="equal">
      <formula>$S$2</formula>
    </cfRule>
    <cfRule type="cellIs" dxfId="675" priority="225" operator="equal">
      <formula>$S$3</formula>
    </cfRule>
  </conditionalFormatting>
  <conditionalFormatting sqref="C40:G43 C47:G50 I47:M50">
    <cfRule type="cellIs" dxfId="674" priority="226" operator="equal">
      <formula>$S$27</formula>
    </cfRule>
    <cfRule type="cellIs" dxfId="673" priority="227" operator="equal">
      <formula>$S$26</formula>
    </cfRule>
    <cfRule type="cellIs" dxfId="672" priority="228" operator="equal">
      <formula>$S$25</formula>
    </cfRule>
    <cfRule type="cellIs" dxfId="671" priority="229" operator="equal">
      <formula>$S$24</formula>
    </cfRule>
    <cfRule type="cellIs" dxfId="670" priority="230" operator="equal">
      <formula>$S$23</formula>
    </cfRule>
    <cfRule type="cellIs" dxfId="669" priority="231" operator="equal">
      <formula>$S$22</formula>
    </cfRule>
    <cfRule type="cellIs" dxfId="668" priority="232" operator="equal">
      <formula>$S$21</formula>
    </cfRule>
    <cfRule type="cellIs" dxfId="667" priority="233" operator="equal">
      <formula>$S$20</formula>
    </cfRule>
    <cfRule type="cellIs" dxfId="666" priority="234" operator="equal">
      <formula>$S$19</formula>
    </cfRule>
    <cfRule type="cellIs" dxfId="665" priority="235" operator="equal">
      <formula>$S$18</formula>
    </cfRule>
    <cfRule type="cellIs" dxfId="664" priority="236" operator="equal">
      <formula>$S$17</formula>
    </cfRule>
    <cfRule type="cellIs" dxfId="663" priority="237" operator="equal">
      <formula>$S$16</formula>
    </cfRule>
    <cfRule type="cellIs" dxfId="662" priority="238" operator="equal">
      <formula>$S$15</formula>
    </cfRule>
    <cfRule type="cellIs" dxfId="661" priority="239" operator="equal">
      <formula>$S$14</formula>
    </cfRule>
    <cfRule type="cellIs" dxfId="660" priority="240" operator="equal">
      <formula>$S$13</formula>
    </cfRule>
    <cfRule type="cellIs" dxfId="659" priority="241" operator="equal">
      <formula>$S$12</formula>
    </cfRule>
    <cfRule type="cellIs" dxfId="658" priority="242" operator="equal">
      <formula>$S$11</formula>
    </cfRule>
    <cfRule type="cellIs" dxfId="657" priority="243" operator="equal">
      <formula>$S$10</formula>
    </cfRule>
    <cfRule type="cellIs" dxfId="656" priority="244" operator="equal">
      <formula>$S$8</formula>
    </cfRule>
    <cfRule type="cellIs" dxfId="655" priority="245" operator="equal">
      <formula>$S$7</formula>
    </cfRule>
    <cfRule type="cellIs" dxfId="654" priority="246" operator="equal">
      <formula>$S$6</formula>
    </cfRule>
    <cfRule type="cellIs" dxfId="653" priority="247" operator="equal">
      <formula>$S$5</formula>
    </cfRule>
    <cfRule type="cellIs" dxfId="652" priority="248" operator="equal">
      <formula>$S$4</formula>
    </cfRule>
    <cfRule type="cellIs" dxfId="651" priority="249" operator="equal">
      <formula>$S$2</formula>
    </cfRule>
    <cfRule type="cellIs" dxfId="650" priority="250" operator="equal">
      <formula>$S$3</formula>
    </cfRule>
  </conditionalFormatting>
  <conditionalFormatting sqref="C55:G58">
    <cfRule type="cellIs" dxfId="649" priority="126" operator="equal">
      <formula>$S$27</formula>
    </cfRule>
    <cfRule type="cellIs" dxfId="648" priority="127" operator="equal">
      <formula>$S$26</formula>
    </cfRule>
    <cfRule type="cellIs" dxfId="647" priority="128" operator="equal">
      <formula>$S$25</formula>
    </cfRule>
    <cfRule type="cellIs" dxfId="646" priority="129" operator="equal">
      <formula>$S$24</formula>
    </cfRule>
    <cfRule type="cellIs" dxfId="645" priority="130" operator="equal">
      <formula>$S$23</formula>
    </cfRule>
    <cfRule type="cellIs" dxfId="644" priority="131" operator="equal">
      <formula>$S$22</formula>
    </cfRule>
    <cfRule type="cellIs" dxfId="643" priority="132" operator="equal">
      <formula>$S$21</formula>
    </cfRule>
    <cfRule type="cellIs" dxfId="642" priority="133" operator="equal">
      <formula>$S$20</formula>
    </cfRule>
    <cfRule type="cellIs" dxfId="641" priority="134" operator="equal">
      <formula>$S$19</formula>
    </cfRule>
    <cfRule type="cellIs" dxfId="640" priority="135" operator="equal">
      <formula>$S$18</formula>
    </cfRule>
    <cfRule type="cellIs" dxfId="639" priority="136" operator="equal">
      <formula>$S$17</formula>
    </cfRule>
    <cfRule type="cellIs" dxfId="638" priority="137" operator="equal">
      <formula>$S$16</formula>
    </cfRule>
    <cfRule type="cellIs" dxfId="637" priority="138" operator="equal">
      <formula>$S$15</formula>
    </cfRule>
    <cfRule type="cellIs" dxfId="636" priority="139" operator="equal">
      <formula>$S$14</formula>
    </cfRule>
    <cfRule type="cellIs" dxfId="635" priority="140" operator="equal">
      <formula>$S$13</formula>
    </cfRule>
    <cfRule type="cellIs" dxfId="634" priority="141" operator="equal">
      <formula>$S$12</formula>
    </cfRule>
    <cfRule type="cellIs" dxfId="633" priority="142" operator="equal">
      <formula>$S$11</formula>
    </cfRule>
    <cfRule type="cellIs" dxfId="632" priority="143" operator="equal">
      <formula>$S$10</formula>
    </cfRule>
    <cfRule type="cellIs" dxfId="631" priority="144" operator="equal">
      <formula>$S$8</formula>
    </cfRule>
    <cfRule type="cellIs" dxfId="630" priority="145" operator="equal">
      <formula>$S$7</formula>
    </cfRule>
    <cfRule type="cellIs" dxfId="629" priority="146" operator="equal">
      <formula>$S$6</formula>
    </cfRule>
    <cfRule type="cellIs" dxfId="628" priority="147" operator="equal">
      <formula>$S$5</formula>
    </cfRule>
    <cfRule type="cellIs" dxfId="627" priority="148" operator="equal">
      <formula>$S$4</formula>
    </cfRule>
    <cfRule type="cellIs" dxfId="626" priority="149" operator="equal">
      <formula>$S$2</formula>
    </cfRule>
    <cfRule type="cellIs" dxfId="625" priority="150" operator="equal">
      <formula>$S$3</formula>
    </cfRule>
  </conditionalFormatting>
  <conditionalFormatting sqref="I3:M6">
    <cfRule type="cellIs" dxfId="624" priority="51" operator="equal">
      <formula>$S$27</formula>
    </cfRule>
    <cfRule type="cellIs" dxfId="623" priority="52" operator="equal">
      <formula>$S$26</formula>
    </cfRule>
    <cfRule type="cellIs" dxfId="622" priority="53" operator="equal">
      <formula>$S$25</formula>
    </cfRule>
    <cfRule type="cellIs" dxfId="621" priority="54" operator="equal">
      <formula>$S$24</formula>
    </cfRule>
    <cfRule type="cellIs" dxfId="620" priority="55" operator="equal">
      <formula>$S$23</formula>
    </cfRule>
    <cfRule type="cellIs" dxfId="619" priority="56" operator="equal">
      <formula>$S$22</formula>
    </cfRule>
    <cfRule type="cellIs" dxfId="618" priority="57" operator="equal">
      <formula>$S$21</formula>
    </cfRule>
    <cfRule type="cellIs" dxfId="617" priority="58" operator="equal">
      <formula>$S$20</formula>
    </cfRule>
    <cfRule type="cellIs" dxfId="616" priority="59" operator="equal">
      <formula>$S$19</formula>
    </cfRule>
    <cfRule type="cellIs" dxfId="615" priority="60" operator="equal">
      <formula>$S$18</formula>
    </cfRule>
    <cfRule type="cellIs" dxfId="614" priority="61" operator="equal">
      <formula>$S$17</formula>
    </cfRule>
    <cfRule type="cellIs" dxfId="613" priority="62" operator="equal">
      <formula>$S$16</formula>
    </cfRule>
    <cfRule type="cellIs" dxfId="612" priority="63" operator="equal">
      <formula>$S$15</formula>
    </cfRule>
    <cfRule type="cellIs" dxfId="611" priority="64" operator="equal">
      <formula>$S$14</formula>
    </cfRule>
    <cfRule type="cellIs" dxfId="610" priority="65" operator="equal">
      <formula>$S$13</formula>
    </cfRule>
    <cfRule type="cellIs" dxfId="609" priority="66" operator="equal">
      <formula>$S$12</formula>
    </cfRule>
    <cfRule type="cellIs" dxfId="608" priority="67" operator="equal">
      <formula>$S$11</formula>
    </cfRule>
    <cfRule type="cellIs" dxfId="607" priority="68" operator="equal">
      <formula>$S$10</formula>
    </cfRule>
    <cfRule type="cellIs" dxfId="606" priority="69" operator="equal">
      <formula>$S$8</formula>
    </cfRule>
    <cfRule type="cellIs" dxfId="605" priority="70" operator="equal">
      <formula>$S$7</formula>
    </cfRule>
    <cfRule type="cellIs" dxfId="604" priority="71" operator="equal">
      <formula>$S$6</formula>
    </cfRule>
    <cfRule type="cellIs" dxfId="603" priority="72" operator="equal">
      <formula>$S$5</formula>
    </cfRule>
    <cfRule type="cellIs" dxfId="602" priority="73" operator="equal">
      <formula>$S$4</formula>
    </cfRule>
    <cfRule type="cellIs" dxfId="601" priority="74" operator="equal">
      <formula>$S$2</formula>
    </cfRule>
    <cfRule type="cellIs" dxfId="600" priority="75" operator="equal">
      <formula>$S$3</formula>
    </cfRule>
  </conditionalFormatting>
  <conditionalFormatting sqref="I10:M13">
    <cfRule type="cellIs" dxfId="599" priority="26" operator="equal">
      <formula>$S$27</formula>
    </cfRule>
    <cfRule type="cellIs" dxfId="598" priority="27" operator="equal">
      <formula>$S$26</formula>
    </cfRule>
    <cfRule type="cellIs" dxfId="597" priority="28" operator="equal">
      <formula>$S$25</formula>
    </cfRule>
    <cfRule type="cellIs" dxfId="596" priority="29" operator="equal">
      <formula>$S$24</formula>
    </cfRule>
    <cfRule type="cellIs" dxfId="595" priority="30" operator="equal">
      <formula>$S$23</formula>
    </cfRule>
    <cfRule type="cellIs" dxfId="594" priority="31" operator="equal">
      <formula>$S$22</formula>
    </cfRule>
    <cfRule type="cellIs" dxfId="593" priority="32" operator="equal">
      <formula>$S$21</formula>
    </cfRule>
    <cfRule type="cellIs" dxfId="592" priority="33" operator="equal">
      <formula>$S$20</formula>
    </cfRule>
    <cfRule type="cellIs" dxfId="591" priority="34" operator="equal">
      <formula>$S$19</formula>
    </cfRule>
    <cfRule type="cellIs" dxfId="590" priority="35" operator="equal">
      <formula>$S$18</formula>
    </cfRule>
    <cfRule type="cellIs" dxfId="589" priority="36" operator="equal">
      <formula>$S$17</formula>
    </cfRule>
    <cfRule type="cellIs" dxfId="588" priority="37" operator="equal">
      <formula>$S$16</formula>
    </cfRule>
    <cfRule type="cellIs" dxfId="587" priority="38" operator="equal">
      <formula>$S$15</formula>
    </cfRule>
    <cfRule type="cellIs" dxfId="586" priority="39" operator="equal">
      <formula>$S$14</formula>
    </cfRule>
    <cfRule type="cellIs" dxfId="585" priority="40" operator="equal">
      <formula>$S$13</formula>
    </cfRule>
    <cfRule type="cellIs" dxfId="584" priority="41" operator="equal">
      <formula>$S$12</formula>
    </cfRule>
    <cfRule type="cellIs" dxfId="583" priority="42" operator="equal">
      <formula>$S$11</formula>
    </cfRule>
    <cfRule type="cellIs" dxfId="582" priority="43" operator="equal">
      <formula>$S$10</formula>
    </cfRule>
    <cfRule type="cellIs" dxfId="581" priority="44" operator="equal">
      <formula>$S$8</formula>
    </cfRule>
    <cfRule type="cellIs" dxfId="580" priority="45" operator="equal">
      <formula>$S$7</formula>
    </cfRule>
    <cfRule type="cellIs" dxfId="579" priority="46" operator="equal">
      <formula>$S$6</formula>
    </cfRule>
    <cfRule type="cellIs" dxfId="578" priority="47" operator="equal">
      <formula>$S$5</formula>
    </cfRule>
    <cfRule type="cellIs" dxfId="577" priority="48" operator="equal">
      <formula>$S$4</formula>
    </cfRule>
    <cfRule type="cellIs" dxfId="576" priority="49" operator="equal">
      <formula>$S$2</formula>
    </cfRule>
    <cfRule type="cellIs" dxfId="575" priority="50" operator="equal">
      <formula>$S$3</formula>
    </cfRule>
  </conditionalFormatting>
  <conditionalFormatting sqref="I33:M36">
    <cfRule type="cellIs" dxfId="574" priority="176" operator="equal">
      <formula>$S$27</formula>
    </cfRule>
    <cfRule type="cellIs" dxfId="573" priority="177" operator="equal">
      <formula>$S$26</formula>
    </cfRule>
    <cfRule type="cellIs" dxfId="572" priority="178" operator="equal">
      <formula>$S$25</formula>
    </cfRule>
    <cfRule type="cellIs" dxfId="571" priority="179" operator="equal">
      <formula>$S$24</formula>
    </cfRule>
    <cfRule type="cellIs" dxfId="570" priority="180" operator="equal">
      <formula>$S$23</formula>
    </cfRule>
    <cfRule type="cellIs" dxfId="569" priority="181" operator="equal">
      <formula>$S$22</formula>
    </cfRule>
    <cfRule type="cellIs" dxfId="568" priority="182" operator="equal">
      <formula>$S$21</formula>
    </cfRule>
    <cfRule type="cellIs" dxfId="567" priority="183" operator="equal">
      <formula>$S$20</formula>
    </cfRule>
    <cfRule type="cellIs" dxfId="566" priority="184" operator="equal">
      <formula>$S$19</formula>
    </cfRule>
    <cfRule type="cellIs" dxfId="565" priority="185" operator="equal">
      <formula>$S$18</formula>
    </cfRule>
    <cfRule type="cellIs" dxfId="564" priority="186" operator="equal">
      <formula>$S$17</formula>
    </cfRule>
    <cfRule type="cellIs" dxfId="563" priority="187" operator="equal">
      <formula>$S$16</formula>
    </cfRule>
    <cfRule type="cellIs" dxfId="562" priority="188" operator="equal">
      <formula>$S$15</formula>
    </cfRule>
    <cfRule type="cellIs" dxfId="561" priority="189" operator="equal">
      <formula>$S$14</formula>
    </cfRule>
    <cfRule type="cellIs" dxfId="560" priority="190" operator="equal">
      <formula>$S$13</formula>
    </cfRule>
    <cfRule type="cellIs" dxfId="559" priority="191" operator="equal">
      <formula>$S$12</formula>
    </cfRule>
    <cfRule type="cellIs" dxfId="558" priority="192" operator="equal">
      <formula>$S$11</formula>
    </cfRule>
    <cfRule type="cellIs" dxfId="557" priority="193" operator="equal">
      <formula>$S$10</formula>
    </cfRule>
    <cfRule type="cellIs" dxfId="556" priority="194" operator="equal">
      <formula>$S$8</formula>
    </cfRule>
    <cfRule type="cellIs" dxfId="555" priority="195" operator="equal">
      <formula>$S$7</formula>
    </cfRule>
    <cfRule type="cellIs" dxfId="554" priority="196" operator="equal">
      <formula>$S$6</formula>
    </cfRule>
    <cfRule type="cellIs" dxfId="553" priority="197" operator="equal">
      <formula>$S$5</formula>
    </cfRule>
    <cfRule type="cellIs" dxfId="552" priority="198" operator="equal">
      <formula>$S$4</formula>
    </cfRule>
    <cfRule type="cellIs" dxfId="551" priority="199" operator="equal">
      <formula>$S$2</formula>
    </cfRule>
    <cfRule type="cellIs" dxfId="550" priority="200" operator="equal">
      <formula>$S$3</formula>
    </cfRule>
  </conditionalFormatting>
  <conditionalFormatting sqref="I40:M43">
    <cfRule type="cellIs" dxfId="549" priority="151" operator="equal">
      <formula>$S$27</formula>
    </cfRule>
    <cfRule type="cellIs" dxfId="548" priority="152" operator="equal">
      <formula>$S$26</formula>
    </cfRule>
    <cfRule type="cellIs" dxfId="547" priority="153" operator="equal">
      <formula>$S$25</formula>
    </cfRule>
    <cfRule type="cellIs" dxfId="546" priority="154" operator="equal">
      <formula>$S$24</formula>
    </cfRule>
    <cfRule type="cellIs" dxfId="545" priority="155" operator="equal">
      <formula>$S$23</formula>
    </cfRule>
    <cfRule type="cellIs" dxfId="544" priority="156" operator="equal">
      <formula>$S$22</formula>
    </cfRule>
    <cfRule type="cellIs" dxfId="543" priority="157" operator="equal">
      <formula>$S$21</formula>
    </cfRule>
    <cfRule type="cellIs" dxfId="542" priority="158" operator="equal">
      <formula>$S$20</formula>
    </cfRule>
    <cfRule type="cellIs" dxfId="541" priority="159" operator="equal">
      <formula>$S$19</formula>
    </cfRule>
    <cfRule type="cellIs" dxfId="540" priority="160" operator="equal">
      <formula>$S$18</formula>
    </cfRule>
    <cfRule type="cellIs" dxfId="539" priority="161" operator="equal">
      <formula>$S$17</formula>
    </cfRule>
    <cfRule type="cellIs" dxfId="538" priority="162" operator="equal">
      <formula>$S$16</formula>
    </cfRule>
    <cfRule type="cellIs" dxfId="537" priority="163" operator="equal">
      <formula>$S$15</formula>
    </cfRule>
    <cfRule type="cellIs" dxfId="536" priority="164" operator="equal">
      <formula>$S$14</formula>
    </cfRule>
    <cfRule type="cellIs" dxfId="535" priority="165" operator="equal">
      <formula>$S$13</formula>
    </cfRule>
    <cfRule type="cellIs" dxfId="534" priority="166" operator="equal">
      <formula>$S$12</formula>
    </cfRule>
    <cfRule type="cellIs" dxfId="533" priority="167" operator="equal">
      <formula>$S$11</formula>
    </cfRule>
    <cfRule type="cellIs" dxfId="532" priority="168" operator="equal">
      <formula>$S$10</formula>
    </cfRule>
    <cfRule type="cellIs" dxfId="531" priority="169" operator="equal">
      <formula>$S$8</formula>
    </cfRule>
    <cfRule type="cellIs" dxfId="530" priority="170" operator="equal">
      <formula>$S$7</formula>
    </cfRule>
    <cfRule type="cellIs" dxfId="529" priority="171" operator="equal">
      <formula>$S$6</formula>
    </cfRule>
    <cfRule type="cellIs" dxfId="528" priority="172" operator="equal">
      <formula>$S$5</formula>
    </cfRule>
    <cfRule type="cellIs" dxfId="527" priority="173" operator="equal">
      <formula>$S$4</formula>
    </cfRule>
    <cfRule type="cellIs" dxfId="526" priority="174" operator="equal">
      <formula>$S$2</formula>
    </cfRule>
    <cfRule type="cellIs" dxfId="525" priority="175" operator="equal">
      <formula>$S$3</formula>
    </cfRule>
  </conditionalFormatting>
  <conditionalFormatting sqref="I55:M58">
    <cfRule type="cellIs" dxfId="524" priority="101" operator="equal">
      <formula>$S$27</formula>
    </cfRule>
    <cfRule type="cellIs" dxfId="523" priority="102" operator="equal">
      <formula>$S$26</formula>
    </cfRule>
    <cfRule type="cellIs" dxfId="522" priority="103" operator="equal">
      <formula>$S$25</formula>
    </cfRule>
    <cfRule type="cellIs" dxfId="521" priority="104" operator="equal">
      <formula>$S$24</formula>
    </cfRule>
    <cfRule type="cellIs" dxfId="520" priority="105" operator="equal">
      <formula>$S$23</formula>
    </cfRule>
    <cfRule type="cellIs" dxfId="519" priority="106" operator="equal">
      <formula>$S$22</formula>
    </cfRule>
    <cfRule type="cellIs" dxfId="518" priority="107" operator="equal">
      <formula>$S$21</formula>
    </cfRule>
    <cfRule type="cellIs" dxfId="517" priority="108" operator="equal">
      <formula>$S$20</formula>
    </cfRule>
    <cfRule type="cellIs" dxfId="516" priority="109" operator="equal">
      <formula>$S$19</formula>
    </cfRule>
    <cfRule type="cellIs" dxfId="515" priority="110" operator="equal">
      <formula>$S$18</formula>
    </cfRule>
    <cfRule type="cellIs" dxfId="514" priority="111" operator="equal">
      <formula>$S$17</formula>
    </cfRule>
    <cfRule type="cellIs" dxfId="513" priority="112" operator="equal">
      <formula>$S$16</formula>
    </cfRule>
    <cfRule type="cellIs" dxfId="512" priority="113" operator="equal">
      <formula>$S$15</formula>
    </cfRule>
    <cfRule type="cellIs" dxfId="511" priority="114" operator="equal">
      <formula>$S$14</formula>
    </cfRule>
    <cfRule type="cellIs" dxfId="510" priority="115" operator="equal">
      <formula>$S$13</formula>
    </cfRule>
    <cfRule type="cellIs" dxfId="509" priority="116" operator="equal">
      <formula>$S$12</formula>
    </cfRule>
    <cfRule type="cellIs" dxfId="508" priority="117" operator="equal">
      <formula>$S$11</formula>
    </cfRule>
    <cfRule type="cellIs" dxfId="507" priority="118" operator="equal">
      <formula>$S$10</formula>
    </cfRule>
    <cfRule type="cellIs" dxfId="506" priority="119" operator="equal">
      <formula>$S$8</formula>
    </cfRule>
    <cfRule type="cellIs" dxfId="505" priority="120" operator="equal">
      <formula>$S$7</formula>
    </cfRule>
    <cfRule type="cellIs" dxfId="504" priority="121" operator="equal">
      <formula>$S$6</formula>
    </cfRule>
    <cfRule type="cellIs" dxfId="503" priority="122" operator="equal">
      <formula>$S$5</formula>
    </cfRule>
    <cfRule type="cellIs" dxfId="502" priority="123" operator="equal">
      <formula>$S$4</formula>
    </cfRule>
    <cfRule type="cellIs" dxfId="501" priority="124" operator="equal">
      <formula>$S$2</formula>
    </cfRule>
    <cfRule type="cellIs" dxfId="500" priority="125" operator="equal">
      <formula>$S$3</formula>
    </cfRule>
  </conditionalFormatting>
  <conditionalFormatting sqref="S2:S28">
    <cfRule type="cellIs" dxfId="499" priority="526" operator="equal">
      <formula>$S$27</formula>
    </cfRule>
    <cfRule type="cellIs" dxfId="498" priority="527" operator="equal">
      <formula>$S$26</formula>
    </cfRule>
    <cfRule type="cellIs" dxfId="497" priority="528" operator="equal">
      <formula>$S$25</formula>
    </cfRule>
    <cfRule type="cellIs" dxfId="496" priority="529" operator="equal">
      <formula>$S$24</formula>
    </cfRule>
    <cfRule type="cellIs" dxfId="495" priority="530" operator="equal">
      <formula>$S$23</formula>
    </cfRule>
    <cfRule type="cellIs" dxfId="494" priority="531" operator="equal">
      <formula>$S$22</formula>
    </cfRule>
    <cfRule type="cellIs" dxfId="493" priority="532" operator="equal">
      <formula>$S$21</formula>
    </cfRule>
    <cfRule type="cellIs" dxfId="492" priority="533" operator="equal">
      <formula>$S$20</formula>
    </cfRule>
    <cfRule type="cellIs" dxfId="491" priority="534" operator="equal">
      <formula>$S$19</formula>
    </cfRule>
    <cfRule type="cellIs" dxfId="490" priority="535" operator="equal">
      <formula>$S$18</formula>
    </cfRule>
    <cfRule type="cellIs" dxfId="489" priority="536" operator="equal">
      <formula>$S$17</formula>
    </cfRule>
    <cfRule type="cellIs" dxfId="488" priority="537" operator="equal">
      <formula>$S$16</formula>
    </cfRule>
    <cfRule type="cellIs" dxfId="487" priority="538" operator="equal">
      <formula>$S$15</formula>
    </cfRule>
    <cfRule type="cellIs" dxfId="486" priority="539" operator="equal">
      <formula>$S$14</formula>
    </cfRule>
    <cfRule type="cellIs" dxfId="485" priority="540" operator="equal">
      <formula>$S$13</formula>
    </cfRule>
    <cfRule type="cellIs" dxfId="484" priority="541" operator="equal">
      <formula>$S$12</formula>
    </cfRule>
    <cfRule type="cellIs" dxfId="483" priority="542" operator="equal">
      <formula>$S$11</formula>
    </cfRule>
    <cfRule type="cellIs" dxfId="482" priority="543" operator="equal">
      <formula>$S$10</formula>
    </cfRule>
    <cfRule type="cellIs" dxfId="481" priority="544" operator="equal">
      <formula>$S$8</formula>
    </cfRule>
    <cfRule type="cellIs" dxfId="480" priority="545" operator="equal">
      <formula>$S$7</formula>
    </cfRule>
    <cfRule type="cellIs" dxfId="479" priority="546" operator="equal">
      <formula>$S$6</formula>
    </cfRule>
    <cfRule type="cellIs" dxfId="478" priority="547" operator="equal">
      <formula>$S$5</formula>
    </cfRule>
    <cfRule type="cellIs" dxfId="477" priority="548" operator="equal">
      <formula>$S$4</formula>
    </cfRule>
    <cfRule type="cellIs" dxfId="476" priority="549" operator="equal">
      <formula>$S$2</formula>
    </cfRule>
    <cfRule type="cellIs" dxfId="475" priority="550" operator="equal">
      <formula>$S$3</formula>
    </cfRule>
  </conditionalFormatting>
  <conditionalFormatting sqref="S32:S58">
    <cfRule type="cellIs" dxfId="474" priority="251" operator="equal">
      <formula>$S$27</formula>
    </cfRule>
    <cfRule type="cellIs" dxfId="473" priority="252" operator="equal">
      <formula>$S$26</formula>
    </cfRule>
    <cfRule type="cellIs" dxfId="472" priority="253" operator="equal">
      <formula>$S$25</formula>
    </cfRule>
    <cfRule type="cellIs" dxfId="471" priority="254" operator="equal">
      <formula>$S$24</formula>
    </cfRule>
    <cfRule type="cellIs" dxfId="470" priority="255" operator="equal">
      <formula>$S$23</formula>
    </cfRule>
    <cfRule type="cellIs" dxfId="469" priority="256" operator="equal">
      <formula>$S$22</formula>
    </cfRule>
    <cfRule type="cellIs" dxfId="468" priority="257" operator="equal">
      <formula>$S$21</formula>
    </cfRule>
    <cfRule type="cellIs" dxfId="467" priority="258" operator="equal">
      <formula>$S$20</formula>
    </cfRule>
    <cfRule type="cellIs" dxfId="466" priority="259" operator="equal">
      <formula>$S$19</formula>
    </cfRule>
    <cfRule type="cellIs" dxfId="465" priority="260" operator="equal">
      <formula>$S$18</formula>
    </cfRule>
    <cfRule type="cellIs" dxfId="464" priority="261" operator="equal">
      <formula>$S$17</formula>
    </cfRule>
    <cfRule type="cellIs" dxfId="463" priority="262" operator="equal">
      <formula>$S$16</formula>
    </cfRule>
    <cfRule type="cellIs" dxfId="462" priority="263" operator="equal">
      <formula>$S$15</formula>
    </cfRule>
    <cfRule type="cellIs" dxfId="461" priority="264" operator="equal">
      <formula>$S$14</formula>
    </cfRule>
    <cfRule type="cellIs" dxfId="460" priority="265" operator="equal">
      <formula>$S$13</formula>
    </cfRule>
    <cfRule type="cellIs" dxfId="459" priority="266" operator="equal">
      <formula>$S$12</formula>
    </cfRule>
    <cfRule type="cellIs" dxfId="458" priority="267" operator="equal">
      <formula>$S$11</formula>
    </cfRule>
    <cfRule type="cellIs" dxfId="457" priority="268" operator="equal">
      <formula>$S$10</formula>
    </cfRule>
    <cfRule type="cellIs" dxfId="456" priority="269" operator="equal">
      <formula>$S$8</formula>
    </cfRule>
    <cfRule type="cellIs" dxfId="455" priority="270" operator="equal">
      <formula>$S$7</formula>
    </cfRule>
    <cfRule type="cellIs" dxfId="454" priority="271" operator="equal">
      <formula>$S$6</formula>
    </cfRule>
    <cfRule type="cellIs" dxfId="453" priority="272" operator="equal">
      <formula>$S$5</formula>
    </cfRule>
    <cfRule type="cellIs" dxfId="452" priority="273" operator="equal">
      <formula>$S$4</formula>
    </cfRule>
    <cfRule type="cellIs" dxfId="451" priority="274" operator="equal">
      <formula>$S$2</formula>
    </cfRule>
    <cfRule type="cellIs" dxfId="450" priority="275" operator="equal">
      <formula>$S$3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AF65-8135-4D01-B6E6-DE81D515A0D4}">
  <dimension ref="A1:U28"/>
  <sheetViews>
    <sheetView showGridLines="0" topLeftCell="K1" zoomScale="70" zoomScaleNormal="70" workbookViewId="0">
      <selection activeCell="H17" sqref="H17"/>
    </sheetView>
  </sheetViews>
  <sheetFormatPr defaultRowHeight="15" x14ac:dyDescent="0.25"/>
  <cols>
    <col min="3" max="3" width="31.42578125" bestFit="1" customWidth="1"/>
    <col min="4" max="4" width="23.5703125" bestFit="1" customWidth="1"/>
    <col min="5" max="5" width="34.42578125" bestFit="1" customWidth="1"/>
    <col min="6" max="6" width="30.5703125" bestFit="1" customWidth="1"/>
    <col min="8" max="9" width="43.42578125" bestFit="1" customWidth="1"/>
    <col min="10" max="10" width="43.42578125" customWidth="1"/>
    <col min="11" max="11" width="43.42578125" bestFit="1" customWidth="1"/>
    <col min="12" max="12" width="7.42578125" bestFit="1" customWidth="1"/>
    <col min="13" max="14" width="34.42578125" bestFit="1" customWidth="1"/>
    <col min="15" max="16" width="30.42578125" customWidth="1"/>
    <col min="18" max="18" width="21.5703125" hidden="1" customWidth="1"/>
    <col min="19" max="19" width="31.5703125" bestFit="1" customWidth="1"/>
    <col min="20" max="21" width="21.5703125" bestFit="1" customWidth="1"/>
    <col min="28" max="30" width="23.5703125" bestFit="1" customWidth="1"/>
    <col min="31" max="31" width="23" bestFit="1" customWidth="1"/>
  </cols>
  <sheetData>
    <row r="1" spans="1:21" x14ac:dyDescent="0.25">
      <c r="C1" s="182" t="s">
        <v>254</v>
      </c>
      <c r="D1" s="182"/>
      <c r="E1" s="182"/>
      <c r="F1" s="182"/>
      <c r="H1" s="182" t="s">
        <v>255</v>
      </c>
      <c r="I1" s="182"/>
      <c r="J1" s="182"/>
      <c r="K1" s="182"/>
      <c r="M1" s="182" t="s">
        <v>256</v>
      </c>
      <c r="N1" s="182"/>
      <c r="O1" s="182"/>
      <c r="P1" s="182"/>
      <c r="R1" s="78"/>
      <c r="S1" s="76" t="s">
        <v>144</v>
      </c>
      <c r="T1" s="78"/>
      <c r="U1" s="78"/>
    </row>
    <row r="2" spans="1:21" x14ac:dyDescent="0.25">
      <c r="A2" s="76" t="s">
        <v>145</v>
      </c>
      <c r="C2" s="77" t="s">
        <v>230</v>
      </c>
      <c r="D2" s="77" t="s">
        <v>231</v>
      </c>
      <c r="E2" s="77" t="s">
        <v>232</v>
      </c>
      <c r="F2" s="77" t="s">
        <v>233</v>
      </c>
      <c r="H2" s="77" t="s">
        <v>230</v>
      </c>
      <c r="I2" s="77" t="s">
        <v>231</v>
      </c>
      <c r="J2" s="77" t="s">
        <v>232</v>
      </c>
      <c r="K2" s="77" t="s">
        <v>233</v>
      </c>
      <c r="L2" s="76" t="s">
        <v>145</v>
      </c>
      <c r="M2" s="77" t="s">
        <v>230</v>
      </c>
      <c r="N2" s="77" t="s">
        <v>231</v>
      </c>
      <c r="O2" s="77" t="s">
        <v>232</v>
      </c>
      <c r="P2" s="77" t="s">
        <v>233</v>
      </c>
      <c r="R2" s="32"/>
      <c r="S2" s="77" t="s">
        <v>152</v>
      </c>
      <c r="T2" s="32">
        <f>COUNTIF($C$3:$P$27,S2)</f>
        <v>0</v>
      </c>
      <c r="U2" s="32"/>
    </row>
    <row r="3" spans="1:21" x14ac:dyDescent="0.25">
      <c r="A3" s="75">
        <v>601</v>
      </c>
      <c r="C3" s="79" t="s">
        <v>65</v>
      </c>
      <c r="D3" s="79" t="s">
        <v>65</v>
      </c>
      <c r="E3" s="79" t="s">
        <v>65</v>
      </c>
      <c r="F3" s="79" t="s">
        <v>65</v>
      </c>
      <c r="H3" s="79" t="s">
        <v>65</v>
      </c>
      <c r="I3" s="79" t="s">
        <v>65</v>
      </c>
      <c r="J3" s="79" t="s">
        <v>158</v>
      </c>
      <c r="K3" s="79" t="s">
        <v>158</v>
      </c>
      <c r="L3" s="75">
        <v>601</v>
      </c>
      <c r="M3" s="79" t="s">
        <v>151</v>
      </c>
      <c r="N3" s="79" t="s">
        <v>151</v>
      </c>
      <c r="O3" s="79" t="s">
        <v>148</v>
      </c>
      <c r="P3" s="79" t="s">
        <v>148</v>
      </c>
      <c r="R3" s="32"/>
      <c r="S3" s="77" t="s">
        <v>156</v>
      </c>
      <c r="T3" s="32">
        <f t="shared" ref="T3:T28" si="0">COUNTIF($C$3:$P$27,S3)</f>
        <v>5</v>
      </c>
      <c r="U3" s="32"/>
    </row>
    <row r="4" spans="1:21" x14ac:dyDescent="0.25">
      <c r="A4" s="75">
        <v>501</v>
      </c>
      <c r="C4" s="79" t="s">
        <v>174</v>
      </c>
      <c r="D4" s="79" t="s">
        <v>65</v>
      </c>
      <c r="E4" s="79" t="s">
        <v>161</v>
      </c>
      <c r="F4" s="79" t="s">
        <v>155</v>
      </c>
      <c r="H4" s="79" t="s">
        <v>173</v>
      </c>
      <c r="I4" s="79" t="s">
        <v>158</v>
      </c>
      <c r="J4" s="79" t="s">
        <v>65</v>
      </c>
      <c r="K4" s="79" t="s">
        <v>158</v>
      </c>
      <c r="L4" s="75">
        <v>501</v>
      </c>
      <c r="M4" s="79" t="s">
        <v>151</v>
      </c>
      <c r="N4" s="79" t="s">
        <v>151</v>
      </c>
      <c r="O4" s="79" t="s">
        <v>148</v>
      </c>
      <c r="P4" s="79" t="s">
        <v>148</v>
      </c>
      <c r="R4" s="32"/>
      <c r="S4" s="77" t="s">
        <v>158</v>
      </c>
      <c r="T4" s="32">
        <f t="shared" si="0"/>
        <v>5</v>
      </c>
      <c r="U4" s="32"/>
    </row>
    <row r="5" spans="1:21" x14ac:dyDescent="0.25">
      <c r="A5" s="75">
        <v>401</v>
      </c>
      <c r="C5" s="79" t="s">
        <v>174</v>
      </c>
      <c r="D5" s="79" t="s">
        <v>174</v>
      </c>
      <c r="E5" s="79" t="s">
        <v>161</v>
      </c>
      <c r="F5" s="79" t="s">
        <v>155</v>
      </c>
      <c r="H5" s="79" t="s">
        <v>173</v>
      </c>
      <c r="I5" s="79" t="s">
        <v>158</v>
      </c>
      <c r="J5" s="79" t="s">
        <v>65</v>
      </c>
      <c r="K5" s="79" t="s">
        <v>173</v>
      </c>
      <c r="L5" s="75">
        <v>401</v>
      </c>
      <c r="M5" s="79" t="s">
        <v>151</v>
      </c>
      <c r="N5" s="79" t="s">
        <v>151</v>
      </c>
      <c r="O5" s="79" t="s">
        <v>148</v>
      </c>
      <c r="P5" s="79" t="s">
        <v>65</v>
      </c>
      <c r="R5" s="32"/>
      <c r="S5" s="77" t="s">
        <v>154</v>
      </c>
      <c r="T5" s="32">
        <f t="shared" si="0"/>
        <v>21</v>
      </c>
      <c r="U5" s="32"/>
    </row>
    <row r="6" spans="1:21" x14ac:dyDescent="0.25">
      <c r="A6" s="75">
        <v>301</v>
      </c>
      <c r="C6" s="79" t="s">
        <v>183</v>
      </c>
      <c r="D6" s="79" t="s">
        <v>183</v>
      </c>
      <c r="E6" s="79" t="s">
        <v>156</v>
      </c>
      <c r="F6" s="79" t="s">
        <v>155</v>
      </c>
      <c r="H6" s="79" t="s">
        <v>184</v>
      </c>
      <c r="I6" s="79" t="s">
        <v>183</v>
      </c>
      <c r="J6" s="79" t="s">
        <v>65</v>
      </c>
      <c r="K6" s="79" t="s">
        <v>173</v>
      </c>
      <c r="L6" s="75">
        <v>301</v>
      </c>
      <c r="M6" s="79" t="s">
        <v>151</v>
      </c>
      <c r="N6" s="79" t="s">
        <v>151</v>
      </c>
      <c r="O6" s="79" t="s">
        <v>148</v>
      </c>
      <c r="P6" s="79" t="s">
        <v>171</v>
      </c>
      <c r="R6" s="32"/>
      <c r="S6" s="77" t="s">
        <v>161</v>
      </c>
      <c r="T6" s="32">
        <f t="shared" si="0"/>
        <v>6</v>
      </c>
      <c r="U6" s="32"/>
    </row>
    <row r="7" spans="1:21" x14ac:dyDescent="0.25">
      <c r="A7" s="75">
        <v>201</v>
      </c>
      <c r="C7" s="79" t="s">
        <v>182</v>
      </c>
      <c r="D7" s="79" t="s">
        <v>182</v>
      </c>
      <c r="E7" s="79" t="s">
        <v>156</v>
      </c>
      <c r="F7" s="79" t="s">
        <v>155</v>
      </c>
      <c r="H7" s="79" t="s">
        <v>184</v>
      </c>
      <c r="I7" s="79" t="s">
        <v>183</v>
      </c>
      <c r="J7" s="79" t="s">
        <v>65</v>
      </c>
      <c r="K7" s="79" t="s">
        <v>173</v>
      </c>
      <c r="L7" s="75">
        <v>201</v>
      </c>
      <c r="M7" s="79" t="s">
        <v>151</v>
      </c>
      <c r="N7" s="79" t="s">
        <v>151</v>
      </c>
      <c r="O7" s="79" t="s">
        <v>148</v>
      </c>
      <c r="P7" s="79" t="s">
        <v>171</v>
      </c>
      <c r="R7" s="32"/>
      <c r="S7" s="77" t="s">
        <v>155</v>
      </c>
      <c r="T7" s="32">
        <f t="shared" si="0"/>
        <v>13</v>
      </c>
      <c r="U7" s="32"/>
    </row>
    <row r="8" spans="1:21" x14ac:dyDescent="0.25">
      <c r="A8" s="75">
        <v>101</v>
      </c>
      <c r="C8" s="79" t="s">
        <v>65</v>
      </c>
      <c r="D8" s="79" t="s">
        <v>65</v>
      </c>
      <c r="E8" s="79" t="s">
        <v>65</v>
      </c>
      <c r="F8" s="79" t="s">
        <v>65</v>
      </c>
      <c r="H8" s="79" t="s">
        <v>184</v>
      </c>
      <c r="I8" s="79" t="s">
        <v>183</v>
      </c>
      <c r="J8" s="79" t="s">
        <v>65</v>
      </c>
      <c r="K8" s="79" t="s">
        <v>173</v>
      </c>
      <c r="L8" s="75">
        <v>101</v>
      </c>
      <c r="M8" s="79" t="s">
        <v>151</v>
      </c>
      <c r="N8" s="79" t="s">
        <v>151</v>
      </c>
      <c r="O8" s="79" t="s">
        <v>148</v>
      </c>
      <c r="P8" s="79" t="s">
        <v>65</v>
      </c>
      <c r="R8" s="32"/>
      <c r="S8" s="77" t="s">
        <v>151</v>
      </c>
      <c r="T8" s="32">
        <f t="shared" si="0"/>
        <v>12</v>
      </c>
      <c r="U8" s="32"/>
    </row>
    <row r="9" spans="1:21" x14ac:dyDescent="0.25">
      <c r="M9" s="78"/>
      <c r="S9" s="75" t="s">
        <v>148</v>
      </c>
      <c r="T9" s="32">
        <f t="shared" si="0"/>
        <v>8</v>
      </c>
    </row>
    <row r="10" spans="1:21" x14ac:dyDescent="0.25">
      <c r="S10" s="75" t="s">
        <v>171</v>
      </c>
      <c r="T10" s="32">
        <f t="shared" si="0"/>
        <v>2</v>
      </c>
    </row>
    <row r="11" spans="1:21" x14ac:dyDescent="0.25">
      <c r="C11" s="182" t="s">
        <v>257</v>
      </c>
      <c r="D11" s="182"/>
      <c r="E11" s="182"/>
      <c r="F11" s="182"/>
      <c r="H11" s="182" t="s">
        <v>258</v>
      </c>
      <c r="I11" s="182"/>
      <c r="J11" s="182"/>
      <c r="K11" s="182"/>
      <c r="M11" s="182" t="s">
        <v>259</v>
      </c>
      <c r="N11" s="182"/>
      <c r="O11" s="182"/>
      <c r="P11" s="182"/>
      <c r="S11" s="75" t="s">
        <v>149</v>
      </c>
      <c r="T11" s="32">
        <f t="shared" si="0"/>
        <v>30</v>
      </c>
    </row>
    <row r="12" spans="1:21" x14ac:dyDescent="0.25">
      <c r="A12" s="76" t="s">
        <v>145</v>
      </c>
      <c r="C12" s="77" t="s">
        <v>230</v>
      </c>
      <c r="D12" s="77" t="s">
        <v>231</v>
      </c>
      <c r="E12" s="77" t="s">
        <v>232</v>
      </c>
      <c r="F12" s="77" t="s">
        <v>233</v>
      </c>
      <c r="H12" s="77" t="s">
        <v>230</v>
      </c>
      <c r="I12" s="77" t="s">
        <v>231</v>
      </c>
      <c r="J12" s="77" t="s">
        <v>232</v>
      </c>
      <c r="K12" s="77" t="s">
        <v>233</v>
      </c>
      <c r="M12" s="77" t="s">
        <v>230</v>
      </c>
      <c r="N12" s="77" t="s">
        <v>231</v>
      </c>
      <c r="O12" s="77" t="s">
        <v>232</v>
      </c>
      <c r="P12" s="77" t="s">
        <v>233</v>
      </c>
      <c r="S12" s="75" t="s">
        <v>172</v>
      </c>
      <c r="T12" s="32">
        <f t="shared" si="0"/>
        <v>2</v>
      </c>
    </row>
    <row r="13" spans="1:21" x14ac:dyDescent="0.25">
      <c r="A13" s="75">
        <v>601</v>
      </c>
      <c r="C13" s="79" t="s">
        <v>149</v>
      </c>
      <c r="D13" s="79" t="s">
        <v>149</v>
      </c>
      <c r="E13" s="79" t="s">
        <v>65</v>
      </c>
      <c r="F13" s="79" t="s">
        <v>65</v>
      </c>
      <c r="H13" s="79" t="s">
        <v>149</v>
      </c>
      <c r="I13" s="79" t="s">
        <v>149</v>
      </c>
      <c r="J13" s="79" t="s">
        <v>149</v>
      </c>
      <c r="K13" s="79" t="s">
        <v>65</v>
      </c>
      <c r="M13" s="80" t="s">
        <v>154</v>
      </c>
      <c r="N13" s="79" t="s">
        <v>154</v>
      </c>
      <c r="O13" s="79" t="s">
        <v>154</v>
      </c>
      <c r="P13" s="79" t="s">
        <v>154</v>
      </c>
      <c r="S13" s="75" t="s">
        <v>173</v>
      </c>
      <c r="T13" s="32">
        <f t="shared" si="0"/>
        <v>6</v>
      </c>
    </row>
    <row r="14" spans="1:21" x14ac:dyDescent="0.25">
      <c r="A14" s="75">
        <v>501</v>
      </c>
      <c r="C14" s="79" t="s">
        <v>149</v>
      </c>
      <c r="D14" s="79" t="s">
        <v>149</v>
      </c>
      <c r="E14" s="79" t="s">
        <v>65</v>
      </c>
      <c r="F14" s="79" t="s">
        <v>65</v>
      </c>
      <c r="H14" s="79" t="s">
        <v>149</v>
      </c>
      <c r="I14" s="79" t="s">
        <v>149</v>
      </c>
      <c r="J14" s="79" t="s">
        <v>149</v>
      </c>
      <c r="K14" s="79" t="s">
        <v>65</v>
      </c>
      <c r="M14" s="80" t="s">
        <v>154</v>
      </c>
      <c r="N14" s="79" t="s">
        <v>154</v>
      </c>
      <c r="O14" s="79" t="s">
        <v>154</v>
      </c>
      <c r="P14" s="79" t="s">
        <v>154</v>
      </c>
      <c r="S14" s="75" t="s">
        <v>147</v>
      </c>
      <c r="T14" s="32">
        <f t="shared" si="0"/>
        <v>9</v>
      </c>
    </row>
    <row r="15" spans="1:21" x14ac:dyDescent="0.25">
      <c r="A15" s="75">
        <v>401</v>
      </c>
      <c r="C15" s="79" t="s">
        <v>149</v>
      </c>
      <c r="D15" s="79" t="s">
        <v>149</v>
      </c>
      <c r="E15" s="79" t="s">
        <v>65</v>
      </c>
      <c r="F15" s="79" t="s">
        <v>65</v>
      </c>
      <c r="H15" s="79" t="s">
        <v>65</v>
      </c>
      <c r="I15" s="79" t="s">
        <v>149</v>
      </c>
      <c r="J15" s="79" t="s">
        <v>149</v>
      </c>
      <c r="K15" s="79" t="s">
        <v>65</v>
      </c>
      <c r="M15" s="80" t="s">
        <v>154</v>
      </c>
      <c r="N15" s="77" t="s">
        <v>65</v>
      </c>
      <c r="O15" s="79" t="s">
        <v>154</v>
      </c>
      <c r="P15" s="77" t="s">
        <v>65</v>
      </c>
      <c r="S15" s="75" t="s">
        <v>174</v>
      </c>
      <c r="T15" s="32">
        <f t="shared" si="0"/>
        <v>3</v>
      </c>
    </row>
    <row r="16" spans="1:21" x14ac:dyDescent="0.25">
      <c r="A16" s="75">
        <v>301</v>
      </c>
      <c r="C16" s="116" t="s">
        <v>149</v>
      </c>
      <c r="D16" s="116" t="s">
        <v>149</v>
      </c>
      <c r="E16" s="79" t="s">
        <v>65</v>
      </c>
      <c r="F16" s="79" t="s">
        <v>65</v>
      </c>
      <c r="H16" s="79" t="s">
        <v>149</v>
      </c>
      <c r="I16" s="79" t="s">
        <v>149</v>
      </c>
      <c r="J16" s="79" t="s">
        <v>149</v>
      </c>
      <c r="K16" s="79" t="s">
        <v>65</v>
      </c>
      <c r="M16" s="77" t="s">
        <v>65</v>
      </c>
      <c r="N16" s="77" t="s">
        <v>65</v>
      </c>
      <c r="O16" s="79" t="s">
        <v>154</v>
      </c>
      <c r="P16" s="77" t="s">
        <v>65</v>
      </c>
      <c r="S16" s="75" t="s">
        <v>181</v>
      </c>
      <c r="T16" s="32">
        <f t="shared" si="0"/>
        <v>0</v>
      </c>
    </row>
    <row r="17" spans="1:20" x14ac:dyDescent="0.25">
      <c r="A17" s="75">
        <v>201</v>
      </c>
      <c r="C17" s="79" t="s">
        <v>149</v>
      </c>
      <c r="D17" s="79" t="s">
        <v>149</v>
      </c>
      <c r="E17" s="79" t="s">
        <v>65</v>
      </c>
      <c r="F17" s="79" t="s">
        <v>65</v>
      </c>
      <c r="H17" s="79" t="s">
        <v>149</v>
      </c>
      <c r="I17" s="79" t="s">
        <v>149</v>
      </c>
      <c r="J17" s="79" t="s">
        <v>149</v>
      </c>
      <c r="K17" s="79" t="s">
        <v>149</v>
      </c>
      <c r="M17" s="79" t="s">
        <v>154</v>
      </c>
      <c r="N17" s="79" t="s">
        <v>154</v>
      </c>
      <c r="O17" s="79" t="s">
        <v>154</v>
      </c>
      <c r="P17" s="77" t="s">
        <v>65</v>
      </c>
      <c r="S17" s="75" t="s">
        <v>182</v>
      </c>
      <c r="T17" s="32">
        <f t="shared" si="0"/>
        <v>3</v>
      </c>
    </row>
    <row r="18" spans="1:20" x14ac:dyDescent="0.25">
      <c r="A18" s="75">
        <v>101</v>
      </c>
      <c r="C18" s="79" t="s">
        <v>149</v>
      </c>
      <c r="D18" s="79" t="s">
        <v>149</v>
      </c>
      <c r="E18" s="79" t="s">
        <v>65</v>
      </c>
      <c r="F18" s="79" t="s">
        <v>65</v>
      </c>
      <c r="H18" s="79" t="s">
        <v>149</v>
      </c>
      <c r="I18" s="79" t="s">
        <v>149</v>
      </c>
      <c r="J18" s="79" t="s">
        <v>149</v>
      </c>
      <c r="K18" s="79" t="s">
        <v>65</v>
      </c>
      <c r="M18" s="77" t="s">
        <v>65</v>
      </c>
      <c r="N18" s="77" t="s">
        <v>65</v>
      </c>
      <c r="O18" s="79" t="s">
        <v>154</v>
      </c>
      <c r="P18" s="77" t="s">
        <v>65</v>
      </c>
      <c r="S18" s="75" t="s">
        <v>183</v>
      </c>
      <c r="T18" s="32">
        <f t="shared" si="0"/>
        <v>5</v>
      </c>
    </row>
    <row r="19" spans="1:20" x14ac:dyDescent="0.25">
      <c r="S19" s="75" t="s">
        <v>184</v>
      </c>
      <c r="T19" s="32">
        <f t="shared" si="0"/>
        <v>3</v>
      </c>
    </row>
    <row r="20" spans="1:20" x14ac:dyDescent="0.25">
      <c r="C20" s="179" t="s">
        <v>260</v>
      </c>
      <c r="D20" s="180"/>
      <c r="E20" s="180"/>
      <c r="F20" s="181"/>
      <c r="H20" s="179" t="s">
        <v>261</v>
      </c>
      <c r="I20" s="180"/>
      <c r="J20" s="180"/>
      <c r="K20" s="181"/>
      <c r="M20" s="179" t="s">
        <v>262</v>
      </c>
      <c r="N20" s="180"/>
      <c r="O20" s="180"/>
      <c r="P20" s="181"/>
      <c r="S20" s="75" t="s">
        <v>185</v>
      </c>
      <c r="T20" s="32">
        <f t="shared" si="0"/>
        <v>0</v>
      </c>
    </row>
    <row r="21" spans="1:20" x14ac:dyDescent="0.25">
      <c r="A21" s="76" t="s">
        <v>145</v>
      </c>
      <c r="C21" s="77" t="s">
        <v>230</v>
      </c>
      <c r="D21" s="77" t="s">
        <v>231</v>
      </c>
      <c r="E21" s="77" t="s">
        <v>232</v>
      </c>
      <c r="F21" s="77" t="s">
        <v>233</v>
      </c>
      <c r="G21" s="76" t="s">
        <v>145</v>
      </c>
      <c r="H21" s="77" t="s">
        <v>230</v>
      </c>
      <c r="I21" s="77" t="s">
        <v>231</v>
      </c>
      <c r="J21" s="77" t="s">
        <v>232</v>
      </c>
      <c r="K21" s="77" t="s">
        <v>233</v>
      </c>
      <c r="L21" s="76" t="s">
        <v>145</v>
      </c>
      <c r="M21" s="77" t="s">
        <v>230</v>
      </c>
      <c r="N21" s="77" t="s">
        <v>231</v>
      </c>
      <c r="O21" s="77" t="s">
        <v>232</v>
      </c>
      <c r="P21" s="77" t="s">
        <v>233</v>
      </c>
      <c r="S21" s="75" t="s">
        <v>186</v>
      </c>
      <c r="T21" s="32">
        <f t="shared" si="0"/>
        <v>2</v>
      </c>
    </row>
    <row r="22" spans="1:20" x14ac:dyDescent="0.25">
      <c r="A22" s="75">
        <v>601</v>
      </c>
      <c r="C22" s="79" t="s">
        <v>65</v>
      </c>
      <c r="D22" s="79" t="s">
        <v>147</v>
      </c>
      <c r="E22" s="79" t="s">
        <v>154</v>
      </c>
      <c r="F22" s="79" t="s">
        <v>154</v>
      </c>
      <c r="G22" s="75">
        <v>601</v>
      </c>
      <c r="H22" s="79" t="s">
        <v>65</v>
      </c>
      <c r="I22" s="79" t="s">
        <v>263</v>
      </c>
      <c r="J22" s="79" t="s">
        <v>65</v>
      </c>
      <c r="K22" s="79" t="s">
        <v>65</v>
      </c>
      <c r="L22" s="75">
        <v>601</v>
      </c>
      <c r="M22" s="79" t="s">
        <v>155</v>
      </c>
      <c r="N22" s="79" t="s">
        <v>186</v>
      </c>
      <c r="O22" s="79" t="s">
        <v>161</v>
      </c>
      <c r="P22" s="79" t="s">
        <v>161</v>
      </c>
      <c r="S22" s="75" t="s">
        <v>150</v>
      </c>
      <c r="T22" s="32">
        <f t="shared" si="0"/>
        <v>4</v>
      </c>
    </row>
    <row r="23" spans="1:20" x14ac:dyDescent="0.25">
      <c r="A23" s="75">
        <v>501</v>
      </c>
      <c r="C23" s="79" t="s">
        <v>65</v>
      </c>
      <c r="D23" s="77" t="s">
        <v>65</v>
      </c>
      <c r="E23" s="79" t="s">
        <v>65</v>
      </c>
      <c r="F23" s="79" t="s">
        <v>65</v>
      </c>
      <c r="G23" s="75">
        <v>501</v>
      </c>
      <c r="H23" s="79" t="s">
        <v>65</v>
      </c>
      <c r="I23" s="79" t="s">
        <v>263</v>
      </c>
      <c r="J23" s="79" t="s">
        <v>263</v>
      </c>
      <c r="K23" s="79" t="s">
        <v>263</v>
      </c>
      <c r="L23" s="75">
        <v>501</v>
      </c>
      <c r="M23" s="79" t="s">
        <v>172</v>
      </c>
      <c r="N23" s="79" t="s">
        <v>155</v>
      </c>
      <c r="O23" s="79" t="s">
        <v>155</v>
      </c>
      <c r="P23" s="79" t="s">
        <v>156</v>
      </c>
      <c r="S23" s="75" t="s">
        <v>187</v>
      </c>
      <c r="T23" s="32">
        <f t="shared" si="0"/>
        <v>0</v>
      </c>
    </row>
    <row r="24" spans="1:20" x14ac:dyDescent="0.25">
      <c r="A24" s="75">
        <v>401</v>
      </c>
      <c r="C24" s="79" t="s">
        <v>147</v>
      </c>
      <c r="D24" s="79" t="s">
        <v>147</v>
      </c>
      <c r="E24" s="79" t="s">
        <v>65</v>
      </c>
      <c r="F24" s="79" t="s">
        <v>147</v>
      </c>
      <c r="G24" s="75">
        <v>401</v>
      </c>
      <c r="H24" s="79" t="s">
        <v>263</v>
      </c>
      <c r="I24" s="79" t="s">
        <v>182</v>
      </c>
      <c r="J24" s="79" t="s">
        <v>263</v>
      </c>
      <c r="K24" s="79" t="s">
        <v>263</v>
      </c>
      <c r="L24" s="75">
        <v>401</v>
      </c>
      <c r="M24" s="79" t="s">
        <v>150</v>
      </c>
      <c r="N24" s="79" t="s">
        <v>186</v>
      </c>
      <c r="O24" s="79" t="s">
        <v>150</v>
      </c>
      <c r="P24" s="79" t="s">
        <v>156</v>
      </c>
      <c r="S24" s="75" t="s">
        <v>190</v>
      </c>
      <c r="T24" s="32">
        <f t="shared" si="0"/>
        <v>0</v>
      </c>
    </row>
    <row r="25" spans="1:20" x14ac:dyDescent="0.25">
      <c r="A25" s="75">
        <v>301</v>
      </c>
      <c r="C25" s="79" t="s">
        <v>65</v>
      </c>
      <c r="D25" s="77" t="s">
        <v>65</v>
      </c>
      <c r="E25" s="79" t="s">
        <v>154</v>
      </c>
      <c r="F25" s="79" t="s">
        <v>65</v>
      </c>
      <c r="G25" s="75">
        <v>301</v>
      </c>
      <c r="H25" s="79" t="s">
        <v>263</v>
      </c>
      <c r="I25" s="79" t="s">
        <v>263</v>
      </c>
      <c r="J25" s="79" t="s">
        <v>263</v>
      </c>
      <c r="K25" s="79" t="s">
        <v>263</v>
      </c>
      <c r="L25" s="75">
        <v>301</v>
      </c>
      <c r="M25" s="79" t="s">
        <v>155</v>
      </c>
      <c r="N25" s="79" t="s">
        <v>155</v>
      </c>
      <c r="O25" s="79" t="s">
        <v>150</v>
      </c>
      <c r="P25" s="79" t="s">
        <v>156</v>
      </c>
      <c r="S25" s="75" t="s">
        <v>191</v>
      </c>
      <c r="T25" s="32">
        <f t="shared" si="0"/>
        <v>0</v>
      </c>
    </row>
    <row r="26" spans="1:20" x14ac:dyDescent="0.25">
      <c r="A26" s="75">
        <v>201</v>
      </c>
      <c r="C26" s="79" t="s">
        <v>147</v>
      </c>
      <c r="D26" s="79" t="s">
        <v>147</v>
      </c>
      <c r="E26" s="79" t="s">
        <v>154</v>
      </c>
      <c r="F26" s="79" t="s">
        <v>147</v>
      </c>
      <c r="G26" s="75">
        <v>201</v>
      </c>
      <c r="H26" s="79" t="s">
        <v>263</v>
      </c>
      <c r="I26" s="79" t="s">
        <v>263</v>
      </c>
      <c r="J26" s="79" t="s">
        <v>263</v>
      </c>
      <c r="K26" s="79" t="s">
        <v>263</v>
      </c>
      <c r="L26" s="75">
        <v>201</v>
      </c>
      <c r="M26" s="79" t="s">
        <v>150</v>
      </c>
      <c r="N26" s="79" t="s">
        <v>161</v>
      </c>
      <c r="O26" s="79" t="s">
        <v>155</v>
      </c>
      <c r="P26" s="79" t="s">
        <v>155</v>
      </c>
      <c r="S26" s="75" t="s">
        <v>192</v>
      </c>
      <c r="T26" s="32">
        <f t="shared" si="0"/>
        <v>0</v>
      </c>
    </row>
    <row r="27" spans="1:20" x14ac:dyDescent="0.25">
      <c r="A27" s="75">
        <v>101</v>
      </c>
      <c r="C27" s="79" t="s">
        <v>147</v>
      </c>
      <c r="D27" s="79" t="s">
        <v>147</v>
      </c>
      <c r="E27" s="79" t="s">
        <v>154</v>
      </c>
      <c r="F27" s="79" t="s">
        <v>154</v>
      </c>
      <c r="G27" s="75">
        <v>101</v>
      </c>
      <c r="H27" s="79" t="s">
        <v>263</v>
      </c>
      <c r="I27" s="79" t="s">
        <v>65</v>
      </c>
      <c r="J27" s="79" t="s">
        <v>263</v>
      </c>
      <c r="K27" s="79" t="s">
        <v>263</v>
      </c>
      <c r="L27" s="75">
        <v>101</v>
      </c>
      <c r="M27" s="79" t="s">
        <v>161</v>
      </c>
      <c r="N27" s="79" t="s">
        <v>172</v>
      </c>
      <c r="O27" s="79" t="s">
        <v>155</v>
      </c>
      <c r="P27" s="79" t="s">
        <v>155</v>
      </c>
      <c r="S27" s="75" t="s">
        <v>193</v>
      </c>
      <c r="T27" s="32">
        <f t="shared" si="0"/>
        <v>0</v>
      </c>
    </row>
    <row r="28" spans="1:20" x14ac:dyDescent="0.25">
      <c r="S28" s="75" t="s">
        <v>65</v>
      </c>
      <c r="T28" s="32">
        <f t="shared" si="0"/>
        <v>59</v>
      </c>
    </row>
  </sheetData>
  <mergeCells count="9">
    <mergeCell ref="H20:K20"/>
    <mergeCell ref="M20:P20"/>
    <mergeCell ref="C1:F1"/>
    <mergeCell ref="H1:K1"/>
    <mergeCell ref="M1:P1"/>
    <mergeCell ref="C11:F11"/>
    <mergeCell ref="H11:K11"/>
    <mergeCell ref="M11:P11"/>
    <mergeCell ref="C20:F20"/>
  </mergeCells>
  <conditionalFormatting sqref="S2:S35 C3:F8 H3:K8 M3:P8 M13:P18 C22:F27 H22:K27 M22:P27 C13:F18 H13:K18">
    <cfRule type="cellIs" dxfId="449" priority="2" operator="equal">
      <formula>$S$27</formula>
    </cfRule>
    <cfRule type="cellIs" dxfId="448" priority="3" operator="equal">
      <formula>$S$26</formula>
    </cfRule>
    <cfRule type="cellIs" dxfId="447" priority="4" operator="equal">
      <formula>$S$25</formula>
    </cfRule>
    <cfRule type="cellIs" dxfId="446" priority="5" operator="equal">
      <formula>$S$24</formula>
    </cfRule>
    <cfRule type="cellIs" dxfId="445" priority="6" operator="equal">
      <formula>$S$23</formula>
    </cfRule>
    <cfRule type="cellIs" dxfId="444" priority="7" operator="equal">
      <formula>$S$22</formula>
    </cfRule>
    <cfRule type="cellIs" dxfId="443" priority="8" operator="equal">
      <formula>$S$21</formula>
    </cfRule>
    <cfRule type="cellIs" dxfId="442" priority="9" operator="equal">
      <formula>$S$20</formula>
    </cfRule>
    <cfRule type="cellIs" dxfId="441" priority="10" operator="equal">
      <formula>$S$19</formula>
    </cfRule>
    <cfRule type="cellIs" dxfId="440" priority="11" operator="equal">
      <formula>$S$18</formula>
    </cfRule>
    <cfRule type="cellIs" dxfId="439" priority="12" operator="equal">
      <formula>$S$17</formula>
    </cfRule>
    <cfRule type="cellIs" dxfId="438" priority="13" operator="equal">
      <formula>$S$16</formula>
    </cfRule>
    <cfRule type="cellIs" dxfId="437" priority="14" operator="equal">
      <formula>$S$15</formula>
    </cfRule>
    <cfRule type="cellIs" dxfId="436" priority="15" operator="equal">
      <formula>$S$14</formula>
    </cfRule>
    <cfRule type="cellIs" dxfId="435" priority="16" operator="equal">
      <formula>$S$13</formula>
    </cfRule>
    <cfRule type="cellIs" dxfId="434" priority="17" operator="equal">
      <formula>$S$12</formula>
    </cfRule>
    <cfRule type="cellIs" dxfId="433" priority="18" operator="equal">
      <formula>$S$11</formula>
    </cfRule>
    <cfRule type="cellIs" dxfId="432" priority="19" operator="equal">
      <formula>$S$10</formula>
    </cfRule>
    <cfRule type="cellIs" dxfId="431" priority="20" operator="equal">
      <formula>$S$8</formula>
    </cfRule>
    <cfRule type="cellIs" dxfId="430" priority="21" operator="equal">
      <formula>$S$7</formula>
    </cfRule>
    <cfRule type="cellIs" dxfId="429" priority="22" operator="equal">
      <formula>$S$6</formula>
    </cfRule>
    <cfRule type="cellIs" dxfId="428" priority="23" operator="equal">
      <formula>$S$5</formula>
    </cfRule>
    <cfRule type="cellIs" dxfId="427" priority="24" operator="equal">
      <formula>$S$4</formula>
    </cfRule>
    <cfRule type="cellIs" dxfId="426" priority="25" operator="equal">
      <formula>$S$2</formula>
    </cfRule>
    <cfRule type="cellIs" dxfId="425" priority="26" operator="equal">
      <formula>$S$3</formula>
    </cfRule>
  </conditionalFormatting>
  <dataValidations count="1">
    <dataValidation type="list" allowBlank="1" showInputMessage="1" showErrorMessage="1" sqref="C25:D25" xr:uid="{84FE3363-9CC0-4999-93E7-610200864B9B}">
      <formula1>$S$2:$S$28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36A8-F05E-4592-B695-26EB5CC5E868}">
  <dimension ref="E1:S36"/>
  <sheetViews>
    <sheetView topLeftCell="C1" workbookViewId="0">
      <selection activeCell="M4" sqref="M4"/>
    </sheetView>
  </sheetViews>
  <sheetFormatPr defaultRowHeight="15" x14ac:dyDescent="0.25"/>
  <cols>
    <col min="5" max="5" width="19.42578125" bestFit="1" customWidth="1"/>
    <col min="7" max="7" width="25.42578125" bestFit="1" customWidth="1"/>
    <col min="18" max="18" width="29.42578125" style="86" customWidth="1"/>
  </cols>
  <sheetData>
    <row r="1" spans="5:19" x14ac:dyDescent="0.25">
      <c r="R1" s="82"/>
    </row>
    <row r="2" spans="5:19" x14ac:dyDescent="0.25">
      <c r="E2" s="87" t="s">
        <v>264</v>
      </c>
      <c r="G2" s="87" t="s">
        <v>265</v>
      </c>
      <c r="R2" s="82" t="s">
        <v>144</v>
      </c>
    </row>
    <row r="3" spans="5:19" x14ac:dyDescent="0.25">
      <c r="E3" s="91" t="s">
        <v>149</v>
      </c>
      <c r="G3" s="91" t="s">
        <v>170</v>
      </c>
      <c r="R3" s="89" t="s">
        <v>152</v>
      </c>
      <c r="S3">
        <v>2</v>
      </c>
    </row>
    <row r="4" spans="5:19" x14ac:dyDescent="0.25">
      <c r="E4" s="88"/>
      <c r="G4" s="88"/>
      <c r="R4" s="96" t="s">
        <v>156</v>
      </c>
      <c r="S4">
        <v>1</v>
      </c>
    </row>
    <row r="5" spans="5:19" x14ac:dyDescent="0.25">
      <c r="E5" s="87" t="s">
        <v>266</v>
      </c>
      <c r="G5" s="87" t="s">
        <v>267</v>
      </c>
      <c r="R5" s="77" t="s">
        <v>158</v>
      </c>
    </row>
    <row r="6" spans="5:19" x14ac:dyDescent="0.25">
      <c r="E6" s="91" t="s">
        <v>149</v>
      </c>
      <c r="G6" s="91" t="s">
        <v>169</v>
      </c>
      <c r="R6" s="94" t="s">
        <v>154</v>
      </c>
      <c r="S6">
        <v>2</v>
      </c>
    </row>
    <row r="7" spans="5:19" x14ac:dyDescent="0.25">
      <c r="E7" s="88"/>
      <c r="G7" s="88"/>
      <c r="R7" s="95" t="s">
        <v>161</v>
      </c>
      <c r="S7">
        <v>1</v>
      </c>
    </row>
    <row r="8" spans="5:19" x14ac:dyDescent="0.25">
      <c r="E8" s="87" t="s">
        <v>268</v>
      </c>
      <c r="G8" s="87" t="s">
        <v>269</v>
      </c>
      <c r="R8" s="77" t="s">
        <v>155</v>
      </c>
    </row>
    <row r="9" spans="5:19" x14ac:dyDescent="0.25">
      <c r="E9" s="91" t="s">
        <v>169</v>
      </c>
      <c r="G9" s="92" t="s">
        <v>171</v>
      </c>
      <c r="R9" s="77" t="s">
        <v>151</v>
      </c>
    </row>
    <row r="10" spans="5:19" x14ac:dyDescent="0.25">
      <c r="E10" s="88"/>
      <c r="G10" s="88"/>
      <c r="R10" s="98" t="s">
        <v>148</v>
      </c>
      <c r="S10">
        <v>1</v>
      </c>
    </row>
    <row r="11" spans="5:19" x14ac:dyDescent="0.25">
      <c r="E11" s="87" t="s">
        <v>270</v>
      </c>
      <c r="G11" s="87" t="s">
        <v>271</v>
      </c>
      <c r="R11" s="92" t="s">
        <v>171</v>
      </c>
      <c r="S11">
        <v>1</v>
      </c>
    </row>
    <row r="12" spans="5:19" x14ac:dyDescent="0.25">
      <c r="E12" s="90" t="s">
        <v>149</v>
      </c>
      <c r="G12" s="93" t="s">
        <v>174</v>
      </c>
      <c r="R12" s="90" t="s">
        <v>149</v>
      </c>
      <c r="S12">
        <v>2</v>
      </c>
    </row>
    <row r="13" spans="5:19" x14ac:dyDescent="0.25">
      <c r="G13" s="88"/>
      <c r="R13" s="85" t="s">
        <v>172</v>
      </c>
    </row>
    <row r="14" spans="5:19" x14ac:dyDescent="0.25">
      <c r="G14" s="87" t="s">
        <v>272</v>
      </c>
      <c r="R14" s="85" t="s">
        <v>173</v>
      </c>
    </row>
    <row r="15" spans="5:19" x14ac:dyDescent="0.25">
      <c r="G15" s="91" t="s">
        <v>273</v>
      </c>
      <c r="R15" s="97" t="s">
        <v>147</v>
      </c>
      <c r="S15">
        <v>1</v>
      </c>
    </row>
    <row r="16" spans="5:19" x14ac:dyDescent="0.25">
      <c r="G16" s="88"/>
      <c r="R16" s="93" t="s">
        <v>174</v>
      </c>
      <c r="S16">
        <v>1</v>
      </c>
    </row>
    <row r="17" spans="7:19" x14ac:dyDescent="0.25">
      <c r="G17" s="87" t="s">
        <v>274</v>
      </c>
      <c r="R17" s="85" t="s">
        <v>181</v>
      </c>
    </row>
    <row r="18" spans="7:19" x14ac:dyDescent="0.25">
      <c r="G18" s="94" t="s">
        <v>154</v>
      </c>
      <c r="R18" s="85" t="s">
        <v>182</v>
      </c>
    </row>
    <row r="19" spans="7:19" x14ac:dyDescent="0.25">
      <c r="G19" s="88"/>
      <c r="R19" s="85" t="s">
        <v>183</v>
      </c>
    </row>
    <row r="20" spans="7:19" x14ac:dyDescent="0.25">
      <c r="G20" s="87" t="s">
        <v>275</v>
      </c>
      <c r="R20" s="99" t="s">
        <v>184</v>
      </c>
      <c r="S20">
        <v>1</v>
      </c>
    </row>
    <row r="21" spans="7:19" x14ac:dyDescent="0.25">
      <c r="G21" s="95" t="s">
        <v>161</v>
      </c>
      <c r="R21" s="85" t="s">
        <v>185</v>
      </c>
    </row>
    <row r="22" spans="7:19" x14ac:dyDescent="0.25">
      <c r="G22" s="88"/>
      <c r="R22" s="85" t="s">
        <v>186</v>
      </c>
    </row>
    <row r="23" spans="7:19" x14ac:dyDescent="0.25">
      <c r="G23" s="87" t="s">
        <v>276</v>
      </c>
      <c r="R23" s="85" t="s">
        <v>150</v>
      </c>
    </row>
    <row r="24" spans="7:19" x14ac:dyDescent="0.25">
      <c r="G24" s="96" t="s">
        <v>156</v>
      </c>
      <c r="R24" s="85" t="s">
        <v>187</v>
      </c>
    </row>
    <row r="25" spans="7:19" x14ac:dyDescent="0.25">
      <c r="G25" s="88"/>
      <c r="R25" s="85" t="s">
        <v>190</v>
      </c>
    </row>
    <row r="26" spans="7:19" x14ac:dyDescent="0.25">
      <c r="G26" s="87" t="s">
        <v>277</v>
      </c>
      <c r="R26" s="85" t="s">
        <v>191</v>
      </c>
    </row>
    <row r="27" spans="7:19" x14ac:dyDescent="0.25">
      <c r="G27" s="97" t="s">
        <v>147</v>
      </c>
      <c r="R27" s="85" t="s">
        <v>192</v>
      </c>
    </row>
    <row r="28" spans="7:19" x14ac:dyDescent="0.25">
      <c r="G28" s="88"/>
      <c r="R28" s="85" t="s">
        <v>193</v>
      </c>
    </row>
    <row r="29" spans="7:19" x14ac:dyDescent="0.25">
      <c r="G29" s="87" t="s">
        <v>278</v>
      </c>
      <c r="R29" s="91" t="s">
        <v>273</v>
      </c>
      <c r="S29">
        <v>3</v>
      </c>
    </row>
    <row r="30" spans="7:19" x14ac:dyDescent="0.25">
      <c r="G30" s="98" t="s">
        <v>148</v>
      </c>
    </row>
    <row r="31" spans="7:19" x14ac:dyDescent="0.25">
      <c r="G31" s="88"/>
    </row>
    <row r="32" spans="7:19" x14ac:dyDescent="0.25">
      <c r="G32" s="87" t="s">
        <v>278</v>
      </c>
    </row>
    <row r="33" spans="7:7" x14ac:dyDescent="0.25">
      <c r="G33" s="99" t="s">
        <v>184</v>
      </c>
    </row>
    <row r="34" spans="7:7" x14ac:dyDescent="0.25">
      <c r="G34" s="88"/>
    </row>
    <row r="35" spans="7:7" x14ac:dyDescent="0.25">
      <c r="G35" s="87" t="s">
        <v>279</v>
      </c>
    </row>
    <row r="36" spans="7:7" x14ac:dyDescent="0.25">
      <c r="G36" s="94" t="s">
        <v>154</v>
      </c>
    </row>
  </sheetData>
  <conditionalFormatting sqref="E12">
    <cfRule type="cellIs" dxfId="424" priority="426" operator="equal">
      <formula>$S$27</formula>
    </cfRule>
    <cfRule type="cellIs" dxfId="423" priority="427" operator="equal">
      <formula>$S$26</formula>
    </cfRule>
    <cfRule type="cellIs" dxfId="422" priority="428" operator="equal">
      <formula>$S$25</formula>
    </cfRule>
    <cfRule type="cellIs" dxfId="421" priority="429" operator="equal">
      <formula>$S$24</formula>
    </cfRule>
    <cfRule type="cellIs" dxfId="420" priority="430" operator="equal">
      <formula>$S$23</formula>
    </cfRule>
    <cfRule type="cellIs" dxfId="419" priority="431" operator="equal">
      <formula>$S$22</formula>
    </cfRule>
    <cfRule type="cellIs" dxfId="418" priority="432" operator="equal">
      <formula>$S$21</formula>
    </cfRule>
    <cfRule type="cellIs" dxfId="417" priority="433" operator="equal">
      <formula>$S$20</formula>
    </cfRule>
    <cfRule type="cellIs" dxfId="416" priority="434" operator="equal">
      <formula>$S$19</formula>
    </cfRule>
    <cfRule type="cellIs" dxfId="415" priority="435" operator="equal">
      <formula>$S$18</formula>
    </cfRule>
    <cfRule type="cellIs" dxfId="414" priority="436" operator="equal">
      <formula>$S$17</formula>
    </cfRule>
    <cfRule type="cellIs" dxfId="413" priority="437" operator="equal">
      <formula>$S$16</formula>
    </cfRule>
    <cfRule type="cellIs" dxfId="412" priority="438" operator="equal">
      <formula>$S$15</formula>
    </cfRule>
    <cfRule type="cellIs" dxfId="411" priority="439" operator="equal">
      <formula>$S$14</formula>
    </cfRule>
    <cfRule type="cellIs" dxfId="410" priority="440" operator="equal">
      <formula>$S$13</formula>
    </cfRule>
    <cfRule type="cellIs" dxfId="409" priority="441" operator="equal">
      <formula>$S$12</formula>
    </cfRule>
    <cfRule type="cellIs" dxfId="408" priority="442" operator="equal">
      <formula>$S$11</formula>
    </cfRule>
    <cfRule type="cellIs" dxfId="407" priority="443" operator="equal">
      <formula>$S$10</formula>
    </cfRule>
    <cfRule type="cellIs" dxfId="406" priority="444" operator="equal">
      <formula>$S$8</formula>
    </cfRule>
    <cfRule type="cellIs" dxfId="405" priority="445" operator="equal">
      <formula>$S$7</formula>
    </cfRule>
    <cfRule type="cellIs" dxfId="404" priority="446" operator="equal">
      <formula>$S$6</formula>
    </cfRule>
    <cfRule type="cellIs" dxfId="403" priority="447" operator="equal">
      <formula>$S$5</formula>
    </cfRule>
    <cfRule type="cellIs" dxfId="402" priority="448" operator="equal">
      <formula>$S$4</formula>
    </cfRule>
    <cfRule type="cellIs" dxfId="401" priority="449" operator="equal">
      <formula>$S$2</formula>
    </cfRule>
    <cfRule type="cellIs" dxfId="400" priority="450" operator="equal">
      <formula>$S$3</formula>
    </cfRule>
  </conditionalFormatting>
  <conditionalFormatting sqref="G3">
    <cfRule type="cellIs" dxfId="399" priority="376" operator="equal">
      <formula>$S$27</formula>
    </cfRule>
    <cfRule type="cellIs" dxfId="398" priority="377" operator="equal">
      <formula>$S$26</formula>
    </cfRule>
    <cfRule type="cellIs" dxfId="397" priority="378" operator="equal">
      <formula>$S$25</formula>
    </cfRule>
    <cfRule type="cellIs" dxfId="396" priority="379" operator="equal">
      <formula>$S$24</formula>
    </cfRule>
    <cfRule type="cellIs" dxfId="395" priority="380" operator="equal">
      <formula>$S$23</formula>
    </cfRule>
    <cfRule type="cellIs" dxfId="394" priority="381" operator="equal">
      <formula>$S$22</formula>
    </cfRule>
    <cfRule type="cellIs" dxfId="393" priority="382" operator="equal">
      <formula>$S$21</formula>
    </cfRule>
    <cfRule type="cellIs" dxfId="392" priority="383" operator="equal">
      <formula>$S$20</formula>
    </cfRule>
    <cfRule type="cellIs" dxfId="391" priority="384" operator="equal">
      <formula>$S$19</formula>
    </cfRule>
    <cfRule type="cellIs" dxfId="390" priority="385" operator="equal">
      <formula>$S$18</formula>
    </cfRule>
    <cfRule type="cellIs" dxfId="389" priority="386" operator="equal">
      <formula>$S$17</formula>
    </cfRule>
    <cfRule type="cellIs" dxfId="388" priority="387" operator="equal">
      <formula>$S$16</formula>
    </cfRule>
    <cfRule type="cellIs" dxfId="387" priority="388" operator="equal">
      <formula>$S$15</formula>
    </cfRule>
    <cfRule type="cellIs" dxfId="386" priority="389" operator="equal">
      <formula>$S$14</formula>
    </cfRule>
    <cfRule type="cellIs" dxfId="385" priority="390" operator="equal">
      <formula>$S$13</formula>
    </cfRule>
    <cfRule type="cellIs" dxfId="384" priority="391" operator="equal">
      <formula>$S$12</formula>
    </cfRule>
    <cfRule type="cellIs" dxfId="383" priority="392" operator="equal">
      <formula>$S$11</formula>
    </cfRule>
    <cfRule type="cellIs" dxfId="382" priority="393" operator="equal">
      <formula>$S$10</formula>
    </cfRule>
    <cfRule type="cellIs" dxfId="381" priority="394" operator="equal">
      <formula>$S$8</formula>
    </cfRule>
    <cfRule type="cellIs" dxfId="380" priority="395" operator="equal">
      <formula>$S$7</formula>
    </cfRule>
    <cfRule type="cellIs" dxfId="379" priority="396" operator="equal">
      <formula>$S$6</formula>
    </cfRule>
    <cfRule type="cellIs" dxfId="378" priority="397" operator="equal">
      <formula>$S$5</formula>
    </cfRule>
    <cfRule type="cellIs" dxfId="377" priority="398" operator="equal">
      <formula>$S$4</formula>
    </cfRule>
    <cfRule type="cellIs" dxfId="376" priority="399" operator="equal">
      <formula>$S$2</formula>
    </cfRule>
    <cfRule type="cellIs" dxfId="375" priority="400" operator="equal">
      <formula>$S$3</formula>
    </cfRule>
  </conditionalFormatting>
  <conditionalFormatting sqref="G9">
    <cfRule type="cellIs" dxfId="374" priority="326" operator="equal">
      <formula>$S$27</formula>
    </cfRule>
    <cfRule type="cellIs" dxfId="373" priority="327" operator="equal">
      <formula>$S$26</formula>
    </cfRule>
    <cfRule type="cellIs" dxfId="372" priority="328" operator="equal">
      <formula>$S$25</formula>
    </cfRule>
    <cfRule type="cellIs" dxfId="371" priority="329" operator="equal">
      <formula>$S$24</formula>
    </cfRule>
    <cfRule type="cellIs" dxfId="370" priority="330" operator="equal">
      <formula>$S$23</formula>
    </cfRule>
    <cfRule type="cellIs" dxfId="369" priority="331" operator="equal">
      <formula>$S$22</formula>
    </cfRule>
    <cfRule type="cellIs" dxfId="368" priority="332" operator="equal">
      <formula>$S$21</formula>
    </cfRule>
    <cfRule type="cellIs" dxfId="367" priority="333" operator="equal">
      <formula>$S$20</formula>
    </cfRule>
    <cfRule type="cellIs" dxfId="366" priority="334" operator="equal">
      <formula>$S$19</formula>
    </cfRule>
    <cfRule type="cellIs" dxfId="365" priority="335" operator="equal">
      <formula>$S$18</formula>
    </cfRule>
    <cfRule type="cellIs" dxfId="364" priority="336" operator="equal">
      <formula>$S$17</formula>
    </cfRule>
    <cfRule type="cellIs" dxfId="363" priority="337" operator="equal">
      <formula>$S$16</formula>
    </cfRule>
    <cfRule type="cellIs" dxfId="362" priority="338" operator="equal">
      <formula>$S$15</formula>
    </cfRule>
    <cfRule type="cellIs" dxfId="361" priority="339" operator="equal">
      <formula>$S$14</formula>
    </cfRule>
    <cfRule type="cellIs" dxfId="360" priority="340" operator="equal">
      <formula>$S$13</formula>
    </cfRule>
    <cfRule type="cellIs" dxfId="359" priority="341" operator="equal">
      <formula>$S$12</formula>
    </cfRule>
    <cfRule type="cellIs" dxfId="358" priority="342" operator="equal">
      <formula>$S$11</formula>
    </cfRule>
    <cfRule type="cellIs" dxfId="357" priority="343" operator="equal">
      <formula>$S$10</formula>
    </cfRule>
    <cfRule type="cellIs" dxfId="356" priority="344" operator="equal">
      <formula>$S$8</formula>
    </cfRule>
    <cfRule type="cellIs" dxfId="355" priority="345" operator="equal">
      <formula>$S$7</formula>
    </cfRule>
    <cfRule type="cellIs" dxfId="354" priority="346" operator="equal">
      <formula>$S$6</formula>
    </cfRule>
    <cfRule type="cellIs" dxfId="353" priority="347" operator="equal">
      <formula>$S$5</formula>
    </cfRule>
    <cfRule type="cellIs" dxfId="352" priority="348" operator="equal">
      <formula>$S$4</formula>
    </cfRule>
    <cfRule type="cellIs" dxfId="351" priority="349" operator="equal">
      <formula>$S$2</formula>
    </cfRule>
    <cfRule type="cellIs" dxfId="350" priority="350" operator="equal">
      <formula>$S$3</formula>
    </cfRule>
  </conditionalFormatting>
  <conditionalFormatting sqref="G12">
    <cfRule type="cellIs" dxfId="349" priority="301" operator="equal">
      <formula>$S$27</formula>
    </cfRule>
    <cfRule type="cellIs" dxfId="348" priority="302" operator="equal">
      <formula>$S$26</formula>
    </cfRule>
    <cfRule type="cellIs" dxfId="347" priority="303" operator="equal">
      <formula>$S$25</formula>
    </cfRule>
    <cfRule type="cellIs" dxfId="346" priority="304" operator="equal">
      <formula>$S$24</formula>
    </cfRule>
    <cfRule type="cellIs" dxfId="345" priority="305" operator="equal">
      <formula>$S$23</formula>
    </cfRule>
    <cfRule type="cellIs" dxfId="344" priority="306" operator="equal">
      <formula>$S$22</formula>
    </cfRule>
    <cfRule type="cellIs" dxfId="343" priority="307" operator="equal">
      <formula>$S$21</formula>
    </cfRule>
    <cfRule type="cellIs" dxfId="342" priority="308" operator="equal">
      <formula>$S$20</formula>
    </cfRule>
    <cfRule type="cellIs" dxfId="341" priority="309" operator="equal">
      <formula>$S$19</formula>
    </cfRule>
    <cfRule type="cellIs" dxfId="340" priority="310" operator="equal">
      <formula>$S$18</formula>
    </cfRule>
    <cfRule type="cellIs" dxfId="339" priority="311" operator="equal">
      <formula>$S$17</formula>
    </cfRule>
    <cfRule type="cellIs" dxfId="338" priority="312" operator="equal">
      <formula>$S$16</formula>
    </cfRule>
    <cfRule type="cellIs" dxfId="337" priority="313" operator="equal">
      <formula>$S$15</formula>
    </cfRule>
    <cfRule type="cellIs" dxfId="336" priority="314" operator="equal">
      <formula>$S$14</formula>
    </cfRule>
    <cfRule type="cellIs" dxfId="335" priority="315" operator="equal">
      <formula>$S$13</formula>
    </cfRule>
    <cfRule type="cellIs" dxfId="334" priority="316" operator="equal">
      <formula>$S$12</formula>
    </cfRule>
    <cfRule type="cellIs" dxfId="333" priority="317" operator="equal">
      <formula>$S$11</formula>
    </cfRule>
    <cfRule type="cellIs" dxfId="332" priority="318" operator="equal">
      <formula>$S$10</formula>
    </cfRule>
    <cfRule type="cellIs" dxfId="331" priority="319" operator="equal">
      <formula>$S$8</formula>
    </cfRule>
    <cfRule type="cellIs" dxfId="330" priority="320" operator="equal">
      <formula>$S$7</formula>
    </cfRule>
    <cfRule type="cellIs" dxfId="329" priority="321" operator="equal">
      <formula>$S$6</formula>
    </cfRule>
    <cfRule type="cellIs" dxfId="328" priority="322" operator="equal">
      <formula>$S$5</formula>
    </cfRule>
    <cfRule type="cellIs" dxfId="327" priority="323" operator="equal">
      <formula>$S$4</formula>
    </cfRule>
    <cfRule type="cellIs" dxfId="326" priority="324" operator="equal">
      <formula>$S$2</formula>
    </cfRule>
    <cfRule type="cellIs" dxfId="325" priority="325" operator="equal">
      <formula>$S$3</formula>
    </cfRule>
  </conditionalFormatting>
  <conditionalFormatting sqref="G15">
    <cfRule type="cellIs" dxfId="324" priority="276" operator="equal">
      <formula>$S$27</formula>
    </cfRule>
    <cfRule type="cellIs" dxfId="323" priority="277" operator="equal">
      <formula>$S$26</formula>
    </cfRule>
    <cfRule type="cellIs" dxfId="322" priority="278" operator="equal">
      <formula>$S$25</formula>
    </cfRule>
    <cfRule type="cellIs" dxfId="321" priority="279" operator="equal">
      <formula>$S$24</formula>
    </cfRule>
    <cfRule type="cellIs" dxfId="320" priority="280" operator="equal">
      <formula>$S$23</formula>
    </cfRule>
    <cfRule type="cellIs" dxfId="319" priority="281" operator="equal">
      <formula>$S$22</formula>
    </cfRule>
    <cfRule type="cellIs" dxfId="318" priority="282" operator="equal">
      <formula>$S$21</formula>
    </cfRule>
    <cfRule type="cellIs" dxfId="317" priority="283" operator="equal">
      <formula>$S$20</formula>
    </cfRule>
    <cfRule type="cellIs" dxfId="316" priority="284" operator="equal">
      <formula>$S$19</formula>
    </cfRule>
    <cfRule type="cellIs" dxfId="315" priority="285" operator="equal">
      <formula>$S$18</formula>
    </cfRule>
    <cfRule type="cellIs" dxfId="314" priority="286" operator="equal">
      <formula>$S$17</formula>
    </cfRule>
    <cfRule type="cellIs" dxfId="313" priority="287" operator="equal">
      <formula>$S$16</formula>
    </cfRule>
    <cfRule type="cellIs" dxfId="312" priority="288" operator="equal">
      <formula>$S$15</formula>
    </cfRule>
    <cfRule type="cellIs" dxfId="311" priority="289" operator="equal">
      <formula>$S$14</formula>
    </cfRule>
    <cfRule type="cellIs" dxfId="310" priority="290" operator="equal">
      <formula>$S$13</formula>
    </cfRule>
    <cfRule type="cellIs" dxfId="309" priority="291" operator="equal">
      <formula>$S$12</formula>
    </cfRule>
    <cfRule type="cellIs" dxfId="308" priority="292" operator="equal">
      <formula>$S$11</formula>
    </cfRule>
    <cfRule type="cellIs" dxfId="307" priority="293" operator="equal">
      <formula>$S$10</formula>
    </cfRule>
    <cfRule type="cellIs" dxfId="306" priority="294" operator="equal">
      <formula>$S$8</formula>
    </cfRule>
    <cfRule type="cellIs" dxfId="305" priority="295" operator="equal">
      <formula>$S$7</formula>
    </cfRule>
    <cfRule type="cellIs" dxfId="304" priority="296" operator="equal">
      <formula>$S$6</formula>
    </cfRule>
    <cfRule type="cellIs" dxfId="303" priority="297" operator="equal">
      <formula>$S$5</formula>
    </cfRule>
    <cfRule type="cellIs" dxfId="302" priority="298" operator="equal">
      <formula>$S$4</formula>
    </cfRule>
    <cfRule type="cellIs" dxfId="301" priority="299" operator="equal">
      <formula>$S$2</formula>
    </cfRule>
    <cfRule type="cellIs" dxfId="300" priority="300" operator="equal">
      <formula>$S$3</formula>
    </cfRule>
  </conditionalFormatting>
  <conditionalFormatting sqref="G18">
    <cfRule type="cellIs" dxfId="299" priority="251" operator="equal">
      <formula>$S$27</formula>
    </cfRule>
    <cfRule type="cellIs" dxfId="298" priority="252" operator="equal">
      <formula>$S$26</formula>
    </cfRule>
    <cfRule type="cellIs" dxfId="297" priority="253" operator="equal">
      <formula>$S$25</formula>
    </cfRule>
    <cfRule type="cellIs" dxfId="296" priority="254" operator="equal">
      <formula>$S$24</formula>
    </cfRule>
    <cfRule type="cellIs" dxfId="295" priority="255" operator="equal">
      <formula>$S$23</formula>
    </cfRule>
    <cfRule type="cellIs" dxfId="294" priority="256" operator="equal">
      <formula>$S$22</formula>
    </cfRule>
    <cfRule type="cellIs" dxfId="293" priority="257" operator="equal">
      <formula>$S$21</formula>
    </cfRule>
    <cfRule type="cellIs" dxfId="292" priority="258" operator="equal">
      <formula>$S$20</formula>
    </cfRule>
    <cfRule type="cellIs" dxfId="291" priority="259" operator="equal">
      <formula>$S$19</formula>
    </cfRule>
    <cfRule type="cellIs" dxfId="290" priority="260" operator="equal">
      <formula>$S$18</formula>
    </cfRule>
    <cfRule type="cellIs" dxfId="289" priority="261" operator="equal">
      <formula>$S$17</formula>
    </cfRule>
    <cfRule type="cellIs" dxfId="288" priority="262" operator="equal">
      <formula>$S$16</formula>
    </cfRule>
    <cfRule type="cellIs" dxfId="287" priority="263" operator="equal">
      <formula>$S$15</formula>
    </cfRule>
    <cfRule type="cellIs" dxfId="286" priority="264" operator="equal">
      <formula>$S$14</formula>
    </cfRule>
    <cfRule type="cellIs" dxfId="285" priority="265" operator="equal">
      <formula>$S$13</formula>
    </cfRule>
    <cfRule type="cellIs" dxfId="284" priority="266" operator="equal">
      <formula>$S$12</formula>
    </cfRule>
    <cfRule type="cellIs" dxfId="283" priority="267" operator="equal">
      <formula>$S$11</formula>
    </cfRule>
    <cfRule type="cellIs" dxfId="282" priority="268" operator="equal">
      <formula>$S$10</formula>
    </cfRule>
    <cfRule type="cellIs" dxfId="281" priority="269" operator="equal">
      <formula>$S$8</formula>
    </cfRule>
    <cfRule type="cellIs" dxfId="280" priority="270" operator="equal">
      <formula>$S$7</formula>
    </cfRule>
    <cfRule type="cellIs" dxfId="279" priority="271" operator="equal">
      <formula>$S$6</formula>
    </cfRule>
    <cfRule type="cellIs" dxfId="278" priority="272" operator="equal">
      <formula>$S$5</formula>
    </cfRule>
    <cfRule type="cellIs" dxfId="277" priority="273" operator="equal">
      <formula>$S$4</formula>
    </cfRule>
    <cfRule type="cellIs" dxfId="276" priority="274" operator="equal">
      <formula>$S$2</formula>
    </cfRule>
    <cfRule type="cellIs" dxfId="275" priority="275" operator="equal">
      <formula>$S$3</formula>
    </cfRule>
  </conditionalFormatting>
  <conditionalFormatting sqref="G21">
    <cfRule type="cellIs" dxfId="274" priority="201" operator="equal">
      <formula>$S$27</formula>
    </cfRule>
    <cfRule type="cellIs" dxfId="273" priority="202" operator="equal">
      <formula>$S$26</formula>
    </cfRule>
    <cfRule type="cellIs" dxfId="272" priority="203" operator="equal">
      <formula>$S$25</formula>
    </cfRule>
    <cfRule type="cellIs" dxfId="271" priority="204" operator="equal">
      <formula>$S$24</formula>
    </cfRule>
    <cfRule type="cellIs" dxfId="270" priority="205" operator="equal">
      <formula>$S$23</formula>
    </cfRule>
    <cfRule type="cellIs" dxfId="269" priority="206" operator="equal">
      <formula>$S$22</formula>
    </cfRule>
    <cfRule type="cellIs" dxfId="268" priority="207" operator="equal">
      <formula>$S$21</formula>
    </cfRule>
    <cfRule type="cellIs" dxfId="267" priority="208" operator="equal">
      <formula>$S$20</formula>
    </cfRule>
    <cfRule type="cellIs" dxfId="266" priority="209" operator="equal">
      <formula>$S$19</formula>
    </cfRule>
    <cfRule type="cellIs" dxfId="265" priority="210" operator="equal">
      <formula>$S$18</formula>
    </cfRule>
    <cfRule type="cellIs" dxfId="264" priority="211" operator="equal">
      <formula>$S$17</formula>
    </cfRule>
    <cfRule type="cellIs" dxfId="263" priority="212" operator="equal">
      <formula>$S$16</formula>
    </cfRule>
    <cfRule type="cellIs" dxfId="262" priority="213" operator="equal">
      <formula>$S$15</formula>
    </cfRule>
    <cfRule type="cellIs" dxfId="261" priority="214" operator="equal">
      <formula>$S$14</formula>
    </cfRule>
    <cfRule type="cellIs" dxfId="260" priority="215" operator="equal">
      <formula>$S$13</formula>
    </cfRule>
    <cfRule type="cellIs" dxfId="259" priority="216" operator="equal">
      <formula>$S$12</formula>
    </cfRule>
    <cfRule type="cellIs" dxfId="258" priority="217" operator="equal">
      <formula>$S$11</formula>
    </cfRule>
    <cfRule type="cellIs" dxfId="257" priority="218" operator="equal">
      <formula>$S$10</formula>
    </cfRule>
    <cfRule type="cellIs" dxfId="256" priority="219" operator="equal">
      <formula>$S$8</formula>
    </cfRule>
    <cfRule type="cellIs" dxfId="255" priority="220" operator="equal">
      <formula>$S$7</formula>
    </cfRule>
    <cfRule type="cellIs" dxfId="254" priority="221" operator="equal">
      <formula>$S$6</formula>
    </cfRule>
    <cfRule type="cellIs" dxfId="253" priority="222" operator="equal">
      <formula>$S$5</formula>
    </cfRule>
    <cfRule type="cellIs" dxfId="252" priority="223" operator="equal">
      <formula>$S$4</formula>
    </cfRule>
    <cfRule type="cellIs" dxfId="251" priority="224" operator="equal">
      <formula>$S$2</formula>
    </cfRule>
    <cfRule type="cellIs" dxfId="250" priority="225" operator="equal">
      <formula>$S$3</formula>
    </cfRule>
  </conditionalFormatting>
  <conditionalFormatting sqref="G24">
    <cfRule type="cellIs" dxfId="249" priority="176" operator="equal">
      <formula>$S$27</formula>
    </cfRule>
    <cfRule type="cellIs" dxfId="248" priority="177" operator="equal">
      <formula>$S$26</formula>
    </cfRule>
    <cfRule type="cellIs" dxfId="247" priority="178" operator="equal">
      <formula>$S$25</formula>
    </cfRule>
    <cfRule type="cellIs" dxfId="246" priority="179" operator="equal">
      <formula>$S$24</formula>
    </cfRule>
    <cfRule type="cellIs" dxfId="245" priority="180" operator="equal">
      <formula>$S$23</formula>
    </cfRule>
    <cfRule type="cellIs" dxfId="244" priority="181" operator="equal">
      <formula>$S$22</formula>
    </cfRule>
    <cfRule type="cellIs" dxfId="243" priority="182" operator="equal">
      <formula>$S$21</formula>
    </cfRule>
    <cfRule type="cellIs" dxfId="242" priority="183" operator="equal">
      <formula>$S$20</formula>
    </cfRule>
    <cfRule type="cellIs" dxfId="241" priority="184" operator="equal">
      <formula>$S$19</formula>
    </cfRule>
    <cfRule type="cellIs" dxfId="240" priority="185" operator="equal">
      <formula>$S$18</formula>
    </cfRule>
    <cfRule type="cellIs" dxfId="239" priority="186" operator="equal">
      <formula>$S$17</formula>
    </cfRule>
    <cfRule type="cellIs" dxfId="238" priority="187" operator="equal">
      <formula>$S$16</formula>
    </cfRule>
    <cfRule type="cellIs" dxfId="237" priority="188" operator="equal">
      <formula>$S$15</formula>
    </cfRule>
    <cfRule type="cellIs" dxfId="236" priority="189" operator="equal">
      <formula>$S$14</formula>
    </cfRule>
    <cfRule type="cellIs" dxfId="235" priority="190" operator="equal">
      <formula>$S$13</formula>
    </cfRule>
    <cfRule type="cellIs" dxfId="234" priority="191" operator="equal">
      <formula>$S$12</formula>
    </cfRule>
    <cfRule type="cellIs" dxfId="233" priority="192" operator="equal">
      <formula>$S$11</formula>
    </cfRule>
    <cfRule type="cellIs" dxfId="232" priority="193" operator="equal">
      <formula>$S$10</formula>
    </cfRule>
    <cfRule type="cellIs" dxfId="231" priority="194" operator="equal">
      <formula>$S$8</formula>
    </cfRule>
    <cfRule type="cellIs" dxfId="230" priority="195" operator="equal">
      <formula>$S$7</formula>
    </cfRule>
    <cfRule type="cellIs" dxfId="229" priority="196" operator="equal">
      <formula>$S$6</formula>
    </cfRule>
    <cfRule type="cellIs" dxfId="228" priority="197" operator="equal">
      <formula>$S$5</formula>
    </cfRule>
    <cfRule type="cellIs" dxfId="227" priority="198" operator="equal">
      <formula>$S$4</formula>
    </cfRule>
    <cfRule type="cellIs" dxfId="226" priority="199" operator="equal">
      <formula>$S$2</formula>
    </cfRule>
    <cfRule type="cellIs" dxfId="225" priority="200" operator="equal">
      <formula>$S$3</formula>
    </cfRule>
  </conditionalFormatting>
  <conditionalFormatting sqref="G27">
    <cfRule type="cellIs" dxfId="224" priority="151" operator="equal">
      <formula>$S$27</formula>
    </cfRule>
    <cfRule type="cellIs" dxfId="223" priority="152" operator="equal">
      <formula>$S$26</formula>
    </cfRule>
    <cfRule type="cellIs" dxfId="222" priority="153" operator="equal">
      <formula>$S$25</formula>
    </cfRule>
    <cfRule type="cellIs" dxfId="221" priority="154" operator="equal">
      <formula>$S$24</formula>
    </cfRule>
    <cfRule type="cellIs" dxfId="220" priority="155" operator="equal">
      <formula>$S$23</formula>
    </cfRule>
    <cfRule type="cellIs" dxfId="219" priority="156" operator="equal">
      <formula>$S$22</formula>
    </cfRule>
    <cfRule type="cellIs" dxfId="218" priority="157" operator="equal">
      <formula>$S$21</formula>
    </cfRule>
    <cfRule type="cellIs" dxfId="217" priority="158" operator="equal">
      <formula>$S$20</formula>
    </cfRule>
    <cfRule type="cellIs" dxfId="216" priority="159" operator="equal">
      <formula>$S$19</formula>
    </cfRule>
    <cfRule type="cellIs" dxfId="215" priority="160" operator="equal">
      <formula>$S$18</formula>
    </cfRule>
    <cfRule type="cellIs" dxfId="214" priority="161" operator="equal">
      <formula>$S$17</formula>
    </cfRule>
    <cfRule type="cellIs" dxfId="213" priority="162" operator="equal">
      <formula>$S$16</formula>
    </cfRule>
    <cfRule type="cellIs" dxfId="212" priority="163" operator="equal">
      <formula>$S$15</formula>
    </cfRule>
    <cfRule type="cellIs" dxfId="211" priority="164" operator="equal">
      <formula>$S$14</formula>
    </cfRule>
    <cfRule type="cellIs" dxfId="210" priority="165" operator="equal">
      <formula>$S$13</formula>
    </cfRule>
    <cfRule type="cellIs" dxfId="209" priority="166" operator="equal">
      <formula>$S$12</formula>
    </cfRule>
    <cfRule type="cellIs" dxfId="208" priority="167" operator="equal">
      <formula>$S$11</formula>
    </cfRule>
    <cfRule type="cellIs" dxfId="207" priority="168" operator="equal">
      <formula>$S$10</formula>
    </cfRule>
    <cfRule type="cellIs" dxfId="206" priority="169" operator="equal">
      <formula>$S$8</formula>
    </cfRule>
    <cfRule type="cellIs" dxfId="205" priority="170" operator="equal">
      <formula>$S$7</formula>
    </cfRule>
    <cfRule type="cellIs" dxfId="204" priority="171" operator="equal">
      <formula>$S$6</formula>
    </cfRule>
    <cfRule type="cellIs" dxfId="203" priority="172" operator="equal">
      <formula>$S$5</formula>
    </cfRule>
    <cfRule type="cellIs" dxfId="202" priority="173" operator="equal">
      <formula>$S$4</formula>
    </cfRule>
    <cfRule type="cellIs" dxfId="201" priority="174" operator="equal">
      <formula>$S$2</formula>
    </cfRule>
    <cfRule type="cellIs" dxfId="200" priority="175" operator="equal">
      <formula>$S$3</formula>
    </cfRule>
  </conditionalFormatting>
  <conditionalFormatting sqref="G30">
    <cfRule type="cellIs" dxfId="199" priority="126" operator="equal">
      <formula>$S$27</formula>
    </cfRule>
    <cfRule type="cellIs" dxfId="198" priority="127" operator="equal">
      <formula>$S$26</formula>
    </cfRule>
    <cfRule type="cellIs" dxfId="197" priority="128" operator="equal">
      <formula>$S$25</formula>
    </cfRule>
    <cfRule type="cellIs" dxfId="196" priority="129" operator="equal">
      <formula>$S$24</formula>
    </cfRule>
    <cfRule type="cellIs" dxfId="195" priority="130" operator="equal">
      <formula>$S$23</formula>
    </cfRule>
    <cfRule type="cellIs" dxfId="194" priority="131" operator="equal">
      <formula>$S$22</formula>
    </cfRule>
    <cfRule type="cellIs" dxfId="193" priority="132" operator="equal">
      <formula>$S$21</formula>
    </cfRule>
    <cfRule type="cellIs" dxfId="192" priority="133" operator="equal">
      <formula>$S$20</formula>
    </cfRule>
    <cfRule type="cellIs" dxfId="191" priority="134" operator="equal">
      <formula>$S$19</formula>
    </cfRule>
    <cfRule type="cellIs" dxfId="190" priority="135" operator="equal">
      <formula>$S$18</formula>
    </cfRule>
    <cfRule type="cellIs" dxfId="189" priority="136" operator="equal">
      <formula>$S$17</formula>
    </cfRule>
    <cfRule type="cellIs" dxfId="188" priority="137" operator="equal">
      <formula>$S$16</formula>
    </cfRule>
    <cfRule type="cellIs" dxfId="187" priority="138" operator="equal">
      <formula>$S$15</formula>
    </cfRule>
    <cfRule type="cellIs" dxfId="186" priority="139" operator="equal">
      <formula>$S$14</formula>
    </cfRule>
    <cfRule type="cellIs" dxfId="185" priority="140" operator="equal">
      <formula>$S$13</formula>
    </cfRule>
    <cfRule type="cellIs" dxfId="184" priority="141" operator="equal">
      <formula>$S$12</formula>
    </cfRule>
    <cfRule type="cellIs" dxfId="183" priority="142" operator="equal">
      <formula>$S$11</formula>
    </cfRule>
    <cfRule type="cellIs" dxfId="182" priority="143" operator="equal">
      <formula>$S$10</formula>
    </cfRule>
    <cfRule type="cellIs" dxfId="181" priority="144" operator="equal">
      <formula>$S$8</formula>
    </cfRule>
    <cfRule type="cellIs" dxfId="180" priority="145" operator="equal">
      <formula>$S$7</formula>
    </cfRule>
    <cfRule type="cellIs" dxfId="179" priority="146" operator="equal">
      <formula>$S$6</formula>
    </cfRule>
    <cfRule type="cellIs" dxfId="178" priority="147" operator="equal">
      <formula>$S$5</formula>
    </cfRule>
    <cfRule type="cellIs" dxfId="177" priority="148" operator="equal">
      <formula>$S$4</formula>
    </cfRule>
    <cfRule type="cellIs" dxfId="176" priority="149" operator="equal">
      <formula>$S$2</formula>
    </cfRule>
    <cfRule type="cellIs" dxfId="175" priority="150" operator="equal">
      <formula>$S$3</formula>
    </cfRule>
  </conditionalFormatting>
  <conditionalFormatting sqref="G33">
    <cfRule type="cellIs" dxfId="174" priority="101" operator="equal">
      <formula>$S$27</formula>
    </cfRule>
    <cfRule type="cellIs" dxfId="173" priority="102" operator="equal">
      <formula>$S$26</formula>
    </cfRule>
    <cfRule type="cellIs" dxfId="172" priority="103" operator="equal">
      <formula>$S$25</formula>
    </cfRule>
    <cfRule type="cellIs" dxfId="171" priority="104" operator="equal">
      <formula>$S$24</formula>
    </cfRule>
    <cfRule type="cellIs" dxfId="170" priority="105" operator="equal">
      <formula>$S$23</formula>
    </cfRule>
    <cfRule type="cellIs" dxfId="169" priority="106" operator="equal">
      <formula>$S$22</formula>
    </cfRule>
    <cfRule type="cellIs" dxfId="168" priority="107" operator="equal">
      <formula>$S$21</formula>
    </cfRule>
    <cfRule type="cellIs" dxfId="167" priority="108" operator="equal">
      <formula>$S$20</formula>
    </cfRule>
    <cfRule type="cellIs" dxfId="166" priority="109" operator="equal">
      <formula>$S$19</formula>
    </cfRule>
    <cfRule type="cellIs" dxfId="165" priority="110" operator="equal">
      <formula>$S$18</formula>
    </cfRule>
    <cfRule type="cellIs" dxfId="164" priority="111" operator="equal">
      <formula>$S$17</formula>
    </cfRule>
    <cfRule type="cellIs" dxfId="163" priority="112" operator="equal">
      <formula>$S$16</formula>
    </cfRule>
    <cfRule type="cellIs" dxfId="162" priority="113" operator="equal">
      <formula>$S$15</formula>
    </cfRule>
    <cfRule type="cellIs" dxfId="161" priority="114" operator="equal">
      <formula>$S$14</formula>
    </cfRule>
    <cfRule type="cellIs" dxfId="160" priority="115" operator="equal">
      <formula>$S$13</formula>
    </cfRule>
    <cfRule type="cellIs" dxfId="159" priority="116" operator="equal">
      <formula>$S$12</formula>
    </cfRule>
    <cfRule type="cellIs" dxfId="158" priority="117" operator="equal">
      <formula>$S$11</formula>
    </cfRule>
    <cfRule type="cellIs" dxfId="157" priority="118" operator="equal">
      <formula>$S$10</formula>
    </cfRule>
    <cfRule type="cellIs" dxfId="156" priority="119" operator="equal">
      <formula>$S$8</formula>
    </cfRule>
    <cfRule type="cellIs" dxfId="155" priority="120" operator="equal">
      <formula>$S$7</formula>
    </cfRule>
    <cfRule type="cellIs" dxfId="154" priority="121" operator="equal">
      <formula>$S$6</formula>
    </cfRule>
    <cfRule type="cellIs" dxfId="153" priority="122" operator="equal">
      <formula>$S$5</formula>
    </cfRule>
    <cfRule type="cellIs" dxfId="152" priority="123" operator="equal">
      <formula>$S$4</formula>
    </cfRule>
    <cfRule type="cellIs" dxfId="151" priority="124" operator="equal">
      <formula>$S$2</formula>
    </cfRule>
    <cfRule type="cellIs" dxfId="150" priority="125" operator="equal">
      <formula>$S$3</formula>
    </cfRule>
  </conditionalFormatting>
  <conditionalFormatting sqref="G36">
    <cfRule type="cellIs" dxfId="149" priority="226" operator="equal">
      <formula>$S$27</formula>
    </cfRule>
    <cfRule type="cellIs" dxfId="148" priority="227" operator="equal">
      <formula>$S$26</formula>
    </cfRule>
    <cfRule type="cellIs" dxfId="147" priority="228" operator="equal">
      <formula>$S$25</formula>
    </cfRule>
    <cfRule type="cellIs" dxfId="146" priority="229" operator="equal">
      <formula>$S$24</formula>
    </cfRule>
    <cfRule type="cellIs" dxfId="145" priority="230" operator="equal">
      <formula>$S$23</formula>
    </cfRule>
    <cfRule type="cellIs" dxfId="144" priority="231" operator="equal">
      <formula>$S$22</formula>
    </cfRule>
    <cfRule type="cellIs" dxfId="143" priority="232" operator="equal">
      <formula>$S$21</formula>
    </cfRule>
    <cfRule type="cellIs" dxfId="142" priority="233" operator="equal">
      <formula>$S$20</formula>
    </cfRule>
    <cfRule type="cellIs" dxfId="141" priority="234" operator="equal">
      <formula>$S$19</formula>
    </cfRule>
    <cfRule type="cellIs" dxfId="140" priority="235" operator="equal">
      <formula>$S$18</formula>
    </cfRule>
    <cfRule type="cellIs" dxfId="139" priority="236" operator="equal">
      <formula>$S$17</formula>
    </cfRule>
    <cfRule type="cellIs" dxfId="138" priority="237" operator="equal">
      <formula>$S$16</formula>
    </cfRule>
    <cfRule type="cellIs" dxfId="137" priority="238" operator="equal">
      <formula>$S$15</formula>
    </cfRule>
    <cfRule type="cellIs" dxfId="136" priority="239" operator="equal">
      <formula>$S$14</formula>
    </cfRule>
    <cfRule type="cellIs" dxfId="135" priority="240" operator="equal">
      <formula>$S$13</formula>
    </cfRule>
    <cfRule type="cellIs" dxfId="134" priority="241" operator="equal">
      <formula>$S$12</formula>
    </cfRule>
    <cfRule type="cellIs" dxfId="133" priority="242" operator="equal">
      <formula>$S$11</formula>
    </cfRule>
    <cfRule type="cellIs" dxfId="132" priority="243" operator="equal">
      <formula>$S$10</formula>
    </cfRule>
    <cfRule type="cellIs" dxfId="131" priority="244" operator="equal">
      <formula>$S$8</formula>
    </cfRule>
    <cfRule type="cellIs" dxfId="130" priority="245" operator="equal">
      <formula>$S$7</formula>
    </cfRule>
    <cfRule type="cellIs" dxfId="129" priority="246" operator="equal">
      <formula>$S$6</formula>
    </cfRule>
    <cfRule type="cellIs" dxfId="128" priority="247" operator="equal">
      <formula>$S$5</formula>
    </cfRule>
    <cfRule type="cellIs" dxfId="127" priority="248" operator="equal">
      <formula>$S$4</formula>
    </cfRule>
    <cfRule type="cellIs" dxfId="126" priority="249" operator="equal">
      <formula>$S$2</formula>
    </cfRule>
    <cfRule type="cellIs" dxfId="125" priority="250" operator="equal">
      <formula>$S$3</formula>
    </cfRule>
  </conditionalFormatting>
  <conditionalFormatting sqref="R3:R29">
    <cfRule type="cellIs" dxfId="124" priority="401" operator="equal">
      <formula>$S$27</formula>
    </cfRule>
    <cfRule type="cellIs" dxfId="123" priority="402" operator="equal">
      <formula>$S$26</formula>
    </cfRule>
    <cfRule type="cellIs" dxfId="122" priority="403" operator="equal">
      <formula>$S$25</formula>
    </cfRule>
    <cfRule type="cellIs" dxfId="121" priority="404" operator="equal">
      <formula>$S$24</formula>
    </cfRule>
    <cfRule type="cellIs" dxfId="120" priority="405" operator="equal">
      <formula>$S$23</formula>
    </cfRule>
    <cfRule type="cellIs" dxfId="119" priority="406" operator="equal">
      <formula>$S$22</formula>
    </cfRule>
    <cfRule type="cellIs" dxfId="118" priority="407" operator="equal">
      <formula>$S$21</formula>
    </cfRule>
    <cfRule type="cellIs" dxfId="117" priority="408" operator="equal">
      <formula>$S$20</formula>
    </cfRule>
    <cfRule type="cellIs" dxfId="116" priority="409" operator="equal">
      <formula>$S$19</formula>
    </cfRule>
    <cfRule type="cellIs" dxfId="115" priority="410" operator="equal">
      <formula>$S$18</formula>
    </cfRule>
    <cfRule type="cellIs" dxfId="114" priority="411" operator="equal">
      <formula>$S$17</formula>
    </cfRule>
    <cfRule type="cellIs" dxfId="113" priority="412" operator="equal">
      <formula>$S$16</formula>
    </cfRule>
    <cfRule type="cellIs" dxfId="112" priority="413" operator="equal">
      <formula>$S$15</formula>
    </cfRule>
    <cfRule type="cellIs" dxfId="111" priority="414" operator="equal">
      <formula>$S$14</formula>
    </cfRule>
    <cfRule type="cellIs" dxfId="110" priority="415" operator="equal">
      <formula>$S$13</formula>
    </cfRule>
    <cfRule type="cellIs" dxfId="109" priority="416" operator="equal">
      <formula>$S$12</formula>
    </cfRule>
    <cfRule type="cellIs" dxfId="108" priority="417" operator="equal">
      <formula>$S$11</formula>
    </cfRule>
    <cfRule type="cellIs" dxfId="107" priority="418" operator="equal">
      <formula>$S$10</formula>
    </cfRule>
    <cfRule type="cellIs" dxfId="106" priority="419" operator="equal">
      <formula>$S$8</formula>
    </cfRule>
    <cfRule type="cellIs" dxfId="105" priority="420" operator="equal">
      <formula>$S$7</formula>
    </cfRule>
    <cfRule type="cellIs" dxfId="104" priority="421" operator="equal">
      <formula>$S$6</formula>
    </cfRule>
    <cfRule type="cellIs" dxfId="103" priority="422" operator="equal">
      <formula>$S$5</formula>
    </cfRule>
    <cfRule type="cellIs" dxfId="102" priority="423" operator="equal">
      <formula>$S$4</formula>
    </cfRule>
    <cfRule type="cellIs" dxfId="101" priority="424" operator="equal">
      <formula>$S$2</formula>
    </cfRule>
    <cfRule type="cellIs" dxfId="100" priority="425" operator="equal">
      <formula>$S$3</formula>
    </cfRule>
  </conditionalFormatting>
  <conditionalFormatting sqref="G6">
    <cfRule type="cellIs" dxfId="99" priority="76" operator="equal">
      <formula>$S$27</formula>
    </cfRule>
    <cfRule type="cellIs" dxfId="98" priority="77" operator="equal">
      <formula>$S$26</formula>
    </cfRule>
    <cfRule type="cellIs" dxfId="97" priority="78" operator="equal">
      <formula>$S$25</formula>
    </cfRule>
    <cfRule type="cellIs" dxfId="96" priority="79" operator="equal">
      <formula>$S$24</formula>
    </cfRule>
    <cfRule type="cellIs" dxfId="95" priority="80" operator="equal">
      <formula>$S$23</formula>
    </cfRule>
    <cfRule type="cellIs" dxfId="94" priority="81" operator="equal">
      <formula>$S$22</formula>
    </cfRule>
    <cfRule type="cellIs" dxfId="93" priority="82" operator="equal">
      <formula>$S$21</formula>
    </cfRule>
    <cfRule type="cellIs" dxfId="92" priority="83" operator="equal">
      <formula>$S$20</formula>
    </cfRule>
    <cfRule type="cellIs" dxfId="91" priority="84" operator="equal">
      <formula>$S$19</formula>
    </cfRule>
    <cfRule type="cellIs" dxfId="90" priority="85" operator="equal">
      <formula>$S$18</formula>
    </cfRule>
    <cfRule type="cellIs" dxfId="89" priority="86" operator="equal">
      <formula>$S$17</formula>
    </cfRule>
    <cfRule type="cellIs" dxfId="88" priority="87" operator="equal">
      <formula>$S$16</formula>
    </cfRule>
    <cfRule type="cellIs" dxfId="87" priority="88" operator="equal">
      <formula>$S$15</formula>
    </cfRule>
    <cfRule type="cellIs" dxfId="86" priority="89" operator="equal">
      <formula>$S$14</formula>
    </cfRule>
    <cfRule type="cellIs" dxfId="85" priority="90" operator="equal">
      <formula>$S$13</formula>
    </cfRule>
    <cfRule type="cellIs" dxfId="84" priority="91" operator="equal">
      <formula>$S$12</formula>
    </cfRule>
    <cfRule type="cellIs" dxfId="83" priority="92" operator="equal">
      <formula>$S$11</formula>
    </cfRule>
    <cfRule type="cellIs" dxfId="82" priority="93" operator="equal">
      <formula>$S$10</formula>
    </cfRule>
    <cfRule type="cellIs" dxfId="81" priority="94" operator="equal">
      <formula>$S$8</formula>
    </cfRule>
    <cfRule type="cellIs" dxfId="80" priority="95" operator="equal">
      <formula>$S$7</formula>
    </cfRule>
    <cfRule type="cellIs" dxfId="79" priority="96" operator="equal">
      <formula>$S$6</formula>
    </cfRule>
    <cfRule type="cellIs" dxfId="78" priority="97" operator="equal">
      <formula>$S$5</formula>
    </cfRule>
    <cfRule type="cellIs" dxfId="77" priority="98" operator="equal">
      <formula>$S$4</formula>
    </cfRule>
    <cfRule type="cellIs" dxfId="76" priority="99" operator="equal">
      <formula>$S$2</formula>
    </cfRule>
    <cfRule type="cellIs" dxfId="75" priority="100" operator="equal">
      <formula>$S$3</formula>
    </cfRule>
  </conditionalFormatting>
  <conditionalFormatting sqref="E3">
    <cfRule type="cellIs" dxfId="74" priority="51" operator="equal">
      <formula>$S$27</formula>
    </cfRule>
    <cfRule type="cellIs" dxfId="73" priority="52" operator="equal">
      <formula>$S$26</formula>
    </cfRule>
    <cfRule type="cellIs" dxfId="72" priority="53" operator="equal">
      <formula>$S$25</formula>
    </cfRule>
    <cfRule type="cellIs" dxfId="71" priority="54" operator="equal">
      <formula>$S$24</formula>
    </cfRule>
    <cfRule type="cellIs" dxfId="70" priority="55" operator="equal">
      <formula>$S$23</formula>
    </cfRule>
    <cfRule type="cellIs" dxfId="69" priority="56" operator="equal">
      <formula>$S$22</formula>
    </cfRule>
    <cfRule type="cellIs" dxfId="68" priority="57" operator="equal">
      <formula>$S$21</formula>
    </cfRule>
    <cfRule type="cellIs" dxfId="67" priority="58" operator="equal">
      <formula>$S$20</formula>
    </cfRule>
    <cfRule type="cellIs" dxfId="66" priority="59" operator="equal">
      <formula>$S$19</formula>
    </cfRule>
    <cfRule type="cellIs" dxfId="65" priority="60" operator="equal">
      <formula>$S$18</formula>
    </cfRule>
    <cfRule type="cellIs" dxfId="64" priority="61" operator="equal">
      <formula>$S$17</formula>
    </cfRule>
    <cfRule type="cellIs" dxfId="63" priority="62" operator="equal">
      <formula>$S$16</formula>
    </cfRule>
    <cfRule type="cellIs" dxfId="62" priority="63" operator="equal">
      <formula>$S$15</formula>
    </cfRule>
    <cfRule type="cellIs" dxfId="61" priority="64" operator="equal">
      <formula>$S$14</formula>
    </cfRule>
    <cfRule type="cellIs" dxfId="60" priority="65" operator="equal">
      <formula>$S$13</formula>
    </cfRule>
    <cfRule type="cellIs" dxfId="59" priority="66" operator="equal">
      <formula>$S$12</formula>
    </cfRule>
    <cfRule type="cellIs" dxfId="58" priority="67" operator="equal">
      <formula>$S$11</formula>
    </cfRule>
    <cfRule type="cellIs" dxfId="57" priority="68" operator="equal">
      <formula>$S$10</formula>
    </cfRule>
    <cfRule type="cellIs" dxfId="56" priority="69" operator="equal">
      <formula>$S$8</formula>
    </cfRule>
    <cfRule type="cellIs" dxfId="55" priority="70" operator="equal">
      <formula>$S$7</formula>
    </cfRule>
    <cfRule type="cellIs" dxfId="54" priority="71" operator="equal">
      <formula>$S$6</formula>
    </cfRule>
    <cfRule type="cellIs" dxfId="53" priority="72" operator="equal">
      <formula>$S$5</formula>
    </cfRule>
    <cfRule type="cellIs" dxfId="52" priority="73" operator="equal">
      <formula>$S$4</formula>
    </cfRule>
    <cfRule type="cellIs" dxfId="51" priority="74" operator="equal">
      <formula>$S$2</formula>
    </cfRule>
    <cfRule type="cellIs" dxfId="50" priority="75" operator="equal">
      <formula>$S$3</formula>
    </cfRule>
  </conditionalFormatting>
  <conditionalFormatting sqref="E6">
    <cfRule type="cellIs" dxfId="49" priority="26" operator="equal">
      <formula>$S$27</formula>
    </cfRule>
    <cfRule type="cellIs" dxfId="48" priority="27" operator="equal">
      <formula>$S$26</formula>
    </cfRule>
    <cfRule type="cellIs" dxfId="47" priority="28" operator="equal">
      <formula>$S$25</formula>
    </cfRule>
    <cfRule type="cellIs" dxfId="46" priority="29" operator="equal">
      <formula>$S$24</formula>
    </cfRule>
    <cfRule type="cellIs" dxfId="45" priority="30" operator="equal">
      <formula>$S$23</formula>
    </cfRule>
    <cfRule type="cellIs" dxfId="44" priority="31" operator="equal">
      <formula>$S$22</formula>
    </cfRule>
    <cfRule type="cellIs" dxfId="43" priority="32" operator="equal">
      <formula>$S$21</formula>
    </cfRule>
    <cfRule type="cellIs" dxfId="42" priority="33" operator="equal">
      <formula>$S$20</formula>
    </cfRule>
    <cfRule type="cellIs" dxfId="41" priority="34" operator="equal">
      <formula>$S$19</formula>
    </cfRule>
    <cfRule type="cellIs" dxfId="40" priority="35" operator="equal">
      <formula>$S$18</formula>
    </cfRule>
    <cfRule type="cellIs" dxfId="39" priority="36" operator="equal">
      <formula>$S$17</formula>
    </cfRule>
    <cfRule type="cellIs" dxfId="38" priority="37" operator="equal">
      <formula>$S$16</formula>
    </cfRule>
    <cfRule type="cellIs" dxfId="37" priority="38" operator="equal">
      <formula>$S$15</formula>
    </cfRule>
    <cfRule type="cellIs" dxfId="36" priority="39" operator="equal">
      <formula>$S$14</formula>
    </cfRule>
    <cfRule type="cellIs" dxfId="35" priority="40" operator="equal">
      <formula>$S$13</formula>
    </cfRule>
    <cfRule type="cellIs" dxfId="34" priority="41" operator="equal">
      <formula>$S$12</formula>
    </cfRule>
    <cfRule type="cellIs" dxfId="33" priority="42" operator="equal">
      <formula>$S$11</formula>
    </cfRule>
    <cfRule type="cellIs" dxfId="32" priority="43" operator="equal">
      <formula>$S$10</formula>
    </cfRule>
    <cfRule type="cellIs" dxfId="31" priority="44" operator="equal">
      <formula>$S$8</formula>
    </cfRule>
    <cfRule type="cellIs" dxfId="30" priority="45" operator="equal">
      <formula>$S$7</formula>
    </cfRule>
    <cfRule type="cellIs" dxfId="29" priority="46" operator="equal">
      <formula>$S$6</formula>
    </cfRule>
    <cfRule type="cellIs" dxfId="28" priority="47" operator="equal">
      <formula>$S$5</formula>
    </cfRule>
    <cfRule type="cellIs" dxfId="27" priority="48" operator="equal">
      <formula>$S$4</formula>
    </cfRule>
    <cfRule type="cellIs" dxfId="26" priority="49" operator="equal">
      <formula>$S$2</formula>
    </cfRule>
    <cfRule type="cellIs" dxfId="25" priority="50" operator="equal">
      <formula>$S$3</formula>
    </cfRule>
  </conditionalFormatting>
  <conditionalFormatting sqref="E9">
    <cfRule type="cellIs" dxfId="24" priority="1" operator="equal">
      <formula>$S$27</formula>
    </cfRule>
    <cfRule type="cellIs" dxfId="23" priority="2" operator="equal">
      <formula>$S$26</formula>
    </cfRule>
    <cfRule type="cellIs" dxfId="22" priority="3" operator="equal">
      <formula>$S$25</formula>
    </cfRule>
    <cfRule type="cellIs" dxfId="21" priority="4" operator="equal">
      <formula>$S$24</formula>
    </cfRule>
    <cfRule type="cellIs" dxfId="20" priority="5" operator="equal">
      <formula>$S$23</formula>
    </cfRule>
    <cfRule type="cellIs" dxfId="19" priority="6" operator="equal">
      <formula>$S$22</formula>
    </cfRule>
    <cfRule type="cellIs" dxfId="18" priority="7" operator="equal">
      <formula>$S$21</formula>
    </cfRule>
    <cfRule type="cellIs" dxfId="17" priority="8" operator="equal">
      <formula>$S$20</formula>
    </cfRule>
    <cfRule type="cellIs" dxfId="16" priority="9" operator="equal">
      <formula>$S$19</formula>
    </cfRule>
    <cfRule type="cellIs" dxfId="15" priority="10" operator="equal">
      <formula>$S$18</formula>
    </cfRule>
    <cfRule type="cellIs" dxfId="14" priority="11" operator="equal">
      <formula>$S$17</formula>
    </cfRule>
    <cfRule type="cellIs" dxfId="13" priority="12" operator="equal">
      <formula>$S$16</formula>
    </cfRule>
    <cfRule type="cellIs" dxfId="12" priority="13" operator="equal">
      <formula>$S$15</formula>
    </cfRule>
    <cfRule type="cellIs" dxfId="11" priority="14" operator="equal">
      <formula>$S$14</formula>
    </cfRule>
    <cfRule type="cellIs" dxfId="10" priority="15" operator="equal">
      <formula>$S$13</formula>
    </cfRule>
    <cfRule type="cellIs" dxfId="9" priority="16" operator="equal">
      <formula>$S$12</formula>
    </cfRule>
    <cfRule type="cellIs" dxfId="8" priority="17" operator="equal">
      <formula>$S$11</formula>
    </cfRule>
    <cfRule type="cellIs" dxfId="7" priority="18" operator="equal">
      <formula>$S$10</formula>
    </cfRule>
    <cfRule type="cellIs" dxfId="6" priority="19" operator="equal">
      <formula>$S$8</formula>
    </cfRule>
    <cfRule type="cellIs" dxfId="5" priority="20" operator="equal">
      <formula>$S$7</formula>
    </cfRule>
    <cfRule type="cellIs" dxfId="4" priority="21" operator="equal">
      <formula>$S$6</formula>
    </cfRule>
    <cfRule type="cellIs" dxfId="3" priority="22" operator="equal">
      <formula>$S$5</formula>
    </cfRule>
    <cfRule type="cellIs" dxfId="2" priority="23" operator="equal">
      <formula>$S$4</formula>
    </cfRule>
    <cfRule type="cellIs" dxfId="1" priority="24" operator="equal">
      <formula>$S$2</formula>
    </cfRule>
    <cfRule type="cellIs" dxfId="0" priority="25" operator="equal">
      <formula>$S$3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015652-1bee-48b5-a9fc-59d726b4dcb0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06E652AEEF14D8447A9425FCD4F45" ma:contentTypeVersion="17" ma:contentTypeDescription="Create a new document." ma:contentTypeScope="" ma:versionID="89bba6d2f82e6d3688e8674c11a2155a">
  <xsd:schema xmlns:xsd="http://www.w3.org/2001/XMLSchema" xmlns:xs="http://www.w3.org/2001/XMLSchema" xmlns:p="http://schemas.microsoft.com/office/2006/metadata/properties" xmlns:ns2="49015652-1bee-48b5-a9fc-59d726b4dcb0" xmlns:ns3="600d4462-71ca-42b6-840a-c1c31c1444aa" xmlns:ns4="a7bc6c04-a6f3-4b85-abcc-278c78dc556b" targetNamespace="http://schemas.microsoft.com/office/2006/metadata/properties" ma:root="true" ma:fieldsID="a606a85076353c3374f86d64a314f29d" ns2:_="" ns3:_="" ns4:_="">
    <xsd:import namespace="49015652-1bee-48b5-a9fc-59d726b4dcb0"/>
    <xsd:import namespace="600d4462-71ca-42b6-840a-c1c31c1444aa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015652-1bee-48b5-a9fc-59d726b4dc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d4462-71ca-42b6-840a-c1c31c1444a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94b89d2-253f-4084-8384-51624401b400}" ma:internalName="TaxCatchAll" ma:showField="CatchAllData" ma:web="600d4462-71ca-42b6-840a-c1c31c1444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6E985C-2736-4DB1-B9F6-75E52D8095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7167A7-1B8A-4D27-9A15-E10407056BB2}">
  <ds:schemaRefs>
    <ds:schemaRef ds:uri="http://schemas.microsoft.com/office/2006/metadata/properties"/>
    <ds:schemaRef ds:uri="http://schemas.microsoft.com/office/infopath/2007/PartnerControls"/>
    <ds:schemaRef ds:uri="49015652-1bee-48b5-a9fc-59d726b4dcb0"/>
    <ds:schemaRef ds:uri="a7bc6c04-a6f3-4b85-abcc-278c78dc556b"/>
  </ds:schemaRefs>
</ds:datastoreItem>
</file>

<file path=customXml/itemProps3.xml><?xml version="1.0" encoding="utf-8"?>
<ds:datastoreItem xmlns:ds="http://schemas.openxmlformats.org/officeDocument/2006/customXml" ds:itemID="{299170DA-EBB7-428B-8522-38FBCE915D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015652-1bee-48b5-a9fc-59d726b4dcb0"/>
    <ds:schemaRef ds:uri="600d4462-71ca-42b6-840a-c1c31c1444aa"/>
    <ds:schemaRef ds:uri="a7bc6c04-a6f3-4b85-abcc-278c78dc55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HDMX</vt:lpstr>
      <vt:lpstr>HDBI</vt:lpstr>
      <vt:lpstr>PTC</vt:lpstr>
      <vt:lpstr>SEC</vt:lpstr>
      <vt:lpstr>SST</vt:lpstr>
      <vt:lpstr>HST</vt:lpstr>
      <vt:lpstr>Racks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Mora Solano, Esteban Mauricio</dc:creator>
  <cp:keywords/>
  <dc:description/>
  <cp:lastModifiedBy>Lopez Vargas, Carlos</cp:lastModifiedBy>
  <cp:revision/>
  <dcterms:created xsi:type="dcterms:W3CDTF">2025-04-30T12:56:03Z</dcterms:created>
  <dcterms:modified xsi:type="dcterms:W3CDTF">2026-04-24T00:33:25Z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0x01010025506E652AEEF14D8447A9425FCD4F45</vt:lpwstr>
  </property>
  <property fmtid="{D5CDD505-2E9C-101B-9397-08002B2CF9AE}" pid="3" name="MediaServiceImageTags">
    <vt:lpwstr/>
  </property>
</Properties>
</file>